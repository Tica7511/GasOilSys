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 Document\20210416_NB Data\My Doc\0_工研院\113\1_RA\材化所\1-1_石油與天然氣輸儲查核與檢測雲端平台\"/>
    </mc:Choice>
  </mc:AlternateContent>
  <xr:revisionPtr revIDLastSave="0" documentId="13_ncr:1_{56B7DAD2-3B58-4EC6-A891-63926FFC1583}" xr6:coauthVersionLast="47" xr6:coauthVersionMax="47" xr10:uidLastSave="{00000000-0000-0000-0000-000000000000}"/>
  <bookViews>
    <workbookView xWindow="-110" yWindow="-110" windowWidth="19420" windowHeight="10300" tabRatio="714" activeTab="1" xr2:uid="{00000000-000D-0000-FFFF-FFFF00000000}"/>
  </bookViews>
  <sheets>
    <sheet name="資訊清單資訊" sheetId="1" r:id="rId1"/>
    <sheet name="文件類資產群組清單" sheetId="2" r:id="rId2"/>
    <sheet name="評估標準" sheetId="4" r:id="rId3"/>
    <sheet name="文件類風險材1-1-DC-01" sheetId="9" r:id="rId4"/>
    <sheet name="文件類風險材1-1-DC-02" sheetId="10" r:id="rId5"/>
  </sheets>
  <externalReferences>
    <externalReference r:id="rId6"/>
    <externalReference r:id="rId7"/>
  </externalReferences>
  <definedNames>
    <definedName name="_xlnm._FilterDatabase" localSheetId="3" hidden="1">'文件類風險材1-1-DC-01'!$M$10:$Z$10</definedName>
    <definedName name="_xlnm._FilterDatabase" localSheetId="4" hidden="1">'文件類風險材1-1-DC-02'!$M$10:$Z$10</definedName>
    <definedName name="_xlnm._FilterDatabase" localSheetId="1" hidden="1">文件類資產群組清單!$A$9:$Q$9</definedName>
    <definedName name="All_Availability">[1]Ref!$S$3:$S$6</definedName>
    <definedName name="All_Confidential">[1]Ref!$M$3:$M$6</definedName>
    <definedName name="All_Impact">[1]Ref!$AB$3:$AB$6</definedName>
    <definedName name="All_Integrity">[1]Ref!$P$3:$P$6</definedName>
    <definedName name="All_Law">[1]Ref!$V$3:$V$6</definedName>
    <definedName name="All_Likelihood">[1]Ref!$Y$3:$Y$6</definedName>
    <definedName name="ALL_LIST">文件類資產群組清單!$A$10:$Q$161</definedName>
    <definedName name="All_YN">[1]Ref!$AE$3:$AE$4</definedName>
    <definedName name="PE_SUBLIST" localSheetId="4">評估標準!#REF!</definedName>
    <definedName name="PE_SUBLIST">評估標準!#REF!</definedName>
    <definedName name="PE_Subtype">[1]Ref!$C$3:$C$12</definedName>
    <definedName name="PE_TypeList">[1]人員資產群組清單!$D$10:$D$34</definedName>
    <definedName name="PE_TypeSum">[1]Ref!$C$3:$D$12</definedName>
    <definedName name="_xlnm.Print_Area" localSheetId="3">'文件類風險材1-1-DC-01'!$M$1:$U$25</definedName>
    <definedName name="_xlnm.Print_Area" localSheetId="4">'文件類風險材1-1-DC-02'!$M$1:$U$25</definedName>
    <definedName name="_xlnm.Print_Titles" localSheetId="3">'文件類風險材1-1-DC-01'!$2:$10</definedName>
    <definedName name="_xlnm.Print_Titles" localSheetId="4">'文件類風險材1-1-DC-02'!$2:$10</definedName>
    <definedName name="SW_List">[2]軟體資產群組清單!$A$11:$R$50</definedName>
    <definedName name="法律遵循" localSheetId="4">#REF!</definedName>
    <definedName name="法律遵循">#REF!</definedName>
    <definedName name="業務運作" localSheetId="4">#REF!</definedName>
    <definedName name="業務運作">#REF!</definedName>
    <definedName name="業務類別" localSheetId="4">#REF!</definedName>
    <definedName name="業務類別">#REF!</definedName>
    <definedName name="業務類別名" localSheetId="4">#REF!</definedName>
    <definedName name="業務類別名">#REF!</definedName>
    <definedName name="資產保護" localSheetId="4">#REF!</definedName>
    <definedName name="資產保護">#REF!</definedName>
    <definedName name="資產類別" localSheetId="4">#REF!</definedName>
    <definedName name="資產類別">#REF!</definedName>
    <definedName name="資產類別名" localSheetId="4">#REF!</definedName>
    <definedName name="資產類別名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9" l="1"/>
  <c r="I24" i="9"/>
  <c r="H24" i="9"/>
  <c r="G24" i="9"/>
  <c r="F24" i="9"/>
  <c r="E24" i="9"/>
  <c r="D24" i="9"/>
  <c r="C24" i="9"/>
  <c r="B24" i="9"/>
  <c r="A24" i="9"/>
  <c r="J24" i="10"/>
  <c r="I24" i="10"/>
  <c r="H24" i="10"/>
  <c r="G24" i="10"/>
  <c r="F24" i="10"/>
  <c r="E24" i="10"/>
  <c r="D24" i="10"/>
  <c r="C24" i="10"/>
  <c r="B24" i="10"/>
  <c r="A24" i="10"/>
  <c r="Y25" i="10" l="1"/>
  <c r="J25" i="10"/>
  <c r="I25" i="10"/>
  <c r="H25" i="10"/>
  <c r="G25" i="10"/>
  <c r="F25" i="10"/>
  <c r="E25" i="10"/>
  <c r="D25" i="10"/>
  <c r="C25" i="10"/>
  <c r="B25" i="10"/>
  <c r="A25" i="10"/>
  <c r="J23" i="10"/>
  <c r="I23" i="10"/>
  <c r="H23" i="10"/>
  <c r="G23" i="10"/>
  <c r="F23" i="10"/>
  <c r="E23" i="10"/>
  <c r="D23" i="10"/>
  <c r="C23" i="10"/>
  <c r="B23" i="10"/>
  <c r="A23" i="10"/>
  <c r="J22" i="10"/>
  <c r="I22" i="10"/>
  <c r="H22" i="10"/>
  <c r="G22" i="10"/>
  <c r="F22" i="10"/>
  <c r="E22" i="10"/>
  <c r="D22" i="10"/>
  <c r="C22" i="10"/>
  <c r="B22" i="10"/>
  <c r="A22" i="10"/>
  <c r="J21" i="10"/>
  <c r="I21" i="10"/>
  <c r="H21" i="10"/>
  <c r="G21" i="10"/>
  <c r="F21" i="10"/>
  <c r="E21" i="10"/>
  <c r="D21" i="10"/>
  <c r="C21" i="10"/>
  <c r="B21" i="10"/>
  <c r="A21" i="10"/>
  <c r="J20" i="10"/>
  <c r="I20" i="10"/>
  <c r="H20" i="10"/>
  <c r="G20" i="10"/>
  <c r="F20" i="10"/>
  <c r="E20" i="10"/>
  <c r="D20" i="10"/>
  <c r="C20" i="10"/>
  <c r="B20" i="10"/>
  <c r="A20" i="10"/>
  <c r="J19" i="10"/>
  <c r="I19" i="10"/>
  <c r="H19" i="10"/>
  <c r="G19" i="10"/>
  <c r="F19" i="10"/>
  <c r="E19" i="10"/>
  <c r="D19" i="10"/>
  <c r="C19" i="10"/>
  <c r="B19" i="10"/>
  <c r="A19" i="10"/>
  <c r="J18" i="10"/>
  <c r="I18" i="10"/>
  <c r="H18" i="10"/>
  <c r="G18" i="10"/>
  <c r="F18" i="10"/>
  <c r="E18" i="10"/>
  <c r="D18" i="10"/>
  <c r="C18" i="10"/>
  <c r="B18" i="10"/>
  <c r="A18" i="10"/>
  <c r="J17" i="10"/>
  <c r="I17" i="10"/>
  <c r="H17" i="10"/>
  <c r="G17" i="10"/>
  <c r="F17" i="10"/>
  <c r="E17" i="10"/>
  <c r="D17" i="10"/>
  <c r="C17" i="10"/>
  <c r="B17" i="10"/>
  <c r="A17" i="10"/>
  <c r="J16" i="10"/>
  <c r="I16" i="10"/>
  <c r="H16" i="10"/>
  <c r="G16" i="10"/>
  <c r="F16" i="10"/>
  <c r="E16" i="10"/>
  <c r="D16" i="10"/>
  <c r="C16" i="10"/>
  <c r="B16" i="10"/>
  <c r="A16" i="10"/>
  <c r="J15" i="10"/>
  <c r="I15" i="10"/>
  <c r="H15" i="10"/>
  <c r="G15" i="10"/>
  <c r="F15" i="10"/>
  <c r="E15" i="10"/>
  <c r="D15" i="10"/>
  <c r="C15" i="10"/>
  <c r="B15" i="10"/>
  <c r="A15" i="10"/>
  <c r="J14" i="10"/>
  <c r="I14" i="10"/>
  <c r="H14" i="10"/>
  <c r="G14" i="10"/>
  <c r="F14" i="10"/>
  <c r="E14" i="10"/>
  <c r="D14" i="10"/>
  <c r="C14" i="10"/>
  <c r="B14" i="10"/>
  <c r="A14" i="10"/>
  <c r="J13" i="10"/>
  <c r="I13" i="10"/>
  <c r="H13" i="10"/>
  <c r="G13" i="10"/>
  <c r="F13" i="10"/>
  <c r="E13" i="10"/>
  <c r="D13" i="10"/>
  <c r="C13" i="10"/>
  <c r="B13" i="10"/>
  <c r="A13" i="10"/>
  <c r="J12" i="10"/>
  <c r="I12" i="10"/>
  <c r="H12" i="10"/>
  <c r="G12" i="10"/>
  <c r="F12" i="10"/>
  <c r="E12" i="10"/>
  <c r="D12" i="10"/>
  <c r="C12" i="10"/>
  <c r="B12" i="10"/>
  <c r="A12" i="10"/>
  <c r="J11" i="10"/>
  <c r="I11" i="10"/>
  <c r="H11" i="10"/>
  <c r="G11" i="10"/>
  <c r="F11" i="10"/>
  <c r="E11" i="10"/>
  <c r="D11" i="10"/>
  <c r="C11" i="10"/>
  <c r="B11" i="10"/>
  <c r="A11" i="10"/>
  <c r="S6" i="10"/>
  <c r="S5" i="10"/>
  <c r="N5" i="10"/>
  <c r="S4" i="10"/>
  <c r="N4" i="10"/>
  <c r="S3" i="10"/>
  <c r="N2" i="10"/>
  <c r="M1" i="10"/>
  <c r="P11" i="2"/>
  <c r="P10" i="2"/>
  <c r="K24" i="9" s="1"/>
  <c r="K22" i="10" l="1"/>
  <c r="K24" i="10"/>
  <c r="K15" i="10"/>
  <c r="K23" i="10"/>
  <c r="K17" i="10"/>
  <c r="K12" i="10"/>
  <c r="K20" i="10"/>
  <c r="K18" i="10"/>
  <c r="K13" i="10"/>
  <c r="K21" i="10"/>
  <c r="S2" i="10"/>
  <c r="Y15" i="10" s="1"/>
  <c r="K16" i="10"/>
  <c r="K25" i="10"/>
  <c r="K11" i="10"/>
  <c r="K19" i="10"/>
  <c r="K14" i="10"/>
  <c r="Y25" i="9"/>
  <c r="J25" i="9"/>
  <c r="I25" i="9"/>
  <c r="H25" i="9"/>
  <c r="G25" i="9"/>
  <c r="F25" i="9"/>
  <c r="E25" i="9"/>
  <c r="D25" i="9"/>
  <c r="C25" i="9"/>
  <c r="B25" i="9"/>
  <c r="A25" i="9"/>
  <c r="J23" i="9"/>
  <c r="I23" i="9"/>
  <c r="H23" i="9"/>
  <c r="G23" i="9"/>
  <c r="F23" i="9"/>
  <c r="E23" i="9"/>
  <c r="D23" i="9"/>
  <c r="C23" i="9"/>
  <c r="B23" i="9"/>
  <c r="A23" i="9"/>
  <c r="J22" i="9"/>
  <c r="I22" i="9"/>
  <c r="H22" i="9"/>
  <c r="G22" i="9"/>
  <c r="F22" i="9"/>
  <c r="E22" i="9"/>
  <c r="D22" i="9"/>
  <c r="C22" i="9"/>
  <c r="B22" i="9"/>
  <c r="A22" i="9"/>
  <c r="J21" i="9"/>
  <c r="I21" i="9"/>
  <c r="H21" i="9"/>
  <c r="G21" i="9"/>
  <c r="F21" i="9"/>
  <c r="E21" i="9"/>
  <c r="D21" i="9"/>
  <c r="C21" i="9"/>
  <c r="B21" i="9"/>
  <c r="A21" i="9"/>
  <c r="J20" i="9"/>
  <c r="I20" i="9"/>
  <c r="H20" i="9"/>
  <c r="G20" i="9"/>
  <c r="F20" i="9"/>
  <c r="E20" i="9"/>
  <c r="D20" i="9"/>
  <c r="C20" i="9"/>
  <c r="B20" i="9"/>
  <c r="A20" i="9"/>
  <c r="J19" i="9"/>
  <c r="I19" i="9"/>
  <c r="H19" i="9"/>
  <c r="G19" i="9"/>
  <c r="F19" i="9"/>
  <c r="E19" i="9"/>
  <c r="D19" i="9"/>
  <c r="C19" i="9"/>
  <c r="B19" i="9"/>
  <c r="A19" i="9"/>
  <c r="J18" i="9"/>
  <c r="I18" i="9"/>
  <c r="H18" i="9"/>
  <c r="G18" i="9"/>
  <c r="F18" i="9"/>
  <c r="E18" i="9"/>
  <c r="D18" i="9"/>
  <c r="C18" i="9"/>
  <c r="B18" i="9"/>
  <c r="A18" i="9"/>
  <c r="J17" i="9"/>
  <c r="I17" i="9"/>
  <c r="H17" i="9"/>
  <c r="G17" i="9"/>
  <c r="F17" i="9"/>
  <c r="E17" i="9"/>
  <c r="D17" i="9"/>
  <c r="C17" i="9"/>
  <c r="B17" i="9"/>
  <c r="A17" i="9"/>
  <c r="J16" i="9"/>
  <c r="I16" i="9"/>
  <c r="H16" i="9"/>
  <c r="G16" i="9"/>
  <c r="F16" i="9"/>
  <c r="E16" i="9"/>
  <c r="D16" i="9"/>
  <c r="C16" i="9"/>
  <c r="B16" i="9"/>
  <c r="A16" i="9"/>
  <c r="J15" i="9"/>
  <c r="I15" i="9"/>
  <c r="H15" i="9"/>
  <c r="G15" i="9"/>
  <c r="F15" i="9"/>
  <c r="E15" i="9"/>
  <c r="D15" i="9"/>
  <c r="C15" i="9"/>
  <c r="B15" i="9"/>
  <c r="A15" i="9"/>
  <c r="J14" i="9"/>
  <c r="I14" i="9"/>
  <c r="H14" i="9"/>
  <c r="G14" i="9"/>
  <c r="F14" i="9"/>
  <c r="E14" i="9"/>
  <c r="D14" i="9"/>
  <c r="C14" i="9"/>
  <c r="B14" i="9"/>
  <c r="A14" i="9"/>
  <c r="J13" i="9"/>
  <c r="I13" i="9"/>
  <c r="H13" i="9"/>
  <c r="G13" i="9"/>
  <c r="F13" i="9"/>
  <c r="E13" i="9"/>
  <c r="D13" i="9"/>
  <c r="C13" i="9"/>
  <c r="B13" i="9"/>
  <c r="A13" i="9"/>
  <c r="J12" i="9"/>
  <c r="I12" i="9"/>
  <c r="H12" i="9"/>
  <c r="G12" i="9"/>
  <c r="F12" i="9"/>
  <c r="E12" i="9"/>
  <c r="D12" i="9"/>
  <c r="C12" i="9"/>
  <c r="B12" i="9"/>
  <c r="A12" i="9"/>
  <c r="J11" i="9"/>
  <c r="I11" i="9"/>
  <c r="H11" i="9"/>
  <c r="G11" i="9"/>
  <c r="F11" i="9"/>
  <c r="E11" i="9"/>
  <c r="D11" i="9"/>
  <c r="C11" i="9"/>
  <c r="B11" i="9"/>
  <c r="A11" i="9"/>
  <c r="A2" i="2"/>
  <c r="N4" i="9"/>
  <c r="N2" i="9"/>
  <c r="M1" i="9"/>
  <c r="N5" i="9"/>
  <c r="S3" i="9"/>
  <c r="A6" i="2"/>
  <c r="S6" i="9"/>
  <c r="S4" i="9"/>
  <c r="S5" i="9"/>
  <c r="A3" i="2"/>
  <c r="A4" i="2"/>
  <c r="A5" i="2"/>
  <c r="A1" i="2"/>
  <c r="A7" i="2"/>
  <c r="K25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S2" i="9"/>
  <c r="Y24" i="9" s="1"/>
  <c r="Y13" i="10" l="1"/>
  <c r="Y22" i="10"/>
  <c r="Y23" i="10"/>
  <c r="Y18" i="10"/>
  <c r="Y11" i="10"/>
  <c r="Y14" i="10"/>
  <c r="Y20" i="10"/>
  <c r="Y16" i="10"/>
  <c r="Y12" i="10"/>
  <c r="Y19" i="10"/>
  <c r="Y17" i="10"/>
  <c r="Y21" i="10"/>
  <c r="Y24" i="10"/>
  <c r="Y20" i="9"/>
  <c r="Y16" i="9"/>
  <c r="Y12" i="9"/>
  <c r="Y22" i="9"/>
  <c r="Y14" i="9"/>
  <c r="Y17" i="9"/>
  <c r="Y23" i="9"/>
  <c r="Y19" i="9"/>
  <c r="Y15" i="9"/>
  <c r="Y11" i="9"/>
  <c r="Y18" i="9"/>
  <c r="Y21" i="9"/>
  <c r="Y13" i="9"/>
  <c r="S7" i="10" l="1"/>
  <c r="L24" i="10" s="1"/>
  <c r="S7" i="9"/>
  <c r="L21" i="10" l="1"/>
  <c r="L11" i="10"/>
  <c r="L15" i="10"/>
  <c r="L23" i="10"/>
  <c r="L19" i="10"/>
  <c r="L12" i="10"/>
  <c r="L16" i="10"/>
  <c r="L20" i="10"/>
  <c r="L25" i="10"/>
  <c r="L14" i="10"/>
  <c r="L13" i="10"/>
  <c r="L18" i="10"/>
  <c r="L17" i="10"/>
  <c r="L22" i="10"/>
  <c r="L16" i="9"/>
  <c r="L24" i="9"/>
  <c r="L23" i="9"/>
  <c r="L12" i="9"/>
  <c r="L20" i="9"/>
  <c r="L22" i="9"/>
  <c r="L17" i="9"/>
  <c r="L21" i="9"/>
  <c r="L19" i="9"/>
  <c r="L13" i="9"/>
  <c r="L15" i="9"/>
  <c r="L11" i="9"/>
  <c r="L18" i="9"/>
  <c r="L14" i="9"/>
  <c r="L2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Joyce Wu</author>
  </authors>
  <commentList>
    <comment ref="C10" authorId="0" shapeId="0" xr:uid="{678303DB-2E5F-45D7-87C9-CB47275580BE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D10" authorId="0" shapeId="0" xr:uid="{AC21D53E-A1F0-451C-8EF3-DD1C75FD03E8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E10" authorId="0" shapeId="0" xr:uid="{C7E9DA74-D55D-4E16-A7C6-91C7A983ABDE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F10" authorId="0" shapeId="0" xr:uid="{6DE97ECF-7676-4DE3-99C2-6AECD930AD89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G10" authorId="0" shapeId="0" xr:uid="{A1809935-6F7B-4476-9A8B-57BC22FB7CFC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C11" authorId="0" shapeId="0" xr:uid="{5B88B6AE-B6CC-4708-ACCC-0F72541EE7BF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D11" authorId="0" shapeId="0" xr:uid="{254D05EC-638F-4132-A996-5149D2A691FD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E11" authorId="0" shapeId="0" xr:uid="{95B9D1CE-58D0-4CA5-AEC1-1552D148A505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F11" authorId="0" shapeId="0" xr:uid="{61460250-6357-4777-9629-A8959E6B1356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G11" authorId="0" shapeId="0" xr:uid="{9DAEEB3E-7A3C-443E-AA40-D47BFA4E6BB8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17-0940530-91</author>
  </authors>
  <commentList>
    <comment ref="H11" authorId="0" shapeId="0" xr:uid="{00000000-0006-0000-0200-000001000000}">
      <text>
        <r>
          <rPr>
            <b/>
            <sz val="12"/>
            <color indexed="81"/>
            <rFont val="新細明體"/>
            <family val="1"/>
            <charset val="136"/>
          </rPr>
          <t>對資訊資產 C、I、A 毀損、不法使用、竄改、竊取、洩漏、錯誤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17-0940530-91</author>
  </authors>
  <commentList>
    <comment ref="M25" authorId="0" shapeId="0" xr:uid="{00000000-0006-0000-0300-000001000000}">
      <text>
        <r>
          <rPr>
            <b/>
            <sz val="12"/>
            <color indexed="81"/>
            <rFont val="新細明體"/>
            <family val="1"/>
            <charset val="136"/>
          </rPr>
          <t>對資訊資產 C、I、A 毀損、不法使用、竄改、竊取、洩漏、錯誤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Joyce Wu</author>
    <author>17-0940530-91</author>
  </authors>
  <commentList>
    <comment ref="X11" authorId="0" shapeId="0" xr:uid="{1DA8CA75-C832-4DD0-B112-EEF58D91D2DA}">
      <text>
        <r>
          <rPr>
            <b/>
            <sz val="9"/>
            <color indexed="81"/>
            <rFont val="Tahoma"/>
            <family val="2"/>
          </rPr>
          <t>Joyce Wu: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請確認</t>
        </r>
      </text>
    </comment>
    <comment ref="M25" authorId="1" shapeId="0" xr:uid="{00000000-0006-0000-0400-000001000000}">
      <text>
        <r>
          <rPr>
            <b/>
            <sz val="12"/>
            <color indexed="81"/>
            <rFont val="新細明體"/>
            <family val="1"/>
            <charset val="136"/>
          </rPr>
          <t>對資訊資產 C、I、A 毀損、不法使用、竄改、竊取、洩漏、錯誤</t>
        </r>
      </text>
    </comment>
  </commentList>
</comments>
</file>

<file path=xl/sharedStrings.xml><?xml version="1.0" encoding="utf-8"?>
<sst xmlns="http://schemas.openxmlformats.org/spreadsheetml/2006/main" count="320" uniqueCount="176">
  <si>
    <t>版本</t>
  </si>
  <si>
    <t>機密等級</t>
  </si>
  <si>
    <t>資產子類別</t>
    <phoneticPr fontId="4" type="noConversion"/>
  </si>
  <si>
    <t>數量</t>
    <phoneticPr fontId="4" type="noConversion"/>
  </si>
  <si>
    <t>弱點</t>
  </si>
  <si>
    <t>資產類別編號：</t>
  </si>
  <si>
    <t>評鑑人員：</t>
  </si>
  <si>
    <t>評鑑日期：</t>
  </si>
  <si>
    <t>評鑑人主管：</t>
  </si>
  <si>
    <t>類別：</t>
    <phoneticPr fontId="4" type="noConversion"/>
  </si>
  <si>
    <t>資產(群組)名稱：</t>
    <phoneticPr fontId="4" type="noConversion"/>
  </si>
  <si>
    <t>資訊資產價值：</t>
    <phoneticPr fontId="4" type="noConversion"/>
  </si>
  <si>
    <t>最大綜合風險：</t>
    <phoneticPr fontId="4" type="noConversion"/>
  </si>
  <si>
    <t>資產類別編號</t>
    <phoneticPr fontId="4" type="noConversion"/>
  </si>
  <si>
    <t>資產子類別</t>
    <phoneticPr fontId="4" type="noConversion"/>
  </si>
  <si>
    <t>資產名稱</t>
    <phoneticPr fontId="4" type="noConversion"/>
  </si>
  <si>
    <t>資產說明</t>
    <phoneticPr fontId="4" type="noConversion"/>
  </si>
  <si>
    <t>負責人</t>
    <phoneticPr fontId="4" type="noConversion"/>
  </si>
  <si>
    <t>C</t>
    <phoneticPr fontId="4" type="noConversion"/>
  </si>
  <si>
    <t>I</t>
    <phoneticPr fontId="4" type="noConversion"/>
  </si>
  <si>
    <t>A</t>
    <phoneticPr fontId="4" type="noConversion"/>
  </si>
  <si>
    <t>Law</t>
    <phoneticPr fontId="4" type="noConversion"/>
  </si>
  <si>
    <t>資產價值</t>
    <phoneticPr fontId="4" type="noConversion"/>
  </si>
  <si>
    <t>威脅</t>
  </si>
  <si>
    <t>適用性</t>
    <phoneticPr fontId="4" type="noConversion"/>
  </si>
  <si>
    <t>可能性</t>
    <phoneticPr fontId="4" type="noConversion"/>
  </si>
  <si>
    <t>理由</t>
    <phoneticPr fontId="4" type="noConversion"/>
  </si>
  <si>
    <t>衝擊性</t>
    <phoneticPr fontId="4" type="noConversion"/>
  </si>
  <si>
    <t>風險值</t>
    <phoneticPr fontId="4" type="noConversion"/>
  </si>
  <si>
    <t>備註</t>
    <phoneticPr fontId="4" type="noConversion"/>
  </si>
  <si>
    <t>資訊資產風險評鑑</t>
    <phoneticPr fontId="1" type="noConversion"/>
  </si>
  <si>
    <t>最大綜合風險</t>
    <phoneticPr fontId="4" type="noConversion"/>
  </si>
  <si>
    <t>資訊資產群組清單
威脅弱點評估表</t>
    <phoneticPr fontId="1" type="noConversion"/>
  </si>
  <si>
    <r>
      <rPr>
        <b/>
        <sz val="12"/>
        <rFont val="微軟正黑體"/>
        <family val="2"/>
        <charset val="136"/>
      </rPr>
      <t>限閱級</t>
    </r>
  </si>
  <si>
    <t>發生機率評估準則</t>
  </si>
  <si>
    <t>機率</t>
  </si>
  <si>
    <t>幾乎不可能發生</t>
  </si>
  <si>
    <t>很少發生</t>
  </si>
  <si>
    <t>偶爾發生</t>
  </si>
  <si>
    <t>時常發生</t>
  </si>
  <si>
    <t>中</t>
  </si>
  <si>
    <t>高</t>
  </si>
  <si>
    <t>極高</t>
  </si>
  <si>
    <t>計畫代號</t>
    <phoneticPr fontId="1" type="noConversion"/>
  </si>
  <si>
    <t>編號</t>
    <phoneticPr fontId="1" type="noConversion"/>
  </si>
  <si>
    <t>日期</t>
    <phoneticPr fontId="1" type="noConversion"/>
  </si>
  <si>
    <t>可能性(弱點)-事件發生機率評估標準</t>
    <phoneticPr fontId="1" type="noConversion"/>
  </si>
  <si>
    <r>
      <t>1年內可能發生</t>
    </r>
    <r>
      <rPr>
        <sz val="12"/>
        <color rgb="FFFF0000"/>
        <rFont val="微軟正黑體"/>
        <family val="2"/>
        <charset val="136"/>
      </rPr>
      <t>5次~ 7次</t>
    </r>
    <phoneticPr fontId="1" type="noConversion"/>
  </si>
  <si>
    <t>等級</t>
    <phoneticPr fontId="1" type="noConversion"/>
  </si>
  <si>
    <r>
      <t>1年內可能發生</t>
    </r>
    <r>
      <rPr>
        <sz val="12"/>
        <color rgb="FFFF0000"/>
        <rFont val="微軟正黑體"/>
        <family val="2"/>
        <charset val="136"/>
      </rPr>
      <t>1次以下</t>
    </r>
    <phoneticPr fontId="1" type="noConversion"/>
  </si>
  <si>
    <r>
      <t>1年內可能發生</t>
    </r>
    <r>
      <rPr>
        <sz val="12"/>
        <color rgb="FFFF0000"/>
        <rFont val="微軟正黑體"/>
        <family val="2"/>
        <charset val="136"/>
      </rPr>
      <t>2次~ 4次</t>
    </r>
    <phoneticPr fontId="1" type="noConversion"/>
  </si>
  <si>
    <r>
      <t>1年內可能發生</t>
    </r>
    <r>
      <rPr>
        <sz val="12"/>
        <color rgb="FFFF0000"/>
        <rFont val="微軟正黑體"/>
        <family val="2"/>
        <charset val="136"/>
      </rPr>
      <t>8次以上</t>
    </r>
    <phoneticPr fontId="1" type="noConversion"/>
  </si>
  <si>
    <t>衝擊性(威脅)-事件衝擊程度評估標準</t>
    <phoneticPr fontId="1" type="noConversion"/>
  </si>
  <si>
    <t>低</t>
    <phoneticPr fontId="1" type="noConversion"/>
  </si>
  <si>
    <r>
      <t>風險發生幾乎</t>
    </r>
    <r>
      <rPr>
        <sz val="12"/>
        <color rgb="FFFF0000"/>
        <rFont val="微軟正黑體"/>
        <family val="2"/>
        <charset val="136"/>
      </rPr>
      <t>不會影響到業務</t>
    </r>
    <r>
      <rPr>
        <sz val="12"/>
        <color theme="1"/>
        <rFont val="微軟正黑體"/>
        <family val="2"/>
        <charset val="136"/>
      </rPr>
      <t xml:space="preserve">
（可以立即完成復原）</t>
    </r>
    <phoneticPr fontId="1" type="noConversion"/>
  </si>
  <si>
    <t>資產概述</t>
    <phoneticPr fontId="4" type="noConversion"/>
  </si>
  <si>
    <t>資產名稱</t>
    <phoneticPr fontId="4" type="noConversion"/>
  </si>
  <si>
    <t>資產說明</t>
    <phoneticPr fontId="4" type="noConversion"/>
  </si>
  <si>
    <t>位置</t>
    <phoneticPr fontId="4" type="noConversion"/>
  </si>
  <si>
    <t>數量</t>
    <phoneticPr fontId="4" type="noConversion"/>
  </si>
  <si>
    <t>負責人</t>
    <phoneticPr fontId="4" type="noConversion"/>
  </si>
  <si>
    <t>C</t>
    <phoneticPr fontId="4" type="noConversion"/>
  </si>
  <si>
    <t>理由</t>
    <phoneticPr fontId="4" type="noConversion"/>
  </si>
  <si>
    <t>I</t>
    <phoneticPr fontId="4" type="noConversion"/>
  </si>
  <si>
    <t>理由</t>
    <phoneticPr fontId="4" type="noConversion"/>
  </si>
  <si>
    <t>A</t>
    <phoneticPr fontId="4" type="noConversion"/>
  </si>
  <si>
    <t>Law</t>
    <phoneticPr fontId="4" type="noConversion"/>
  </si>
  <si>
    <t>理由</t>
    <phoneticPr fontId="4" type="noConversion"/>
  </si>
  <si>
    <t>資產
價值</t>
    <phoneticPr fontId="4" type="noConversion"/>
  </si>
  <si>
    <t>評鑑
人員</t>
    <phoneticPr fontId="4" type="noConversion"/>
  </si>
  <si>
    <t>資產價值評鑑</t>
    <phoneticPr fontId="4" type="noConversion"/>
  </si>
  <si>
    <t>資產類別
編號</t>
    <phoneticPr fontId="4" type="noConversion"/>
  </si>
  <si>
    <t>C：</t>
    <phoneticPr fontId="4" type="noConversion"/>
  </si>
  <si>
    <t>I：</t>
    <phoneticPr fontId="4" type="noConversion"/>
  </si>
  <si>
    <t>A：</t>
    <phoneticPr fontId="4" type="noConversion"/>
  </si>
  <si>
    <t>L：</t>
    <phoneticPr fontId="4" type="noConversion"/>
  </si>
  <si>
    <t>文件類(DC)</t>
    <phoneticPr fontId="1" type="noConversion"/>
  </si>
  <si>
    <t>價值評鑑</t>
    <phoneticPr fontId="1" type="noConversion"/>
  </si>
  <si>
    <t>威脅弱點評估</t>
    <phoneticPr fontId="1" type="noConversion"/>
  </si>
  <si>
    <t>H&amp;I欄不可移動</t>
    <phoneticPr fontId="1" type="noConversion"/>
  </si>
  <si>
    <t>價值</t>
  </si>
  <si>
    <t>機密性( C )-評估標準說明</t>
    <phoneticPr fontId="1" type="noConversion"/>
  </si>
  <si>
    <t>CIA關聯</t>
    <phoneticPr fontId="1" type="noConversion"/>
  </si>
  <si>
    <r>
      <rPr>
        <sz val="12"/>
        <color rgb="FFFF0000"/>
        <rFont val="微軟正黑體"/>
        <family val="2"/>
        <charset val="136"/>
      </rPr>
      <t>一般</t>
    </r>
    <r>
      <rPr>
        <sz val="12"/>
        <color theme="1"/>
        <rFont val="微軟正黑體"/>
        <family val="2"/>
        <charset val="136"/>
      </rPr>
      <t>︰此資訊資產被揭露不會對本組織造成任何影響</t>
    </r>
    <phoneticPr fontId="1" type="noConversion"/>
  </si>
  <si>
    <r>
      <rPr>
        <sz val="12"/>
        <color rgb="FFFF0000"/>
        <rFont val="微軟正黑體"/>
        <family val="2"/>
        <charset val="136"/>
      </rPr>
      <t>限閱</t>
    </r>
    <r>
      <rPr>
        <sz val="12"/>
        <color theme="1"/>
        <rFont val="微軟正黑體"/>
        <family val="2"/>
        <charset val="136"/>
      </rPr>
      <t>︰此資訊資產所包含資訊敏感且有特殊之機密性要求，僅限組織內部存取</t>
    </r>
    <phoneticPr fontId="1" type="noConversion"/>
  </si>
  <si>
    <t>C</t>
    <phoneticPr fontId="1" type="noConversion"/>
  </si>
  <si>
    <r>
      <rPr>
        <sz val="12"/>
        <color rgb="FFFF0000"/>
        <rFont val="微軟正黑體"/>
        <family val="2"/>
        <charset val="136"/>
      </rPr>
      <t>密</t>
    </r>
    <r>
      <rPr>
        <sz val="12"/>
        <color theme="1"/>
        <rFont val="微軟正黑體"/>
        <family val="2"/>
        <charset val="136"/>
      </rPr>
      <t>︰此資訊資產所包含資訊不當揭露會對本組織營運造成顯著影響，限定特定、業務範圍人員讀取</t>
    </r>
    <phoneticPr fontId="1" type="noConversion"/>
  </si>
  <si>
    <r>
      <rPr>
        <sz val="12"/>
        <color rgb="FFFF0000"/>
        <rFont val="微軟正黑體"/>
        <family val="2"/>
        <charset val="136"/>
      </rPr>
      <t>機密</t>
    </r>
    <r>
      <rPr>
        <sz val="12"/>
        <color theme="1"/>
        <rFont val="微軟正黑體"/>
        <family val="2"/>
        <charset val="136"/>
      </rPr>
      <t>︰此資訊資產所包含資訊為內部或法律所規範的機密資訊，不當揭露會造成組織嚴重傷害，限定少數特定人員才可讀取</t>
    </r>
    <phoneticPr fontId="1" type="noConversion"/>
  </si>
  <si>
    <t>CA</t>
    <phoneticPr fontId="1" type="noConversion"/>
  </si>
  <si>
    <t>完整性( I )-評估標準說明</t>
    <phoneticPr fontId="1" type="noConversion"/>
  </si>
  <si>
    <r>
      <rPr>
        <sz val="12"/>
        <color rgb="FFFF0000"/>
        <rFont val="微軟正黑體"/>
        <family val="2"/>
        <charset val="136"/>
      </rPr>
      <t>資訊</t>
    </r>
    <r>
      <rPr>
        <sz val="12"/>
        <color theme="1"/>
        <rFont val="微軟正黑體"/>
        <family val="2"/>
        <charset val="136"/>
      </rPr>
      <t>遭竄改或處理</t>
    </r>
    <r>
      <rPr>
        <sz val="12"/>
        <color rgb="FFFF0000"/>
        <rFont val="微軟正黑體"/>
        <family val="2"/>
        <charset val="136"/>
      </rPr>
      <t>錯誤</t>
    </r>
    <r>
      <rPr>
        <sz val="12"/>
        <color theme="1"/>
        <rFont val="微軟正黑體"/>
        <family val="2"/>
        <charset val="136"/>
      </rPr>
      <t>會對組織造成</t>
    </r>
    <r>
      <rPr>
        <sz val="12"/>
        <color rgb="FFFF0000"/>
        <rFont val="微軟正黑體"/>
        <family val="2"/>
        <charset val="136"/>
      </rPr>
      <t>輕度影響</t>
    </r>
    <phoneticPr fontId="1" type="noConversion"/>
  </si>
  <si>
    <r>
      <rPr>
        <sz val="12"/>
        <color rgb="FFFF0000"/>
        <rFont val="微軟正黑體"/>
        <family val="2"/>
        <charset val="136"/>
      </rPr>
      <t>資訊</t>
    </r>
    <r>
      <rPr>
        <sz val="12"/>
        <color theme="1"/>
        <rFont val="微軟正黑體"/>
        <family val="2"/>
        <charset val="136"/>
      </rPr>
      <t>遭竄改或處理</t>
    </r>
    <r>
      <rPr>
        <sz val="12"/>
        <color rgb="FFFF0000"/>
        <rFont val="微軟正黑體"/>
        <family val="2"/>
        <charset val="136"/>
      </rPr>
      <t>錯誤</t>
    </r>
    <r>
      <rPr>
        <sz val="12"/>
        <color theme="1"/>
        <rFont val="微軟正黑體"/>
        <family val="2"/>
        <charset val="136"/>
      </rPr>
      <t>會對組織造成</t>
    </r>
    <r>
      <rPr>
        <sz val="12"/>
        <color rgb="FFFF0000"/>
        <rFont val="微軟正黑體"/>
        <family val="2"/>
        <charset val="136"/>
      </rPr>
      <t>中度影響</t>
    </r>
    <phoneticPr fontId="1" type="noConversion"/>
  </si>
  <si>
    <r>
      <rPr>
        <sz val="12"/>
        <color rgb="FFFF0000"/>
        <rFont val="微軟正黑體"/>
        <family val="2"/>
        <charset val="136"/>
      </rPr>
      <t>資訊</t>
    </r>
    <r>
      <rPr>
        <sz val="12"/>
        <color theme="1"/>
        <rFont val="微軟正黑體"/>
        <family val="2"/>
        <charset val="136"/>
      </rPr>
      <t>遭竄改或處理錯誤會對組織造成</t>
    </r>
    <r>
      <rPr>
        <sz val="12"/>
        <color rgb="FFFF0000"/>
        <rFont val="微軟正黑體"/>
        <family val="2"/>
        <charset val="136"/>
      </rPr>
      <t>重度影響</t>
    </r>
    <phoneticPr fontId="1" type="noConversion"/>
  </si>
  <si>
    <r>
      <rPr>
        <sz val="12"/>
        <color rgb="FFFF0000"/>
        <rFont val="微軟正黑體"/>
        <family val="2"/>
        <charset val="136"/>
      </rPr>
      <t>資訊</t>
    </r>
    <r>
      <rPr>
        <sz val="12"/>
        <color theme="1"/>
        <rFont val="微軟正黑體"/>
        <family val="2"/>
        <charset val="136"/>
      </rPr>
      <t>遭竄改或處理</t>
    </r>
    <r>
      <rPr>
        <sz val="12"/>
        <color rgb="FFFF0000"/>
        <rFont val="微軟正黑體"/>
        <family val="2"/>
        <charset val="136"/>
      </rPr>
      <t>錯誤</t>
    </r>
    <r>
      <rPr>
        <sz val="12"/>
        <color theme="1"/>
        <rFont val="微軟正黑體"/>
        <family val="2"/>
        <charset val="136"/>
      </rPr>
      <t>會對組織造成</t>
    </r>
    <r>
      <rPr>
        <sz val="12"/>
        <color rgb="FFFF0000"/>
        <rFont val="微軟正黑體"/>
        <family val="2"/>
        <charset val="136"/>
      </rPr>
      <t>極為嚴重影響</t>
    </r>
    <r>
      <rPr>
        <sz val="12"/>
        <color theme="1"/>
        <rFont val="微軟正黑體"/>
        <family val="2"/>
        <charset val="136"/>
      </rPr>
      <t>，可能會造成</t>
    </r>
    <r>
      <rPr>
        <sz val="12"/>
        <color rgb="FFFF0000"/>
        <rFont val="微軟正黑體"/>
        <family val="2"/>
        <charset val="136"/>
      </rPr>
      <t>業務終止</t>
    </r>
    <phoneticPr fontId="1" type="noConversion"/>
  </si>
  <si>
    <r>
      <t>風險發生</t>
    </r>
    <r>
      <rPr>
        <sz val="12"/>
        <color rgb="FFFF0000"/>
        <rFont val="微軟正黑體"/>
        <family val="2"/>
        <charset val="136"/>
      </rPr>
      <t>可能影響到業務</t>
    </r>
    <r>
      <rPr>
        <sz val="12"/>
        <color theme="1"/>
        <rFont val="微軟正黑體"/>
        <family val="2"/>
        <charset val="136"/>
      </rPr>
      <t xml:space="preserve">
</t>
    </r>
    <r>
      <rPr>
        <sz val="10"/>
        <color theme="1"/>
        <rFont val="微軟正黑體"/>
        <family val="2"/>
        <charset val="136"/>
      </rPr>
      <t>（可以立即完成復原，但若持續發生且次數頻繁,對業務執行可能帶來潛在風險）</t>
    </r>
    <phoneticPr fontId="1" type="noConversion"/>
  </si>
  <si>
    <t>可用性( A )-評估標準說明</t>
    <phoneticPr fontId="1" type="noConversion"/>
  </si>
  <si>
    <r>
      <t>風險發生可能</t>
    </r>
    <r>
      <rPr>
        <sz val="12"/>
        <color rgb="FFFF0000"/>
        <rFont val="微軟正黑體"/>
        <family val="2"/>
        <charset val="136"/>
      </rPr>
      <t>造成業務暫停</t>
    </r>
    <r>
      <rPr>
        <sz val="12"/>
        <color theme="1"/>
        <rFont val="微軟正黑體"/>
        <family val="2"/>
        <charset val="136"/>
      </rPr>
      <t xml:space="preserve">
</t>
    </r>
    <r>
      <rPr>
        <sz val="10"/>
        <color theme="1"/>
        <rFont val="微軟正黑體"/>
        <family val="2"/>
        <charset val="136"/>
      </rPr>
      <t>（對於本中心整體業務執行影響不大、造成的損失可能僅影響單一業務或系統、損失可能影響僅個人或少數幾人、可以由個人進行復原、修復或進行復原的措施可以在8hrs內完成）</t>
    </r>
    <phoneticPr fontId="1" type="noConversion"/>
  </si>
  <si>
    <r>
      <t>該資訊資產</t>
    </r>
    <r>
      <rPr>
        <sz val="12"/>
        <color rgb="FFFF0000"/>
        <rFont val="微軟正黑體"/>
        <family val="2"/>
        <charset val="136"/>
      </rPr>
      <t>容許失效1天</t>
    </r>
    <r>
      <rPr>
        <sz val="12"/>
        <color theme="1"/>
        <rFont val="微軟正黑體"/>
        <family val="2"/>
        <charset val="136"/>
      </rPr>
      <t>以上，不用被修復或是尋找替代品</t>
    </r>
    <phoneticPr fontId="1" type="noConversion"/>
  </si>
  <si>
    <r>
      <t>風險發生可能</t>
    </r>
    <r>
      <rPr>
        <sz val="12"/>
        <color rgb="FFFF0000"/>
        <rFont val="微軟正黑體"/>
        <family val="2"/>
        <charset val="136"/>
      </rPr>
      <t>造成業務中斷</t>
    </r>
    <r>
      <rPr>
        <sz val="12"/>
        <color theme="1"/>
        <rFont val="微軟正黑體"/>
        <family val="2"/>
        <charset val="136"/>
      </rPr>
      <t xml:space="preserve">
</t>
    </r>
    <r>
      <rPr>
        <sz val="10"/>
        <color theme="1"/>
        <rFont val="微軟正黑體"/>
        <family val="2"/>
        <charset val="136"/>
      </rPr>
      <t>（風險處理不當可能對本中心形象或校譽造成損害、造成的損害可能影響全校、系統或相關服務停頓或癱瘓,業務無法運作、復原的措施僅能由特定專業人員才能進行或修復人員不易取得、復原無法於4hrs內完成、可能造成人員傷亡）</t>
    </r>
    <phoneticPr fontId="1" type="noConversion"/>
  </si>
  <si>
    <r>
      <t>該資訊資產</t>
    </r>
    <r>
      <rPr>
        <sz val="12"/>
        <color rgb="FFFF0000"/>
        <rFont val="微軟正黑體"/>
        <family val="2"/>
        <charset val="136"/>
      </rPr>
      <t>容許失效4小時(半天)以上，1天以下</t>
    </r>
    <r>
      <rPr>
        <sz val="12"/>
        <color theme="1"/>
        <rFont val="微軟正黑體"/>
        <family val="2"/>
        <charset val="136"/>
      </rPr>
      <t>，不用被修復或是尋找替代品</t>
    </r>
    <phoneticPr fontId="1" type="noConversion"/>
  </si>
  <si>
    <r>
      <t>該資訊資產</t>
    </r>
    <r>
      <rPr>
        <sz val="12"/>
        <color rgb="FFFF0000"/>
        <rFont val="微軟正黑體"/>
        <family val="2"/>
        <charset val="136"/>
      </rPr>
      <t>容許失效60分鐘(1小時)以上，4小時以下</t>
    </r>
    <r>
      <rPr>
        <sz val="12"/>
        <color theme="1"/>
        <rFont val="微軟正黑體"/>
        <family val="2"/>
        <charset val="136"/>
      </rPr>
      <t>，不用被修復或是尋找替代品</t>
    </r>
    <phoneticPr fontId="1" type="noConversion"/>
  </si>
  <si>
    <r>
      <t>該資訊資產</t>
    </r>
    <r>
      <rPr>
        <sz val="12"/>
        <color rgb="FFFF0000"/>
        <rFont val="微軟正黑體"/>
        <family val="2"/>
        <charset val="136"/>
      </rPr>
      <t>容許失效60分鐘內</t>
    </r>
    <r>
      <rPr>
        <sz val="12"/>
        <color theme="1"/>
        <rFont val="微軟正黑體"/>
        <family val="2"/>
        <charset val="136"/>
      </rPr>
      <t>，不用被修復或是尋找替代品</t>
    </r>
    <phoneticPr fontId="1" type="noConversion"/>
  </si>
  <si>
    <t>人員可用性( A )-評估標準說明</t>
    <phoneticPr fontId="1" type="noConversion"/>
  </si>
  <si>
    <r>
      <t>低：人員負責/接觸的業務，</t>
    </r>
    <r>
      <rPr>
        <sz val="12"/>
        <color rgb="FFFF0000"/>
        <rFont val="微軟正黑體"/>
        <family val="2"/>
        <charset val="136"/>
      </rPr>
      <t>不會</t>
    </r>
    <r>
      <rPr>
        <sz val="12"/>
        <color theme="1"/>
        <rFont val="微軟正黑體"/>
        <family val="2"/>
        <charset val="136"/>
      </rPr>
      <t>因為休假或缺乏代理人等因素而</t>
    </r>
    <r>
      <rPr>
        <sz val="12"/>
        <color rgb="FFFF0000"/>
        <rFont val="微軟正黑體"/>
        <family val="2"/>
        <charset val="136"/>
      </rPr>
      <t>影響業務</t>
    </r>
    <r>
      <rPr>
        <sz val="12"/>
        <color theme="1"/>
        <rFont val="微軟正黑體"/>
        <family val="2"/>
        <charset val="136"/>
      </rPr>
      <t>之執行</t>
    </r>
    <phoneticPr fontId="1" type="noConversion"/>
  </si>
  <si>
    <r>
      <t>中：人員負責/接觸的業務，</t>
    </r>
    <r>
      <rPr>
        <sz val="12"/>
        <color rgb="FFFF0000"/>
        <rFont val="微軟正黑體"/>
        <family val="2"/>
        <charset val="136"/>
      </rPr>
      <t>可能會</t>
    </r>
    <r>
      <rPr>
        <sz val="12"/>
        <color theme="1"/>
        <rFont val="微軟正黑體"/>
        <family val="2"/>
        <charset val="136"/>
      </rPr>
      <t>因為休假或缺乏代理人等因素而</t>
    </r>
    <r>
      <rPr>
        <sz val="12"/>
        <color rgb="FFFF0000"/>
        <rFont val="微軟正黑體"/>
        <family val="2"/>
        <charset val="136"/>
      </rPr>
      <t>影響業務</t>
    </r>
    <r>
      <rPr>
        <sz val="12"/>
        <color theme="1"/>
        <rFont val="微軟正黑體"/>
        <family val="2"/>
        <charset val="136"/>
      </rPr>
      <t>之執行</t>
    </r>
    <phoneticPr fontId="1" type="noConversion"/>
  </si>
  <si>
    <r>
      <t>高：人員負責/接觸的業務，因為休假或缺乏代理人等因素對業務執行</t>
    </r>
    <r>
      <rPr>
        <sz val="12"/>
        <color rgb="FFFF0000"/>
        <rFont val="微軟正黑體"/>
        <family val="2"/>
        <charset val="136"/>
      </rPr>
      <t>影響較高</t>
    </r>
    <phoneticPr fontId="1" type="noConversion"/>
  </si>
  <si>
    <r>
      <t>極高：人員負責/接觸的業務，會因為休假或缺乏代理人等因素對業務執行</t>
    </r>
    <r>
      <rPr>
        <sz val="12"/>
        <color rgb="FFFF0000"/>
        <rFont val="微軟正黑體"/>
        <family val="2"/>
        <charset val="136"/>
      </rPr>
      <t>影響極高</t>
    </r>
    <phoneticPr fontId="1" type="noConversion"/>
  </si>
  <si>
    <t>法令/合約( L )-評估標準說明</t>
    <phoneticPr fontId="1" type="noConversion"/>
  </si>
  <si>
    <r>
      <t>重大影響，對單位(部門)</t>
    </r>
    <r>
      <rPr>
        <sz val="12"/>
        <color rgb="FFFF0000"/>
        <rFont val="微軟正黑體"/>
        <family val="2"/>
        <charset val="136"/>
      </rPr>
      <t>工研院</t>
    </r>
    <r>
      <rPr>
        <sz val="12"/>
        <color theme="1"/>
        <rFont val="微軟正黑體"/>
        <family val="2"/>
        <charset val="136"/>
      </rPr>
      <t>造成相當大損害</t>
    </r>
    <phoneticPr fontId="1" type="noConversion"/>
  </si>
  <si>
    <r>
      <t>不可承受的影響，對全組織</t>
    </r>
    <r>
      <rPr>
        <sz val="12"/>
        <color rgb="FFFF0000"/>
        <rFont val="微軟正黑體"/>
        <family val="2"/>
        <charset val="136"/>
      </rPr>
      <t>能源局</t>
    </r>
    <r>
      <rPr>
        <sz val="12"/>
        <color theme="1"/>
        <rFont val="微軟正黑體"/>
        <family val="2"/>
        <charset val="136"/>
      </rPr>
      <t>造成相當大損害</t>
    </r>
    <phoneticPr fontId="1" type="noConversion"/>
  </si>
  <si>
    <t>缺乏管理政策、作業程序與辦法</t>
    <phoneticPr fontId="24" type="noConversion"/>
  </si>
  <si>
    <t>Y</t>
  </si>
  <si>
    <t>不當或未授權的存取</t>
    <phoneticPr fontId="1" type="noConversion"/>
  </si>
  <si>
    <t>文件銷毀不確實(如：未造銷毀清冊，有殘片)</t>
    <phoneticPr fontId="4" type="noConversion"/>
  </si>
  <si>
    <t>缺乏監督的機制與單位</t>
    <phoneticPr fontId="24" type="noConversion"/>
  </si>
  <si>
    <t>Y</t>
    <phoneticPr fontId="4" type="noConversion"/>
  </si>
  <si>
    <t>人員安全意識不足</t>
    <phoneticPr fontId="1" type="noConversion"/>
  </si>
  <si>
    <t>存取權限授權不當</t>
    <phoneticPr fontId="4" type="noConversion"/>
  </si>
  <si>
    <t>缺乏複製備份</t>
    <phoneticPr fontId="24" type="noConversion"/>
  </si>
  <si>
    <t>建築物的進出控制不足或不小心使用</t>
    <phoneticPr fontId="24" type="noConversion"/>
  </si>
  <si>
    <t>傳遞交付對象錯誤致遺失</t>
    <phoneticPr fontId="24" type="noConversion"/>
  </si>
  <si>
    <t>缺乏建築物、門、窗等物質的保護</t>
    <phoneticPr fontId="24" type="noConversion"/>
  </si>
  <si>
    <t>失竊</t>
    <phoneticPr fontId="1" type="noConversion"/>
  </si>
  <si>
    <t>人員疏忽(如：影印文件未及時取走致外洩)</t>
    <phoneticPr fontId="24" type="noConversion"/>
  </si>
  <si>
    <t>缺乏傳送或接收訊息的證據(如：收發記載不確實)</t>
    <phoneticPr fontId="4" type="noConversion"/>
  </si>
  <si>
    <t>其他威脅</t>
    <phoneticPr fontId="4" type="noConversion"/>
  </si>
  <si>
    <t>其他弱點</t>
    <phoneticPr fontId="4" type="noConversion"/>
  </si>
  <si>
    <t>不當或未授權的存取</t>
    <phoneticPr fontId="4" type="noConversion"/>
  </si>
  <si>
    <t>災害-淹水</t>
    <phoneticPr fontId="24" type="noConversion"/>
  </si>
  <si>
    <t>災害-火災</t>
    <phoneticPr fontId="24" type="noConversion"/>
  </si>
  <si>
    <t>故意的損害、破壞</t>
    <phoneticPr fontId="4" type="noConversion"/>
  </si>
  <si>
    <t>敏感資訊外洩</t>
    <phoneticPr fontId="24" type="noConversion"/>
  </si>
  <si>
    <t>失竊</t>
    <phoneticPr fontId="4" type="noConversion"/>
  </si>
  <si>
    <t>否認性</t>
    <phoneticPr fontId="24" type="noConversion"/>
  </si>
  <si>
    <t>AI</t>
    <phoneticPr fontId="1" type="noConversion"/>
  </si>
  <si>
    <t>N</t>
  </si>
  <si>
    <t>無</t>
    <phoneticPr fontId="1" type="noConversion"/>
  </si>
  <si>
    <t>工業技術研究院機密資料 禁止複製、轉載、外流ITRI CONFIDENTIAL DOCUMENT DO NOT COPY OR DISTRIBUTE</t>
    <phoneticPr fontId="1" type="noConversion"/>
  </si>
  <si>
    <t>石油與天然氣輸儲查核與檢測雲端平台</t>
    <phoneticPr fontId="1" type="noConversion"/>
  </si>
  <si>
    <t>材1-1</t>
    <phoneticPr fontId="1" type="noConversion"/>
  </si>
  <si>
    <t>材1-1-DC-01</t>
    <phoneticPr fontId="1" type="noConversion"/>
  </si>
  <si>
    <t>材1-1-DC-02</t>
    <phoneticPr fontId="1" type="noConversion"/>
  </si>
  <si>
    <t>保密同意書與切結書</t>
    <phoneticPr fontId="1" type="noConversion"/>
  </si>
  <si>
    <t>交付給能源局之保密同意書與切結書</t>
    <phoneticPr fontId="1" type="noConversion"/>
  </si>
  <si>
    <t>工研院文書處</t>
  </si>
  <si>
    <t>一個計畫成員一份</t>
  </si>
  <si>
    <t>吳榮正</t>
    <phoneticPr fontId="1" type="noConversion"/>
  </si>
  <si>
    <t>個資法issue</t>
  </si>
  <si>
    <t>姓名、保密期間都需要正確</t>
  </si>
  <si>
    <t>一式三份</t>
  </si>
  <si>
    <t>個資法
保密相關法規</t>
  </si>
  <si>
    <t>賴斐瓔 </t>
  </si>
  <si>
    <t>契約書影本</t>
    <phoneticPr fontId="1" type="noConversion"/>
  </si>
  <si>
    <t>助理保管</t>
    <phoneticPr fontId="1" type="noConversion"/>
  </si>
  <si>
    <t>計畫相關資料</t>
    <phoneticPr fontId="1" type="noConversion"/>
  </si>
  <si>
    <t>內部使用</t>
    <phoneticPr fontId="1" type="noConversion"/>
  </si>
  <si>
    <t>NA</t>
    <phoneticPr fontId="1" type="noConversion"/>
  </si>
  <si>
    <t>材1-1-DC-01</t>
    <phoneticPr fontId="4" type="noConversion"/>
  </si>
  <si>
    <t>材1-1-DC-02</t>
    <phoneticPr fontId="4" type="noConversion"/>
  </si>
  <si>
    <t>依據能源局的管理辦法及合約要求</t>
    <phoneticPr fontId="1" type="noConversion"/>
  </si>
  <si>
    <t>專人保管櫃子的鑰匙</t>
  </si>
  <si>
    <t>同仁知悉依據能源局的管理辦法及合約要求</t>
    <phoneticPr fontId="1" type="noConversion"/>
  </si>
  <si>
    <t>只同意計畫人員才能取得(資料管理人員會確認)</t>
    <phoneticPr fontId="1" type="noConversion"/>
  </si>
  <si>
    <t>行政處保管掃描檔</t>
    <phoneticPr fontId="1" type="noConversion"/>
  </si>
  <si>
    <t>有放在上鎖櫃中</t>
  </si>
  <si>
    <t>同仁具有認知，過往無發生此情況</t>
  </si>
  <si>
    <t>依照本院契約管理</t>
  </si>
  <si>
    <t>姓名、身份證字號</t>
  </si>
  <si>
    <t>吳榮正</t>
    <phoneticPr fontId="1" type="noConversion"/>
  </si>
  <si>
    <t>法定傳染病</t>
    <phoneticPr fontId="24" type="noConversion"/>
  </si>
  <si>
    <t>分流或居家辦公時缺乏複製備份</t>
    <phoneticPr fontId="24" type="noConversion"/>
  </si>
  <si>
    <t>Covid 19</t>
    <phoneticPr fontId="1" type="noConversion"/>
  </si>
  <si>
    <t>契約書由行政處保管</t>
    <phoneticPr fontId="1" type="noConversion"/>
  </si>
  <si>
    <t>張珮盈</t>
    <phoneticPr fontId="1" type="noConversion"/>
  </si>
  <si>
    <t>113/3/19</t>
    <phoneticPr fontId="1" type="noConversion"/>
  </si>
  <si>
    <t>無個人資料在其中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</si>
</sst>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微軟正黑體"/>
      <family val="2"/>
      <charset val="136"/>
    </font>
    <font>
      <b/>
      <sz val="12"/>
      <name val="微軟正黑體"/>
      <family val="2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theme="1"/>
      <name val="微軟正黑體"/>
      <family val="2"/>
      <charset val="136"/>
    </font>
    <font>
      <sz val="24"/>
      <color theme="1" tint="0.14999847407452621"/>
      <name val="微軟正黑體"/>
      <family val="2"/>
      <charset val="136"/>
    </font>
    <font>
      <sz val="28"/>
      <color theme="0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8"/>
      <color indexed="8"/>
      <name val="微軟正黑體"/>
      <family val="2"/>
      <charset val="136"/>
    </font>
    <font>
      <sz val="9"/>
      <color indexed="8"/>
      <name val="微軟正黑體"/>
      <family val="2"/>
      <charset val="136"/>
    </font>
    <font>
      <sz val="12"/>
      <color indexed="8"/>
      <name val="新細明體"/>
      <family val="1"/>
      <charset val="136"/>
    </font>
    <font>
      <sz val="28"/>
      <color rgb="FFFEC636"/>
      <name val="微軟正黑體"/>
      <family val="2"/>
      <charset val="136"/>
    </font>
    <font>
      <b/>
      <sz val="12"/>
      <name val="Calibri"/>
      <family val="2"/>
    </font>
    <font>
      <b/>
      <sz val="12"/>
      <color theme="0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3"/>
      <name val="微軟正黑體"/>
      <family val="2"/>
      <charset val="136"/>
    </font>
    <font>
      <sz val="3"/>
      <color indexed="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2"/>
      <color theme="0"/>
      <name val="微軟正黑體"/>
      <family val="2"/>
      <charset val="136"/>
    </font>
    <font>
      <sz val="2"/>
      <color indexed="8"/>
      <name val="微軟正黑體"/>
      <family val="2"/>
      <charset val="136"/>
    </font>
    <font>
      <sz val="9"/>
      <name val="細明體"/>
      <family val="3"/>
      <charset val="136"/>
    </font>
    <font>
      <sz val="12"/>
      <color indexed="9"/>
      <name val="微軟正黑體"/>
      <family val="2"/>
      <charset val="136"/>
    </font>
    <font>
      <b/>
      <sz val="12"/>
      <color indexed="81"/>
      <name val="新細明體"/>
      <family val="1"/>
      <charset val="136"/>
    </font>
    <font>
      <sz val="8"/>
      <color theme="0"/>
      <name val="微軟正黑體"/>
      <family val="2"/>
      <charset val="136"/>
    </font>
    <font>
      <sz val="26"/>
      <color theme="0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2"/>
      </patternFill>
    </fill>
    <fill>
      <patternFill patternType="solid">
        <fgColor rgb="FF99CCFF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14C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2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</cellStyleXfs>
  <cellXfs count="159">
    <xf numFmtId="0" fontId="0" fillId="0" borderId="0" xfId="0">
      <alignment vertical="center"/>
    </xf>
    <xf numFmtId="0" fontId="3" fillId="3" borderId="1" xfId="0" applyFont="1" applyFill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0" fontId="6" fillId="2" borderId="0" xfId="0" applyFont="1" applyFill="1">
      <alignment vertical="center"/>
    </xf>
    <xf numFmtId="0" fontId="10" fillId="0" borderId="0" xfId="3" applyFont="1" applyAlignment="1" applyProtection="1">
      <alignment vertical="center" wrapText="1"/>
      <protection locked="0"/>
    </xf>
    <xf numFmtId="0" fontId="12" fillId="0" borderId="0" xfId="3" applyFont="1" applyAlignment="1" applyProtection="1">
      <alignment vertical="center" wrapText="1"/>
      <protection locked="0"/>
    </xf>
    <xf numFmtId="0" fontId="6" fillId="0" borderId="1" xfId="0" applyFont="1" applyBorder="1" applyAlignment="1" applyProtection="1">
      <alignment horizontal="left" vertical="center" wrapText="1"/>
      <protection locked="0"/>
    </xf>
    <xf numFmtId="0" fontId="6" fillId="11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7" borderId="1" xfId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49" fontId="2" fillId="4" borderId="1" xfId="1" applyNumberFormat="1" applyFont="1" applyFill="1" applyBorder="1" applyAlignment="1" applyProtection="1">
      <alignment horizontal="center" vertical="center" wrapText="1"/>
      <protection locked="0"/>
    </xf>
    <xf numFmtId="49" fontId="2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49" fontId="9" fillId="0" borderId="1" xfId="1" applyNumberFormat="1" applyFont="1" applyBorder="1" applyAlignment="1" applyProtection="1">
      <alignment horizontal="left" vertical="center" wrapText="1"/>
      <protection locked="0"/>
    </xf>
    <xf numFmtId="0" fontId="10" fillId="8" borderId="6" xfId="3" applyFont="1" applyFill="1" applyBorder="1" applyAlignment="1">
      <alignment horizontal="center" vertical="center" wrapText="1"/>
    </xf>
    <xf numFmtId="0" fontId="10" fillId="7" borderId="6" xfId="3" applyFont="1" applyFill="1" applyBorder="1" applyAlignment="1">
      <alignment horizontal="center" vertical="center" wrapText="1"/>
    </xf>
    <xf numFmtId="0" fontId="11" fillId="0" borderId="0" xfId="3" applyFont="1" applyAlignment="1" applyProtection="1">
      <alignment vertical="center" wrapText="1"/>
      <protection locked="0"/>
    </xf>
    <xf numFmtId="0" fontId="17" fillId="0" borderId="0" xfId="3" applyFont="1" applyAlignment="1" applyProtection="1">
      <alignment vertical="center" wrapText="1"/>
      <protection locked="0"/>
    </xf>
    <xf numFmtId="49" fontId="2" fillId="0" borderId="0" xfId="0" applyNumberFormat="1" applyFont="1" applyAlignment="1" applyProtection="1">
      <alignment vertical="center" wrapText="1"/>
      <protection locked="0"/>
    </xf>
    <xf numFmtId="49" fontId="2" fillId="0" borderId="0" xfId="0" applyNumberFormat="1" applyFont="1" applyAlignment="1">
      <alignment vertical="center" wrapText="1"/>
    </xf>
    <xf numFmtId="0" fontId="6" fillId="0" borderId="0" xfId="0" applyFont="1" applyAlignment="1" applyProtection="1">
      <alignment vertical="center" wrapText="1"/>
      <protection locked="0"/>
    </xf>
    <xf numFmtId="0" fontId="10" fillId="9" borderId="6" xfId="3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49" fontId="2" fillId="4" borderId="4" xfId="1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1" applyNumberFormat="1" applyFont="1" applyBorder="1" applyAlignment="1" applyProtection="1">
      <alignment horizontal="left" vertical="center" wrapText="1"/>
      <protection locked="0"/>
    </xf>
    <xf numFmtId="49" fontId="2" fillId="6" borderId="8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9" xfId="1" applyNumberFormat="1" applyFont="1" applyFill="1" applyBorder="1" applyAlignment="1" applyProtection="1">
      <alignment horizontal="center" vertical="center" wrapText="1"/>
      <protection locked="0"/>
    </xf>
    <xf numFmtId="0" fontId="3" fillId="7" borderId="1" xfId="1" applyFont="1" applyFill="1" applyBorder="1" applyAlignment="1" applyProtection="1">
      <alignment horizontal="center" vertical="center" wrapText="1"/>
      <protection locked="0"/>
    </xf>
    <xf numFmtId="0" fontId="10" fillId="7" borderId="6" xfId="3" applyFont="1" applyFill="1" applyBorder="1" applyAlignment="1" applyProtection="1">
      <alignment horizontal="right" vertical="center" wrapText="1"/>
      <protection locked="0"/>
    </xf>
    <xf numFmtId="0" fontId="10" fillId="8" borderId="6" xfId="3" applyFont="1" applyFill="1" applyBorder="1" applyAlignment="1" applyProtection="1">
      <alignment horizontal="left" vertical="center" wrapText="1"/>
      <protection locked="0"/>
    </xf>
    <xf numFmtId="0" fontId="10" fillId="9" borderId="6" xfId="3" applyFont="1" applyFill="1" applyBorder="1" applyAlignment="1" applyProtection="1">
      <alignment horizontal="left" vertical="center" wrapText="1"/>
      <protection locked="0"/>
    </xf>
    <xf numFmtId="49" fontId="19" fillId="0" borderId="1" xfId="1" applyNumberFormat="1" applyFont="1" applyBorder="1" applyAlignment="1" applyProtection="1">
      <alignment horizontal="center" vertical="center" wrapText="1"/>
      <protection locked="0"/>
    </xf>
    <xf numFmtId="0" fontId="19" fillId="0" borderId="1" xfId="1" applyFont="1" applyBorder="1" applyAlignment="1" applyProtection="1">
      <alignment horizontal="center" vertical="center" wrapText="1"/>
      <protection locked="0"/>
    </xf>
    <xf numFmtId="0" fontId="19" fillId="0" borderId="2" xfId="1" applyFont="1" applyBorder="1" applyAlignment="1" applyProtection="1">
      <alignment horizontal="center" vertical="center" wrapText="1"/>
      <protection locked="0"/>
    </xf>
    <xf numFmtId="49" fontId="19" fillId="0" borderId="2" xfId="1" applyNumberFormat="1" applyFont="1" applyBorder="1" applyAlignment="1" applyProtection="1">
      <alignment horizontal="center" vertical="center" wrapText="1"/>
      <protection locked="0"/>
    </xf>
    <xf numFmtId="0" fontId="20" fillId="0" borderId="0" xfId="3" applyFont="1" applyAlignment="1" applyProtection="1">
      <alignment vertical="center" wrapText="1"/>
      <protection locked="0"/>
    </xf>
    <xf numFmtId="0" fontId="10" fillId="0" borderId="0" xfId="3" applyFont="1" applyAlignment="1" applyProtection="1">
      <alignment horizontal="left" vertical="center" wrapText="1"/>
      <protection locked="0"/>
    </xf>
    <xf numFmtId="0" fontId="10" fillId="7" borderId="1" xfId="3" applyFont="1" applyFill="1" applyBorder="1" applyAlignment="1" applyProtection="1">
      <alignment horizontal="right" vertical="center" wrapText="1"/>
      <protection locked="0"/>
    </xf>
    <xf numFmtId="0" fontId="2" fillId="7" borderId="1" xfId="3" applyFont="1" applyFill="1" applyBorder="1" applyAlignment="1" applyProtection="1">
      <alignment horizontal="right" vertical="center" wrapText="1"/>
      <protection locked="0"/>
    </xf>
    <xf numFmtId="0" fontId="10" fillId="7" borderId="9" xfId="3" applyFont="1" applyFill="1" applyBorder="1" applyAlignment="1" applyProtection="1">
      <alignment horizontal="right" vertical="center" wrapText="1"/>
      <protection locked="0"/>
    </xf>
    <xf numFmtId="0" fontId="2" fillId="7" borderId="12" xfId="3" applyFont="1" applyFill="1" applyBorder="1" applyAlignment="1" applyProtection="1">
      <alignment horizontal="right" vertical="center" wrapText="1"/>
      <protection locked="0"/>
    </xf>
    <xf numFmtId="0" fontId="22" fillId="10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 wrapText="1"/>
    </xf>
    <xf numFmtId="0" fontId="22" fillId="10" borderId="1" xfId="1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0" fontId="10" fillId="0" borderId="15" xfId="3" applyFont="1" applyBorder="1" applyAlignment="1" applyProtection="1">
      <alignment horizontal="left" vertical="center" wrapText="1"/>
      <protection locked="0"/>
    </xf>
    <xf numFmtId="0" fontId="23" fillId="0" borderId="16" xfId="3" applyFont="1" applyBorder="1" applyAlignment="1" applyProtection="1">
      <alignment vertical="center" wrapText="1"/>
      <protection locked="0"/>
    </xf>
    <xf numFmtId="0" fontId="23" fillId="0" borderId="1" xfId="3" applyFont="1" applyBorder="1" applyAlignment="1" applyProtection="1">
      <alignment vertical="center" wrapText="1"/>
      <protection locked="0"/>
    </xf>
    <xf numFmtId="0" fontId="23" fillId="0" borderId="2" xfId="3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0" fontId="10" fillId="7" borderId="1" xfId="0" applyFont="1" applyFill="1" applyBorder="1" applyAlignment="1" applyProtection="1">
      <alignment horizontal="center" vertical="center" wrapText="1"/>
      <protection hidden="1"/>
    </xf>
    <xf numFmtId="0" fontId="23" fillId="0" borderId="27" xfId="3" applyFont="1" applyBorder="1" applyAlignment="1" applyProtection="1">
      <alignment vertical="center" wrapText="1"/>
      <protection locked="0"/>
    </xf>
    <xf numFmtId="0" fontId="23" fillId="0" borderId="28" xfId="3" applyFont="1" applyBorder="1" applyAlignment="1" applyProtection="1">
      <alignment vertical="center" wrapText="1"/>
      <protection locked="0"/>
    </xf>
    <xf numFmtId="0" fontId="23" fillId="0" borderId="29" xfId="3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 hidden="1"/>
    </xf>
    <xf numFmtId="0" fontId="2" fillId="7" borderId="1" xfId="0" applyFont="1" applyFill="1" applyBorder="1" applyAlignment="1" applyProtection="1">
      <alignment horizontal="center" vertical="center" wrapText="1"/>
      <protection locked="0" hidden="1"/>
    </xf>
    <xf numFmtId="0" fontId="2" fillId="0" borderId="4" xfId="0" applyFont="1" applyBorder="1" applyAlignment="1" applyProtection="1">
      <alignment wrapText="1"/>
      <protection locked="0" hidden="1"/>
    </xf>
    <xf numFmtId="0" fontId="2" fillId="0" borderId="1" xfId="5" applyFont="1" applyBorder="1" applyAlignment="1" applyProtection="1">
      <alignment vertical="center" wrapText="1"/>
      <protection hidden="1"/>
    </xf>
    <xf numFmtId="0" fontId="2" fillId="0" borderId="1" xfId="0" applyFont="1" applyBorder="1" applyAlignment="1" applyProtection="1">
      <alignment vertical="center" wrapText="1"/>
      <protection hidden="1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 applyProtection="1">
      <alignment horizontal="left" vertical="center" wrapText="1"/>
      <protection locked="0" hidden="1"/>
    </xf>
    <xf numFmtId="0" fontId="2" fillId="0" borderId="1" xfId="0" applyFont="1" applyBorder="1" applyAlignment="1" applyProtection="1">
      <alignment horizontal="left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1" applyFont="1" applyBorder="1" applyAlignment="1" applyProtection="1">
      <alignment horizontal="left" vertical="center" wrapText="1"/>
      <protection locked="0"/>
    </xf>
    <xf numFmtId="0" fontId="2" fillId="0" borderId="1" xfId="1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0" borderId="0" xfId="3" applyFont="1" applyAlignment="1" applyProtection="1">
      <alignment vertical="center" wrapText="1"/>
      <protection locked="0"/>
    </xf>
    <xf numFmtId="0" fontId="28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right" vertical="center" wrapText="1"/>
    </xf>
    <xf numFmtId="0" fontId="14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right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/>
    </xf>
    <xf numFmtId="49" fontId="3" fillId="3" borderId="3" xfId="0" applyNumberFormat="1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4" borderId="4" xfId="0" applyFont="1" applyFill="1" applyBorder="1" applyAlignment="1">
      <alignment horizontal="center" vertical="center"/>
    </xf>
    <xf numFmtId="176" fontId="15" fillId="3" borderId="2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76" fontId="15" fillId="3" borderId="4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>
      <alignment horizontal="left" vertical="center" wrapText="1"/>
    </xf>
    <xf numFmtId="0" fontId="2" fillId="2" borderId="8" xfId="0" applyFont="1" applyFill="1" applyBorder="1" applyAlignment="1">
      <alignment horizontal="left" vertical="center" wrapText="1"/>
    </xf>
    <xf numFmtId="49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49" fontId="2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2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2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1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2" fillId="12" borderId="14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left" vertical="center" wrapText="1"/>
    </xf>
    <xf numFmtId="0" fontId="16" fillId="10" borderId="7" xfId="0" applyFont="1" applyFill="1" applyBorder="1" applyAlignment="1">
      <alignment horizontal="left" vertical="center" wrapText="1"/>
    </xf>
    <xf numFmtId="0" fontId="11" fillId="0" borderId="0" xfId="3" applyFont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left" vertical="center" wrapText="1"/>
      <protection hidden="1"/>
    </xf>
    <xf numFmtId="0" fontId="10" fillId="0" borderId="1" xfId="0" applyFont="1" applyBorder="1" applyAlignment="1" applyProtection="1">
      <alignment horizontal="left" vertical="center" wrapText="1"/>
      <protection hidden="1"/>
    </xf>
    <xf numFmtId="0" fontId="2" fillId="0" borderId="1" xfId="0" applyFont="1" applyBorder="1" applyAlignment="1" applyProtection="1">
      <alignment horizontal="left" vertical="center" wrapText="1"/>
      <protection locked="0" hidden="1"/>
    </xf>
    <xf numFmtId="0" fontId="2" fillId="0" borderId="8" xfId="0" applyFont="1" applyBorder="1" applyAlignment="1" applyProtection="1">
      <alignment horizontal="left" vertical="center" wrapText="1"/>
      <protection hidden="1"/>
    </xf>
    <xf numFmtId="0" fontId="2" fillId="0" borderId="24" xfId="0" applyFont="1" applyBorder="1" applyAlignment="1" applyProtection="1">
      <alignment horizontal="left" vertical="center" wrapText="1"/>
      <protection hidden="1"/>
    </xf>
    <xf numFmtId="0" fontId="2" fillId="0" borderId="25" xfId="0" applyFont="1" applyBorder="1" applyAlignment="1" applyProtection="1">
      <alignment horizontal="left" vertical="center" wrapText="1"/>
      <protection hidden="1"/>
    </xf>
    <xf numFmtId="0" fontId="2" fillId="0" borderId="26" xfId="0" applyFont="1" applyBorder="1" applyAlignment="1" applyProtection="1">
      <alignment horizontal="left" vertical="center" wrapText="1"/>
      <protection hidden="1"/>
    </xf>
    <xf numFmtId="0" fontId="10" fillId="0" borderId="4" xfId="0" applyFont="1" applyBorder="1" applyAlignment="1" applyProtection="1">
      <alignment horizontal="left" vertical="center" wrapText="1"/>
      <protection hidden="1"/>
    </xf>
    <xf numFmtId="0" fontId="25" fillId="0" borderId="22" xfId="0" applyFont="1" applyBorder="1" applyAlignment="1" applyProtection="1">
      <alignment horizontal="left" vertical="center" wrapText="1"/>
      <protection hidden="1"/>
    </xf>
    <xf numFmtId="0" fontId="25" fillId="0" borderId="14" xfId="0" applyFont="1" applyBorder="1" applyAlignment="1" applyProtection="1">
      <alignment horizontal="left" vertical="center" wrapText="1"/>
      <protection hidden="1"/>
    </xf>
    <xf numFmtId="0" fontId="25" fillId="0" borderId="23" xfId="0" applyFont="1" applyBorder="1" applyAlignment="1" applyProtection="1">
      <alignment horizontal="left" vertical="center" wrapText="1"/>
      <protection hidden="1"/>
    </xf>
    <xf numFmtId="0" fontId="2" fillId="0" borderId="1" xfId="0" applyFont="1" applyBorder="1" applyAlignment="1" applyProtection="1">
      <alignment horizontal="left" vertical="center" wrapText="1"/>
      <protection hidden="1"/>
    </xf>
    <xf numFmtId="0" fontId="2" fillId="0" borderId="18" xfId="3" applyFont="1" applyBorder="1" applyAlignment="1" applyProtection="1">
      <alignment vertical="center" wrapText="1"/>
      <protection locked="0"/>
    </xf>
    <xf numFmtId="0" fontId="2" fillId="0" borderId="19" xfId="3" applyFont="1" applyBorder="1" applyAlignment="1" applyProtection="1">
      <alignment vertical="center" wrapText="1"/>
      <protection locked="0"/>
    </xf>
    <xf numFmtId="0" fontId="2" fillId="0" borderId="20" xfId="3" applyFont="1" applyBorder="1" applyAlignment="1" applyProtection="1">
      <alignment vertical="center" wrapText="1"/>
      <protection locked="0"/>
    </xf>
    <xf numFmtId="0" fontId="2" fillId="0" borderId="8" xfId="5" applyFont="1" applyBorder="1" applyAlignment="1" applyProtection="1">
      <alignment horizontal="left" vertical="center" wrapText="1"/>
      <protection hidden="1"/>
    </xf>
    <xf numFmtId="0" fontId="25" fillId="0" borderId="21" xfId="5" applyFont="1" applyBorder="1" applyAlignment="1" applyProtection="1">
      <alignment horizontal="left" vertical="center" wrapText="1"/>
      <protection hidden="1"/>
    </xf>
    <xf numFmtId="0" fontId="25" fillId="0" borderId="0" xfId="5" applyFont="1" applyAlignment="1" applyProtection="1">
      <alignment horizontal="left" vertical="center" wrapText="1"/>
      <protection hidden="1"/>
    </xf>
    <xf numFmtId="0" fontId="25" fillId="0" borderId="7" xfId="5" applyFont="1" applyBorder="1" applyAlignment="1" applyProtection="1">
      <alignment horizontal="left" vertical="center" wrapText="1"/>
      <protection hidden="1"/>
    </xf>
    <xf numFmtId="0" fontId="2" fillId="0" borderId="4" xfId="5" applyFont="1" applyBorder="1" applyAlignment="1" applyProtection="1">
      <alignment horizontal="left" vertical="center" wrapText="1"/>
      <protection hidden="1"/>
    </xf>
    <xf numFmtId="0" fontId="2" fillId="0" borderId="1" xfId="5" applyFont="1" applyBorder="1" applyAlignment="1" applyProtection="1">
      <alignment horizontal="left" vertical="center" wrapText="1"/>
      <protection hidden="1"/>
    </xf>
    <xf numFmtId="0" fontId="10" fillId="0" borderId="5" xfId="3" applyFont="1" applyBorder="1" applyAlignment="1" applyProtection="1">
      <alignment vertical="center" wrapText="1"/>
      <protection locked="0"/>
    </xf>
    <xf numFmtId="0" fontId="10" fillId="0" borderId="10" xfId="3" applyFont="1" applyBorder="1" applyAlignment="1" applyProtection="1">
      <alignment vertical="center" wrapText="1"/>
      <protection locked="0"/>
    </xf>
    <xf numFmtId="0" fontId="10" fillId="0" borderId="16" xfId="3" applyFont="1" applyBorder="1" applyAlignment="1" applyProtection="1">
      <alignment vertical="center" wrapText="1"/>
      <protection locked="0"/>
    </xf>
    <xf numFmtId="0" fontId="2" fillId="0" borderId="5" xfId="3" applyFont="1" applyBorder="1" applyAlignment="1" applyProtection="1">
      <alignment vertical="center" wrapText="1"/>
      <protection locked="0"/>
    </xf>
    <xf numFmtId="0" fontId="2" fillId="0" borderId="10" xfId="3" applyFont="1" applyBorder="1" applyAlignment="1" applyProtection="1">
      <alignment vertical="center" wrapText="1"/>
      <protection locked="0"/>
    </xf>
    <xf numFmtId="0" fontId="2" fillId="0" borderId="16" xfId="3" applyFont="1" applyBorder="1" applyAlignment="1" applyProtection="1">
      <alignment vertical="center" wrapText="1"/>
      <protection locked="0"/>
    </xf>
    <xf numFmtId="0" fontId="2" fillId="0" borderId="13" xfId="3" applyFont="1" applyBorder="1" applyAlignment="1">
      <alignment horizontal="left" vertical="center" wrapText="1"/>
    </xf>
    <xf numFmtId="0" fontId="2" fillId="0" borderId="11" xfId="3" applyFont="1" applyBorder="1" applyAlignment="1">
      <alignment horizontal="left" vertical="center" wrapText="1"/>
    </xf>
    <xf numFmtId="0" fontId="2" fillId="0" borderId="17" xfId="3" applyFont="1" applyBorder="1" applyAlignment="1">
      <alignment horizontal="left" vertical="center" wrapText="1"/>
    </xf>
    <xf numFmtId="0" fontId="2" fillId="0" borderId="5" xfId="3" applyFont="1" applyBorder="1" applyAlignment="1">
      <alignment horizontal="left" vertical="center" wrapText="1"/>
    </xf>
    <xf numFmtId="0" fontId="2" fillId="0" borderId="10" xfId="3" applyFont="1" applyBorder="1" applyAlignment="1">
      <alignment horizontal="left" vertical="center" wrapText="1"/>
    </xf>
    <xf numFmtId="0" fontId="2" fillId="0" borderId="16" xfId="3" applyFont="1" applyBorder="1" applyAlignment="1">
      <alignment horizontal="left" vertical="center" wrapText="1"/>
    </xf>
    <xf numFmtId="0" fontId="2" fillId="13" borderId="5" xfId="3" applyFont="1" applyFill="1" applyBorder="1" applyAlignment="1" applyProtection="1">
      <alignment horizontal="left" vertical="center" wrapText="1"/>
      <protection locked="0"/>
    </xf>
    <xf numFmtId="0" fontId="2" fillId="13" borderId="10" xfId="3" applyFont="1" applyFill="1" applyBorder="1" applyAlignment="1" applyProtection="1">
      <alignment horizontal="left" vertical="center" wrapText="1"/>
      <protection locked="0"/>
    </xf>
    <xf numFmtId="0" fontId="2" fillId="13" borderId="16" xfId="3" applyFont="1" applyFill="1" applyBorder="1" applyAlignment="1" applyProtection="1">
      <alignment horizontal="left" vertical="center" wrapText="1"/>
      <protection locked="0"/>
    </xf>
    <xf numFmtId="0" fontId="2" fillId="0" borderId="16" xfId="0" applyFont="1" applyBorder="1" applyAlignment="1" applyProtection="1">
      <alignment horizontal="left" vertical="center" wrapText="1"/>
      <protection hidden="1"/>
    </xf>
    <xf numFmtId="0" fontId="3" fillId="7" borderId="2" xfId="1" applyFont="1" applyFill="1" applyBorder="1" applyAlignment="1" applyProtection="1">
      <alignment horizontal="center" vertical="center" wrapText="1"/>
      <protection locked="0"/>
    </xf>
    <xf numFmtId="0" fontId="3" fillId="7" borderId="3" xfId="1" applyFont="1" applyFill="1" applyBorder="1" applyAlignment="1" applyProtection="1">
      <alignment horizontal="center" vertical="center" wrapText="1"/>
      <protection locked="0"/>
    </xf>
    <xf numFmtId="0" fontId="3" fillId="7" borderId="4" xfId="1" applyFont="1" applyFill="1" applyBorder="1" applyAlignment="1" applyProtection="1">
      <alignment horizontal="center" vertical="center" wrapText="1"/>
      <protection locked="0"/>
    </xf>
    <xf numFmtId="0" fontId="10" fillId="0" borderId="4" xfId="5" applyFont="1" applyBorder="1" applyAlignment="1" applyProtection="1">
      <alignment horizontal="left" vertical="center" wrapText="1"/>
      <protection hidden="1"/>
    </xf>
    <xf numFmtId="0" fontId="10" fillId="0" borderId="1" xfId="5" applyFont="1" applyBorder="1" applyAlignment="1" applyProtection="1">
      <alignment horizontal="left" vertical="center" wrapText="1"/>
      <protection hidden="1"/>
    </xf>
    <xf numFmtId="0" fontId="2" fillId="0" borderId="22" xfId="0" applyFont="1" applyBorder="1" applyAlignment="1" applyProtection="1">
      <alignment horizontal="left" vertical="center" wrapText="1"/>
      <protection hidden="1"/>
    </xf>
    <xf numFmtId="0" fontId="2" fillId="0" borderId="14" xfId="0" applyFont="1" applyBorder="1" applyAlignment="1" applyProtection="1">
      <alignment horizontal="left" vertical="center" wrapText="1"/>
      <protection hidden="1"/>
    </xf>
    <xf numFmtId="0" fontId="2" fillId="0" borderId="23" xfId="0" applyFont="1" applyBorder="1" applyAlignment="1" applyProtection="1">
      <alignment horizontal="left" vertical="center" wrapText="1"/>
      <protection hidden="1"/>
    </xf>
    <xf numFmtId="0" fontId="2" fillId="13" borderId="1" xfId="0" applyFont="1" applyFill="1" applyBorder="1" applyAlignment="1" applyProtection="1">
      <alignment horizontal="left" vertical="center" wrapText="1"/>
      <protection locked="0"/>
    </xf>
    <xf numFmtId="0" fontId="2" fillId="13" borderId="1" xfId="0" applyFont="1" applyFill="1" applyBorder="1" applyAlignment="1" applyProtection="1">
      <alignment vertical="center" wrapText="1"/>
      <protection locked="0"/>
    </xf>
    <xf numFmtId="0" fontId="2" fillId="13" borderId="1" xfId="0" applyFont="1" applyFill="1" applyBorder="1" applyAlignment="1" applyProtection="1">
      <alignment horizontal="center" vertical="center" wrapText="1"/>
      <protection locked="0"/>
    </xf>
    <xf numFmtId="49" fontId="2" fillId="13" borderId="1" xfId="1" applyNumberFormat="1" applyFont="1" applyFill="1" applyBorder="1" applyAlignment="1" applyProtection="1">
      <alignment horizontal="left" vertical="center" wrapText="1"/>
      <protection locked="0"/>
    </xf>
    <xf numFmtId="0" fontId="2" fillId="13" borderId="1" xfId="0" applyFont="1" applyFill="1" applyBorder="1" applyAlignment="1" applyProtection="1">
      <alignment horizontal="left" vertical="center" wrapText="1"/>
      <protection locked="0" hidden="1"/>
    </xf>
  </cellXfs>
  <cellStyles count="6">
    <cellStyle name="一般" xfId="0" builtinId="0"/>
    <cellStyle name="一般 2" xfId="2" xr:uid="{00000000-0005-0000-0000-000001000000}"/>
    <cellStyle name="一般 3" xfId="3" xr:uid="{00000000-0005-0000-0000-000002000000}"/>
    <cellStyle name="一般 4" xfId="4" xr:uid="{00000000-0005-0000-0000-000003000000}"/>
    <cellStyle name="一般_Asset &amp; RA彙總表_050822" xfId="1" xr:uid="{00000000-0005-0000-0000-000004000000}"/>
    <cellStyle name="一般_資訊資產清單KHL-W-P-003-001-A0-PWC_I-DC-D006 威脅與弱點評估表_v0.23" xfId="5" xr:uid="{00000000-0005-0000-0000-000005000000}"/>
  </cellStyles>
  <dxfs count="0"/>
  <tableStyles count="0" defaultTableStyle="TableStyleMedium2" defaultPivotStyle="PivotStyleLight16"/>
  <colors>
    <mruColors>
      <color rgb="FFFF614C"/>
      <color rgb="FF99CCFF"/>
      <color rgb="FFFEC636"/>
      <color rgb="FF6BCBC5"/>
      <color rgb="FF6699CC"/>
      <color rgb="FF003366"/>
      <color rgb="FF85509D"/>
      <color rgb="FFE1D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</xdr:rowOff>
    </xdr:from>
    <xdr:to>
      <xdr:col>10</xdr:col>
      <xdr:colOff>9525</xdr:colOff>
      <xdr:row>1</xdr:row>
      <xdr:rowOff>28575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685800" y="19049"/>
          <a:ext cx="6572250" cy="219076"/>
        </a:xfrm>
        <a:prstGeom prst="rect">
          <a:avLst/>
        </a:prstGeom>
        <a:solidFill>
          <a:srgbClr val="003366"/>
        </a:solidFill>
        <a:ln>
          <a:noFill/>
        </a:ln>
        <a:effectLst/>
      </xdr:spPr>
      <xdr:txBody>
        <a:bodyPr vertOverflow="clip" wrap="square" lIns="219456" tIns="219456" rIns="219456" bIns="219456" anchor="t" upright="1"/>
        <a:lstStyle/>
        <a:p>
          <a:pPr algn="l" rtl="0">
            <a:lnSpc>
              <a:spcPts val="12100"/>
            </a:lnSpc>
            <a:defRPr sz="1000"/>
          </a:pPr>
          <a:endParaRPr lang="zh-TW" altLang="en-US" sz="9000" b="0" i="0" u="none" strike="noStrike" baseline="0">
            <a:solidFill>
              <a:srgbClr val="FFFFFF"/>
            </a:solidFill>
            <a:latin typeface="Microsoft JhengHei UI"/>
            <a:ea typeface="Microsoft JhengHei UI"/>
          </a:endParaRPr>
        </a:p>
        <a:p>
          <a:pPr algn="l" rtl="0">
            <a:lnSpc>
              <a:spcPts val="12100"/>
            </a:lnSpc>
            <a:defRPr sz="1000"/>
          </a:pPr>
          <a:endParaRPr lang="zh-TW" altLang="en-US" sz="9000" b="0" i="0" u="none" strike="noStrike" baseline="0">
            <a:solidFill>
              <a:srgbClr val="FFFFFF"/>
            </a:solidFill>
            <a:latin typeface="Microsoft JhengHei UI"/>
            <a:ea typeface="Microsoft JhengHei UI"/>
          </a:endParaRPr>
        </a:p>
      </xdr:txBody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11</xdr:col>
      <xdr:colOff>105305</xdr:colOff>
      <xdr:row>1</xdr:row>
      <xdr:rowOff>98454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216" y="0"/>
          <a:ext cx="719455" cy="2946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469900</xdr:colOff>
          <xdr:row>11</xdr:row>
          <xdr:rowOff>95250</xdr:rowOff>
        </xdr:from>
        <xdr:to>
          <xdr:col>16</xdr:col>
          <xdr:colOff>469900</xdr:colOff>
          <xdr:row>13</xdr:row>
          <xdr:rowOff>184150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完成後請按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184150</xdr:colOff>
          <xdr:row>0</xdr:row>
          <xdr:rowOff>133350</xdr:rowOff>
        </xdr:from>
        <xdr:to>
          <xdr:col>11</xdr:col>
          <xdr:colOff>342900</xdr:colOff>
          <xdr:row>3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CIA關聯校驗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688881</xdr:colOff>
      <xdr:row>26</xdr:row>
      <xdr:rowOff>177458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811835" y="34185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688881</xdr:colOff>
      <xdr:row>26</xdr:row>
      <xdr:rowOff>177458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527956" y="969293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4037;&#20316;&#38917;&#30446;\FY105\&#39135;&#21697;&#30740;&#31350;&#25152;\&#39135;&#21697;&#30740;&#31350;&#25152;-&#39080;&#38570;&#35413;&#37969;\&#22521;&#33775;&#31684;&#20363;\20150707\20150707\RA\&#39080;&#38570;&#35413;&#37969;_&#20154;&#21729;&#39006;_20150707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8568;&#36523;&#30879;backup(101.7.26)\&#28450;&#27665;&#31185;&#25216;\RA\&#36575;&#39636;&#39006;&#36039;&#2998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資產清單資訊"/>
      <sheetName val="人員資產群組清單"/>
      <sheetName val="人員風險_PE_01"/>
      <sheetName val="人員風險_PE_03"/>
      <sheetName val="人員風險_PE_10"/>
      <sheetName val="人員風險_PE_11"/>
      <sheetName val="人員風險_PE_13"/>
      <sheetName val="人員風險_PE_12"/>
      <sheetName val="人員風險_PE_14"/>
      <sheetName val="人員風險_PE_15"/>
      <sheetName val="人員風險_16"/>
      <sheetName val="人員風險_PE_17"/>
      <sheetName val="人員風險_PE_18"/>
      <sheetName val="人員風險_PE_21"/>
      <sheetName val="人員風險_PE_22"/>
      <sheetName val="人員風險_PE_23"/>
      <sheetName val="人員風險_PE_25"/>
      <sheetName val="人員風險_PE_28"/>
      <sheetName val="人員風險_PE_36"/>
      <sheetName val="Ref"/>
      <sheetName val="工作表1"/>
    </sheetNames>
    <sheetDataSet>
      <sheetData sheetId="0">
        <row r="4">
          <cell r="D4" t="str">
            <v>漢民</v>
          </cell>
        </row>
      </sheetData>
      <sheetData sheetId="1">
        <row r="10">
          <cell r="D10" t="str">
            <v>(01) 管理階層</v>
          </cell>
        </row>
        <row r="11">
          <cell r="D11" t="str">
            <v>(06) Service Desk 人員</v>
          </cell>
        </row>
        <row r="12">
          <cell r="D12" t="str">
            <v>(06) Service Desk 人員</v>
          </cell>
        </row>
        <row r="13">
          <cell r="D13" t="str">
            <v>(06) Service Desk 人員</v>
          </cell>
        </row>
        <row r="14">
          <cell r="D14" t="str">
            <v>(06) Service Desk 人員</v>
          </cell>
        </row>
        <row r="15">
          <cell r="D15" t="str">
            <v>(06) Service Desk 人員</v>
          </cell>
        </row>
        <row r="16">
          <cell r="D16" t="str">
            <v>(06) Service Desk 人員</v>
          </cell>
        </row>
        <row r="17">
          <cell r="D17" t="str">
            <v>(06) Service Desk 人員</v>
          </cell>
        </row>
        <row r="18">
          <cell r="D18" t="str">
            <v>(06) Service Desk 人員</v>
          </cell>
        </row>
        <row r="19">
          <cell r="D19" t="str">
            <v>(05) 專案Leader</v>
          </cell>
        </row>
        <row r="20">
          <cell r="D20" t="str">
            <v>(03) MIS人員</v>
          </cell>
        </row>
        <row r="21">
          <cell r="D21" t="str">
            <v>(03) MIS人員</v>
          </cell>
        </row>
        <row r="22">
          <cell r="D22" t="str">
            <v>(05) 專案Leader</v>
          </cell>
        </row>
        <row r="23">
          <cell r="D23" t="str">
            <v>(03) MIS人員</v>
          </cell>
        </row>
        <row r="24">
          <cell r="D24" t="str">
            <v>(03) MIS人員</v>
          </cell>
        </row>
        <row r="25">
          <cell r="D25" t="str">
            <v>(03) MIS人員</v>
          </cell>
        </row>
        <row r="26">
          <cell r="D26" t="str">
            <v>(06) Service Desk 人員</v>
          </cell>
        </row>
        <row r="27">
          <cell r="D27" t="str">
            <v>(03) MIS人員</v>
          </cell>
        </row>
        <row r="28">
          <cell r="D28" t="str">
            <v>(05) 專案Leader</v>
          </cell>
        </row>
        <row r="29">
          <cell r="D29" t="str">
            <v>(03) MIS人員</v>
          </cell>
        </row>
        <row r="30">
          <cell r="D30" t="str">
            <v>(03) MIS人員</v>
          </cell>
        </row>
        <row r="31">
          <cell r="D31" t="str">
            <v>(03) MIS人員</v>
          </cell>
        </row>
        <row r="32">
          <cell r="D32" t="str">
            <v>(03) MIS人員</v>
          </cell>
        </row>
        <row r="33">
          <cell r="D33" t="str">
            <v>(03) MIS人員</v>
          </cell>
        </row>
        <row r="34">
          <cell r="D34" t="str">
            <v>(09) 合作夥伴(供應鏈上下游)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">
          <cell r="C3" t="str">
            <v>(01) 管理階層</v>
          </cell>
          <cell r="D3">
            <v>1</v>
          </cell>
          <cell r="M3">
            <v>1</v>
          </cell>
          <cell r="P3">
            <v>1</v>
          </cell>
          <cell r="S3">
            <v>1</v>
          </cell>
          <cell r="V3">
            <v>1</v>
          </cell>
          <cell r="Y3">
            <v>1</v>
          </cell>
          <cell r="AB3">
            <v>1</v>
          </cell>
          <cell r="AE3" t="str">
            <v>Y</v>
          </cell>
        </row>
        <row r="4">
          <cell r="C4" t="str">
            <v>(02) 研發人員</v>
          </cell>
          <cell r="D4">
            <v>0</v>
          </cell>
          <cell r="M4">
            <v>2</v>
          </cell>
          <cell r="P4">
            <v>2</v>
          </cell>
          <cell r="S4">
            <v>2</v>
          </cell>
          <cell r="V4">
            <v>2</v>
          </cell>
          <cell r="Y4">
            <v>2</v>
          </cell>
          <cell r="AB4">
            <v>2</v>
          </cell>
          <cell r="AE4" t="str">
            <v>N</v>
          </cell>
        </row>
        <row r="5">
          <cell r="C5" t="str">
            <v>(03) MIS人員</v>
          </cell>
          <cell r="D5">
            <v>11</v>
          </cell>
          <cell r="M5">
            <v>3</v>
          </cell>
          <cell r="P5">
            <v>3</v>
          </cell>
          <cell r="S5">
            <v>3</v>
          </cell>
          <cell r="V5">
            <v>3</v>
          </cell>
          <cell r="Y5">
            <v>3</v>
          </cell>
          <cell r="AB5">
            <v>3</v>
          </cell>
        </row>
        <row r="6">
          <cell r="C6" t="str">
            <v>(04) 工讀生</v>
          </cell>
          <cell r="D6">
            <v>0</v>
          </cell>
          <cell r="M6">
            <v>4</v>
          </cell>
          <cell r="P6">
            <v>4</v>
          </cell>
          <cell r="S6">
            <v>4</v>
          </cell>
          <cell r="V6">
            <v>4</v>
          </cell>
          <cell r="Y6">
            <v>4</v>
          </cell>
          <cell r="AB6">
            <v>4</v>
          </cell>
        </row>
        <row r="7">
          <cell r="C7" t="str">
            <v>(05) 專案Leader</v>
          </cell>
          <cell r="D7">
            <v>0</v>
          </cell>
        </row>
        <row r="8">
          <cell r="C8" t="str">
            <v>(06) Service Desk 人員</v>
          </cell>
          <cell r="D8">
            <v>1</v>
          </cell>
        </row>
        <row r="9">
          <cell r="C9" t="str">
            <v>(07) 駐點人員</v>
          </cell>
          <cell r="D9">
            <v>0</v>
          </cell>
        </row>
        <row r="10">
          <cell r="C10" t="str">
            <v>(08) 清潔人員</v>
          </cell>
          <cell r="D10">
            <v>0</v>
          </cell>
        </row>
        <row r="11">
          <cell r="C11" t="str">
            <v>(09) 合作夥伴(供應鏈上下游)</v>
          </cell>
          <cell r="D11">
            <v>0</v>
          </cell>
        </row>
        <row r="12">
          <cell r="C12" t="str">
            <v>(05) 聘僱人員</v>
          </cell>
          <cell r="D12">
            <v>0</v>
          </cell>
        </row>
      </sheetData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資產清單資訊"/>
      <sheetName val="軟體資產群組清單"/>
      <sheetName val="軟體風險_SW_01"/>
      <sheetName val="軟體風險_SW_02"/>
      <sheetName val="Ref"/>
    </sheetNames>
    <sheetDataSet>
      <sheetData sheetId="0"/>
      <sheetData sheetId="1">
        <row r="11">
          <cell r="A11" t="str">
            <v>SW-01</v>
          </cell>
          <cell r="B11" t="str">
            <v>05</v>
          </cell>
          <cell r="C11" t="str">
            <v>01</v>
          </cell>
          <cell r="D11" t="str">
            <v>(05) 套裝軟體</v>
          </cell>
          <cell r="E11" t="str">
            <v>oracle</v>
          </cell>
          <cell r="J11">
            <v>4</v>
          </cell>
          <cell r="L11">
            <v>1</v>
          </cell>
          <cell r="N11">
            <v>2</v>
          </cell>
          <cell r="P11">
            <v>3</v>
          </cell>
          <cell r="R11">
            <v>4</v>
          </cell>
        </row>
        <row r="12">
          <cell r="A12" t="str">
            <v>SW-02</v>
          </cell>
          <cell r="B12" t="str">
            <v>03</v>
          </cell>
          <cell r="C12" t="str">
            <v>02</v>
          </cell>
          <cell r="D12" t="str">
            <v>(03) 資料庫</v>
          </cell>
          <cell r="E12" t="str">
            <v>人員資料庫</v>
          </cell>
          <cell r="G12" t="str">
            <v>機房</v>
          </cell>
          <cell r="J12">
            <v>4</v>
          </cell>
          <cell r="L12">
            <v>4</v>
          </cell>
          <cell r="N12">
            <v>4</v>
          </cell>
          <cell r="P12">
            <v>4</v>
          </cell>
          <cell r="R12">
            <v>4</v>
          </cell>
        </row>
        <row r="13">
          <cell r="A13" t="str">
            <v>SW-03</v>
          </cell>
          <cell r="B13" t="str">
            <v>01</v>
          </cell>
          <cell r="C13" t="str">
            <v>03</v>
          </cell>
          <cell r="D13" t="str">
            <v>(01) 應用系統</v>
          </cell>
          <cell r="E13" t="str">
            <v>官網</v>
          </cell>
          <cell r="F13" t="str">
            <v>自行開發</v>
          </cell>
          <cell r="G13" t="str">
            <v>機房</v>
          </cell>
          <cell r="R13">
            <v>0</v>
          </cell>
        </row>
        <row r="14">
          <cell r="A14" t="str">
            <v>SW-04</v>
          </cell>
          <cell r="B14" t="str">
            <v>01</v>
          </cell>
          <cell r="C14" t="str">
            <v>04</v>
          </cell>
          <cell r="D14" t="str">
            <v>(01) 應用系統</v>
          </cell>
          <cell r="E14" t="str">
            <v>人事系統</v>
          </cell>
          <cell r="F14" t="str">
            <v>委外開發</v>
          </cell>
          <cell r="G14" t="str">
            <v>機房</v>
          </cell>
          <cell r="R14">
            <v>0</v>
          </cell>
        </row>
        <row r="15">
          <cell r="A15" t="str">
            <v>未輸入</v>
          </cell>
          <cell r="B15" t="str">
            <v/>
          </cell>
          <cell r="R15">
            <v>0</v>
          </cell>
        </row>
        <row r="16">
          <cell r="A16" t="str">
            <v>未輸入</v>
          </cell>
          <cell r="B16" t="str">
            <v/>
          </cell>
          <cell r="R16">
            <v>0</v>
          </cell>
        </row>
        <row r="17">
          <cell r="A17" t="str">
            <v>未輸入</v>
          </cell>
          <cell r="B17" t="str">
            <v/>
          </cell>
          <cell r="R17">
            <v>0</v>
          </cell>
        </row>
        <row r="18">
          <cell r="A18" t="str">
            <v>未輸入</v>
          </cell>
          <cell r="B18" t="str">
            <v/>
          </cell>
          <cell r="R18">
            <v>0</v>
          </cell>
        </row>
        <row r="19">
          <cell r="A19" t="str">
            <v>未輸入</v>
          </cell>
          <cell r="B19" t="str">
            <v/>
          </cell>
          <cell r="R19">
            <v>0</v>
          </cell>
        </row>
        <row r="20">
          <cell r="A20" t="str">
            <v>未輸入</v>
          </cell>
          <cell r="B20" t="str">
            <v/>
          </cell>
          <cell r="R20">
            <v>0</v>
          </cell>
        </row>
        <row r="21">
          <cell r="A21" t="str">
            <v>未輸入</v>
          </cell>
          <cell r="B21" t="str">
            <v/>
          </cell>
          <cell r="R21">
            <v>0</v>
          </cell>
        </row>
        <row r="22">
          <cell r="A22" t="str">
            <v>未輸入</v>
          </cell>
          <cell r="B22" t="str">
            <v/>
          </cell>
          <cell r="R22">
            <v>0</v>
          </cell>
        </row>
        <row r="23">
          <cell r="A23" t="str">
            <v>未輸入</v>
          </cell>
          <cell r="B23" t="str">
            <v/>
          </cell>
          <cell r="R23">
            <v>0</v>
          </cell>
        </row>
        <row r="24">
          <cell r="A24" t="str">
            <v>未輸入</v>
          </cell>
          <cell r="B24" t="str">
            <v/>
          </cell>
          <cell r="R24">
            <v>0</v>
          </cell>
        </row>
        <row r="25">
          <cell r="A25" t="str">
            <v>未輸入</v>
          </cell>
          <cell r="B25" t="str">
            <v/>
          </cell>
          <cell r="R25">
            <v>0</v>
          </cell>
        </row>
        <row r="26">
          <cell r="A26" t="str">
            <v>未輸入</v>
          </cell>
          <cell r="R26">
            <v>0</v>
          </cell>
        </row>
        <row r="27">
          <cell r="A27" t="str">
            <v>未輸入</v>
          </cell>
          <cell r="R27">
            <v>0</v>
          </cell>
        </row>
        <row r="28">
          <cell r="A28" t="str">
            <v>未輸入</v>
          </cell>
          <cell r="R28">
            <v>0</v>
          </cell>
        </row>
        <row r="29">
          <cell r="A29" t="str">
            <v>未輸入</v>
          </cell>
          <cell r="R29">
            <v>0</v>
          </cell>
        </row>
        <row r="30">
          <cell r="A30" t="str">
            <v>未輸入</v>
          </cell>
          <cell r="R30">
            <v>0</v>
          </cell>
        </row>
        <row r="31">
          <cell r="A31" t="str">
            <v>未輸入</v>
          </cell>
          <cell r="R31">
            <v>0</v>
          </cell>
        </row>
        <row r="32">
          <cell r="A32" t="str">
            <v>未輸入</v>
          </cell>
          <cell r="R32">
            <v>0</v>
          </cell>
        </row>
        <row r="33">
          <cell r="A33" t="str">
            <v>未輸入</v>
          </cell>
          <cell r="R33">
            <v>0</v>
          </cell>
        </row>
        <row r="34">
          <cell r="A34" t="str">
            <v>未輸入</v>
          </cell>
          <cell r="R34">
            <v>0</v>
          </cell>
        </row>
        <row r="35">
          <cell r="A35" t="str">
            <v>未輸入</v>
          </cell>
          <cell r="R35">
            <v>0</v>
          </cell>
        </row>
        <row r="36">
          <cell r="A36" t="str">
            <v>未輸入</v>
          </cell>
          <cell r="R36">
            <v>0</v>
          </cell>
        </row>
        <row r="37">
          <cell r="A37" t="str">
            <v>未輸入</v>
          </cell>
          <cell r="R37">
            <v>0</v>
          </cell>
        </row>
        <row r="38">
          <cell r="A38" t="str">
            <v>未輸入</v>
          </cell>
          <cell r="R38">
            <v>0</v>
          </cell>
        </row>
        <row r="39">
          <cell r="A39" t="str">
            <v>未輸入</v>
          </cell>
          <cell r="R39">
            <v>0</v>
          </cell>
        </row>
        <row r="40">
          <cell r="A40" t="str">
            <v>未輸入</v>
          </cell>
          <cell r="R40">
            <v>0</v>
          </cell>
        </row>
        <row r="41">
          <cell r="A41" t="str">
            <v>未輸入</v>
          </cell>
          <cell r="R41">
            <v>0</v>
          </cell>
        </row>
        <row r="42">
          <cell r="A42" t="str">
            <v>未輸入</v>
          </cell>
          <cell r="R42">
            <v>0</v>
          </cell>
        </row>
        <row r="43">
          <cell r="A43" t="str">
            <v>未輸入</v>
          </cell>
          <cell r="R43">
            <v>0</v>
          </cell>
        </row>
        <row r="44">
          <cell r="A44" t="str">
            <v>未輸入</v>
          </cell>
          <cell r="R44">
            <v>0</v>
          </cell>
        </row>
        <row r="45">
          <cell r="A45" t="str">
            <v>未輸入</v>
          </cell>
          <cell r="R45">
            <v>0</v>
          </cell>
        </row>
        <row r="46">
          <cell r="A46" t="str">
            <v>未輸入</v>
          </cell>
          <cell r="R46">
            <v>0</v>
          </cell>
        </row>
        <row r="47">
          <cell r="A47" t="str">
            <v>未輸入</v>
          </cell>
          <cell r="R47">
            <v>0</v>
          </cell>
        </row>
        <row r="48">
          <cell r="A48" t="str">
            <v>未輸入</v>
          </cell>
          <cell r="R48">
            <v>0</v>
          </cell>
        </row>
        <row r="49">
          <cell r="A49" t="str">
            <v>未輸入</v>
          </cell>
          <cell r="R49">
            <v>0</v>
          </cell>
        </row>
        <row r="50">
          <cell r="A50" t="str">
            <v>未輸入</v>
          </cell>
          <cell r="R50">
            <v>0</v>
          </cell>
        </row>
      </sheetData>
      <sheetData sheetId="2"/>
      <sheetData sheetId="3"/>
      <sheetData sheetId="4">
        <row r="3">
          <cell r="C3" t="str">
            <v>(01) 應用系統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/>
  </sheetPr>
  <dimension ref="B3:J15"/>
  <sheetViews>
    <sheetView topLeftCell="A7" zoomScale="80" zoomScaleNormal="80" workbookViewId="0">
      <selection activeCell="M13" sqref="M13"/>
    </sheetView>
  </sheetViews>
  <sheetFormatPr defaultColWidth="9" defaultRowHeight="15.5"/>
  <cols>
    <col min="1" max="1" width="9" style="5"/>
    <col min="2" max="2" width="14.08984375" style="5" customWidth="1"/>
    <col min="3" max="16384" width="9" style="5"/>
  </cols>
  <sheetData>
    <row r="3" spans="2:10" ht="63.5" customHeight="1">
      <c r="B3" s="77" t="s">
        <v>138</v>
      </c>
      <c r="C3" s="77"/>
      <c r="D3" s="77"/>
      <c r="E3" s="77"/>
      <c r="F3" s="77"/>
      <c r="G3" s="77"/>
      <c r="H3" s="77"/>
      <c r="I3" s="77"/>
      <c r="J3" s="77"/>
    </row>
    <row r="4" spans="2:10" ht="78.75" customHeight="1">
      <c r="B4" s="78" t="s">
        <v>32</v>
      </c>
      <c r="C4" s="79"/>
      <c r="D4" s="79"/>
      <c r="E4" s="79"/>
      <c r="F4" s="79"/>
      <c r="G4" s="79"/>
      <c r="H4" s="79"/>
      <c r="I4" s="79"/>
      <c r="J4" s="79"/>
    </row>
    <row r="5" spans="2:10" ht="78.75" customHeight="1">
      <c r="B5" s="80" t="s">
        <v>30</v>
      </c>
      <c r="C5" s="80"/>
      <c r="D5" s="80"/>
      <c r="E5" s="80"/>
      <c r="F5" s="80"/>
      <c r="G5" s="80"/>
      <c r="H5" s="80"/>
      <c r="I5" s="80"/>
      <c r="J5" s="80"/>
    </row>
    <row r="7" spans="2:10" ht="98.5" customHeight="1">
      <c r="B7" s="94" t="s">
        <v>76</v>
      </c>
      <c r="C7" s="94"/>
      <c r="D7" s="94"/>
      <c r="E7" s="94"/>
      <c r="F7" s="94"/>
      <c r="G7" s="94"/>
      <c r="H7" s="94"/>
      <c r="I7" s="94"/>
      <c r="J7" s="94"/>
    </row>
    <row r="9" spans="2:10" ht="16.649999999999999" hidden="1" customHeight="1">
      <c r="B9" s="1" t="s">
        <v>43</v>
      </c>
      <c r="C9" s="81"/>
      <c r="D9" s="82"/>
      <c r="E9" s="82"/>
      <c r="F9" s="82"/>
      <c r="G9" s="82"/>
      <c r="H9" s="82"/>
      <c r="I9" s="82"/>
      <c r="J9" s="83"/>
    </row>
    <row r="10" spans="2:10" ht="16">
      <c r="B10" s="1" t="s">
        <v>44</v>
      </c>
      <c r="C10" s="84" t="s">
        <v>139</v>
      </c>
      <c r="D10" s="85"/>
      <c r="E10" s="85"/>
      <c r="F10" s="85"/>
      <c r="G10" s="85"/>
      <c r="H10" s="85"/>
      <c r="I10" s="85"/>
      <c r="J10" s="86"/>
    </row>
    <row r="11" spans="2:10" ht="16">
      <c r="B11" s="1" t="s">
        <v>45</v>
      </c>
      <c r="C11" s="88" t="s">
        <v>174</v>
      </c>
      <c r="D11" s="89"/>
      <c r="E11" s="89"/>
      <c r="F11" s="89"/>
      <c r="G11" s="89"/>
      <c r="H11" s="89"/>
      <c r="I11" s="89"/>
      <c r="J11" s="90"/>
    </row>
    <row r="12" spans="2:10" ht="16">
      <c r="B12" s="1" t="s">
        <v>0</v>
      </c>
      <c r="C12" s="91">
        <v>1</v>
      </c>
      <c r="D12" s="92"/>
      <c r="E12" s="92"/>
      <c r="F12" s="92"/>
      <c r="G12" s="92"/>
      <c r="H12" s="92"/>
      <c r="I12" s="92"/>
      <c r="J12" s="93"/>
    </row>
    <row r="13" spans="2:10" ht="16">
      <c r="B13" s="1" t="s">
        <v>1</v>
      </c>
      <c r="C13" s="81" t="s">
        <v>33</v>
      </c>
      <c r="D13" s="82"/>
      <c r="E13" s="82"/>
      <c r="F13" s="82"/>
      <c r="G13" s="82"/>
      <c r="H13" s="82"/>
      <c r="I13" s="82"/>
      <c r="J13" s="83"/>
    </row>
    <row r="15" spans="2:10">
      <c r="B15" s="87" t="s">
        <v>137</v>
      </c>
      <c r="C15" s="87"/>
      <c r="D15" s="87"/>
      <c r="E15" s="87"/>
      <c r="F15" s="87"/>
      <c r="G15" s="87"/>
      <c r="H15" s="87"/>
      <c r="I15" s="87"/>
      <c r="J15" s="87"/>
    </row>
  </sheetData>
  <mergeCells count="10">
    <mergeCell ref="B15:J15"/>
    <mergeCell ref="C11:J11"/>
    <mergeCell ref="C12:J12"/>
    <mergeCell ref="C13:J13"/>
    <mergeCell ref="B7:J7"/>
    <mergeCell ref="B3:J3"/>
    <mergeCell ref="B4:J4"/>
    <mergeCell ref="B5:J5"/>
    <mergeCell ref="C9:J9"/>
    <mergeCell ref="C10:J10"/>
  </mergeCells>
  <phoneticPr fontId="1" type="noConversion"/>
  <dataValidations count="1">
    <dataValidation type="list" allowBlank="1" showInputMessage="1" showErrorMessage="1" sqref="C13:J13" xr:uid="{00000000-0002-0000-0000-000000000000}">
      <formula1>"一般,限閱級,密級,機密級"</formula1>
    </dataValidation>
  </dataValidations>
  <pageMargins left="1.9685039370078741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9" tint="-0.249977111117893"/>
    <pageSetUpPr fitToPage="1"/>
  </sheetPr>
  <dimension ref="A1:Q11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K12" sqref="K12"/>
    </sheetView>
  </sheetViews>
  <sheetFormatPr defaultColWidth="9" defaultRowHeight="15.5"/>
  <cols>
    <col min="1" max="1" width="12.7265625" style="27" customWidth="1"/>
    <col min="2" max="2" width="17.08984375" style="25" hidden="1" customWidth="1"/>
    <col min="3" max="3" width="16.7265625" style="25" customWidth="1"/>
    <col min="4" max="4" width="18.90625" style="25" customWidth="1"/>
    <col min="5" max="6" width="13.7265625" style="25" customWidth="1"/>
    <col min="7" max="7" width="8.7265625" style="17" customWidth="1"/>
    <col min="8" max="8" width="6.26953125" style="25" customWidth="1"/>
    <col min="9" max="9" width="13.36328125" style="25" customWidth="1"/>
    <col min="10" max="10" width="6.26953125" style="25" customWidth="1"/>
    <col min="11" max="11" width="13.36328125" style="25" customWidth="1"/>
    <col min="12" max="12" width="6.26953125" style="25" customWidth="1"/>
    <col min="13" max="13" width="13.36328125" style="25" customWidth="1"/>
    <col min="14" max="14" width="6.26953125" style="25" customWidth="1"/>
    <col min="15" max="15" width="13.36328125" style="25" customWidth="1"/>
    <col min="16" max="16" width="6.26953125" style="25" customWidth="1"/>
    <col min="17" max="17" width="8.7265625" style="17" customWidth="1"/>
    <col min="18" max="16384" width="9" style="25"/>
  </cols>
  <sheetData>
    <row r="1" spans="1:17" s="23" customFormat="1">
      <c r="A1" s="95" t="str">
        <f>資訊清單資訊!B3</f>
        <v>石油與天然氣輸儲查核與檢測雲端平台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</row>
    <row r="2" spans="1:17" s="23" customFormat="1">
      <c r="A2" s="95" t="str">
        <f>資訊清單資訊!B7 &amp;"資訊資產清冊"</f>
        <v>文件類(DC)資訊資產清冊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</row>
    <row r="3" spans="1:17" s="4" customFormat="1" hidden="1">
      <c r="A3" s="96" t="str">
        <f>資訊清單資訊!B9&amp; " : " &amp;資訊清單資訊!C9</f>
        <v xml:space="preserve">計畫代號 : </v>
      </c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</row>
    <row r="4" spans="1:17" s="24" customFormat="1">
      <c r="A4" s="96" t="str">
        <f>資訊清單資訊!B10&amp; " : " &amp;資訊清單資訊!C10</f>
        <v>編號 : 材1-1</v>
      </c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</row>
    <row r="5" spans="1:17" s="24" customFormat="1">
      <c r="A5" s="96" t="str">
        <f>資訊清單資訊!B11&amp; " : " &amp;資訊清單資訊!C11</f>
        <v>日期 : 113/3/19</v>
      </c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</row>
    <row r="6" spans="1:17" s="24" customFormat="1">
      <c r="A6" s="96" t="str">
        <f>資訊清單資訊!B12&amp; " : " &amp;資訊清單資訊!C12</f>
        <v>版本 : 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</row>
    <row r="7" spans="1:17" s="24" customFormat="1">
      <c r="A7" s="97" t="str">
        <f>資訊清單資訊!B13&amp; " : " &amp;資訊清單資訊!C13</f>
        <v>機密等級 : 限閱級</v>
      </c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</row>
    <row r="8" spans="1:17" s="14" customFormat="1">
      <c r="A8" s="30"/>
      <c r="B8" s="98" t="s">
        <v>55</v>
      </c>
      <c r="C8" s="98"/>
      <c r="D8" s="98"/>
      <c r="E8" s="98"/>
      <c r="F8" s="98"/>
      <c r="G8" s="99"/>
      <c r="H8" s="100" t="s">
        <v>70</v>
      </c>
      <c r="I8" s="101"/>
      <c r="J8" s="101"/>
      <c r="K8" s="101"/>
      <c r="L8" s="101"/>
      <c r="M8" s="101"/>
      <c r="N8" s="101"/>
      <c r="O8" s="101"/>
      <c r="P8" s="101"/>
      <c r="Q8" s="102"/>
    </row>
    <row r="9" spans="1:17" s="17" customFormat="1" ht="31">
      <c r="A9" s="31" t="s">
        <v>71</v>
      </c>
      <c r="B9" s="28" t="s">
        <v>2</v>
      </c>
      <c r="C9" s="15" t="s">
        <v>56</v>
      </c>
      <c r="D9" s="15" t="s">
        <v>57</v>
      </c>
      <c r="E9" s="15" t="s">
        <v>58</v>
      </c>
      <c r="F9" s="15" t="s">
        <v>59</v>
      </c>
      <c r="G9" s="15" t="s">
        <v>60</v>
      </c>
      <c r="H9" s="13" t="s">
        <v>61</v>
      </c>
      <c r="I9" s="13" t="s">
        <v>62</v>
      </c>
      <c r="J9" s="13" t="s">
        <v>63</v>
      </c>
      <c r="K9" s="13" t="s">
        <v>64</v>
      </c>
      <c r="L9" s="13" t="s">
        <v>65</v>
      </c>
      <c r="M9" s="13" t="s">
        <v>62</v>
      </c>
      <c r="N9" s="13" t="s">
        <v>66</v>
      </c>
      <c r="O9" s="13" t="s">
        <v>67</v>
      </c>
      <c r="P9" s="13" t="s">
        <v>68</v>
      </c>
      <c r="Q9" s="16" t="s">
        <v>69</v>
      </c>
    </row>
    <row r="10" spans="1:17" s="14" customFormat="1" ht="46.5">
      <c r="A10" s="29" t="s">
        <v>140</v>
      </c>
      <c r="B10" s="18"/>
      <c r="C10" s="154" t="s">
        <v>142</v>
      </c>
      <c r="D10" s="154" t="s">
        <v>143</v>
      </c>
      <c r="E10" s="154" t="s">
        <v>144</v>
      </c>
      <c r="F10" s="156" t="s">
        <v>145</v>
      </c>
      <c r="G10" s="157" t="s">
        <v>173</v>
      </c>
      <c r="H10" s="71">
        <v>3</v>
      </c>
      <c r="I10" s="72" t="s">
        <v>147</v>
      </c>
      <c r="J10" s="71">
        <v>3</v>
      </c>
      <c r="K10" s="72" t="s">
        <v>148</v>
      </c>
      <c r="L10" s="71">
        <v>2</v>
      </c>
      <c r="M10" s="72" t="s">
        <v>149</v>
      </c>
      <c r="N10" s="71">
        <v>3</v>
      </c>
      <c r="O10" s="70" t="s">
        <v>150</v>
      </c>
      <c r="P10" s="73">
        <f t="shared" ref="P10:P11" si="0">MAX(H10,J10,L10,N10)</f>
        <v>3</v>
      </c>
      <c r="Q10" s="74" t="s">
        <v>151</v>
      </c>
    </row>
    <row r="11" spans="1:17" s="14" customFormat="1" ht="31">
      <c r="A11" s="29" t="s">
        <v>141</v>
      </c>
      <c r="B11" s="8"/>
      <c r="C11" s="155" t="s">
        <v>152</v>
      </c>
      <c r="D11" s="155" t="s">
        <v>152</v>
      </c>
      <c r="E11" s="155" t="s">
        <v>153</v>
      </c>
      <c r="F11" s="156">
        <v>1</v>
      </c>
      <c r="G11" s="157" t="s">
        <v>146</v>
      </c>
      <c r="H11" s="71">
        <v>2</v>
      </c>
      <c r="I11" s="75" t="s">
        <v>154</v>
      </c>
      <c r="J11" s="71">
        <v>2</v>
      </c>
      <c r="K11" s="70" t="s">
        <v>155</v>
      </c>
      <c r="L11" s="71">
        <v>2</v>
      </c>
      <c r="M11" s="70" t="s">
        <v>155</v>
      </c>
      <c r="N11" s="70" t="s">
        <v>156</v>
      </c>
      <c r="O11" s="75" t="s">
        <v>136</v>
      </c>
      <c r="P11" s="73">
        <f t="shared" si="0"/>
        <v>2</v>
      </c>
      <c r="Q11" s="74" t="s">
        <v>151</v>
      </c>
    </row>
  </sheetData>
  <sheetProtection formatCells="0" formatColumns="0" formatRows="0" insertColumns="0" insertRows="0" insertHyperlinks="0" deleteColumns="0" deleteRows="0" sort="0" autoFilter="0" pivotTables="0"/>
  <autoFilter ref="A9:Q9" xr:uid="{00000000-0009-0000-0000-000001000000}"/>
  <mergeCells count="9">
    <mergeCell ref="A1:Q1"/>
    <mergeCell ref="A2:Q2"/>
    <mergeCell ref="A3:Q3"/>
    <mergeCell ref="A7:Q7"/>
    <mergeCell ref="B8:G8"/>
    <mergeCell ref="H8:Q8"/>
    <mergeCell ref="A4:Q4"/>
    <mergeCell ref="A5:Q5"/>
    <mergeCell ref="A6:Q6"/>
  </mergeCells>
  <phoneticPr fontId="1" type="noConversion"/>
  <dataValidations count="3">
    <dataValidation type="list" allowBlank="1" showInputMessage="1" showErrorMessage="1" sqref="H10:H420 J10:J420 L10:L420 N10" xr:uid="{00000000-0002-0000-0100-000000000000}">
      <formula1>"1,2,3,4"</formula1>
    </dataValidation>
    <dataValidation type="list" allowBlank="1" showInputMessage="1" showErrorMessage="1" sqref="N1:N8 N12:N1048576" xr:uid="{00000000-0002-0000-0100-000001000000}">
      <formula1>"2,3,4,NA"</formula1>
    </dataValidation>
    <dataValidation type="list" allowBlank="1" showInputMessage="1" showErrorMessage="1" sqref="B10:B420" xr:uid="{00000000-0002-0000-0100-000002000000}">
      <formula1>PE_SUBLIST</formula1>
    </dataValidation>
  </dataValidations>
  <pageMargins left="0" right="0" top="0.39370078740157483" bottom="0.59055118110236227" header="0.31496062992125984" footer="0.19685039370078741"/>
  <pageSetup paperSize="9" scale="83" fitToHeight="0" orientation="landscape" r:id="rId1"/>
  <headerFooter>
    <oddFooter>第 &amp;P 頁，共 &amp;N 頁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產生清單">
                <anchor moveWithCells="1" sizeWithCells="1">
                  <from>
                    <xdr:col>14</xdr:col>
                    <xdr:colOff>469900</xdr:colOff>
                    <xdr:row>11</xdr:row>
                    <xdr:rowOff>95250</xdr:rowOff>
                  </from>
                  <to>
                    <xdr:col>16</xdr:col>
                    <xdr:colOff>469900</xdr:colOff>
                    <xdr:row>13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theme="4"/>
  </sheetPr>
  <dimension ref="A1:I59"/>
  <sheetViews>
    <sheetView topLeftCell="C1" workbookViewId="0">
      <selection activeCell="H14" sqref="H14"/>
    </sheetView>
  </sheetViews>
  <sheetFormatPr defaultColWidth="9" defaultRowHeight="15.5"/>
  <cols>
    <col min="1" max="1" width="7.36328125" style="2" customWidth="1"/>
    <col min="2" max="2" width="76.7265625" style="51" customWidth="1"/>
    <col min="3" max="3" width="4" style="2" customWidth="1"/>
    <col min="4" max="4" width="7" style="11" customWidth="1"/>
    <col min="5" max="5" width="18.08984375" style="11" customWidth="1"/>
    <col min="6" max="6" width="72.7265625" style="51" customWidth="1"/>
    <col min="7" max="7" width="5.36328125" style="2" customWidth="1"/>
    <col min="8" max="8" width="29.7265625" style="2" customWidth="1"/>
    <col min="9" max="16384" width="9" style="2"/>
  </cols>
  <sheetData>
    <row r="1" spans="1:9">
      <c r="A1" s="103" t="s">
        <v>77</v>
      </c>
      <c r="B1" s="103"/>
      <c r="D1" s="104" t="s">
        <v>78</v>
      </c>
      <c r="E1" s="104"/>
      <c r="F1" s="104"/>
      <c r="H1" s="105" t="s">
        <v>79</v>
      </c>
      <c r="I1" s="105"/>
    </row>
    <row r="2" spans="1:9" ht="15.75" customHeight="1">
      <c r="A2" s="46" t="s">
        <v>80</v>
      </c>
      <c r="B2" s="47" t="s">
        <v>81</v>
      </c>
      <c r="D2" s="106" t="s">
        <v>46</v>
      </c>
      <c r="E2" s="106"/>
      <c r="F2" s="107"/>
      <c r="H2" s="48" t="s">
        <v>23</v>
      </c>
      <c r="I2" s="48" t="s">
        <v>82</v>
      </c>
    </row>
    <row r="3" spans="1:9" ht="15.75" customHeight="1">
      <c r="A3" s="49">
        <v>1</v>
      </c>
      <c r="B3" s="50" t="s">
        <v>83</v>
      </c>
      <c r="D3" s="9" t="s">
        <v>48</v>
      </c>
      <c r="E3" s="9" t="s">
        <v>35</v>
      </c>
      <c r="F3" s="9" t="s">
        <v>34</v>
      </c>
      <c r="H3" s="66" t="s">
        <v>127</v>
      </c>
      <c r="I3" s="49" t="s">
        <v>85</v>
      </c>
    </row>
    <row r="4" spans="1:9" ht="15.75" customHeight="1">
      <c r="A4" s="49">
        <v>2</v>
      </c>
      <c r="B4" s="50" t="s">
        <v>84</v>
      </c>
      <c r="D4" s="10">
        <v>1</v>
      </c>
      <c r="E4" s="10" t="s">
        <v>36</v>
      </c>
      <c r="F4" s="50" t="s">
        <v>49</v>
      </c>
      <c r="H4" s="67" t="s">
        <v>112</v>
      </c>
      <c r="I4" s="49" t="s">
        <v>85</v>
      </c>
    </row>
    <row r="5" spans="1:9" ht="15.75" customHeight="1">
      <c r="A5" s="49">
        <v>3</v>
      </c>
      <c r="B5" s="50" t="s">
        <v>86</v>
      </c>
      <c r="D5" s="10">
        <v>2</v>
      </c>
      <c r="E5" s="10" t="s">
        <v>37</v>
      </c>
      <c r="F5" s="50" t="s">
        <v>50</v>
      </c>
      <c r="H5" s="67" t="s">
        <v>128</v>
      </c>
      <c r="I5" s="49" t="s">
        <v>134</v>
      </c>
    </row>
    <row r="6" spans="1:9" ht="15.75" customHeight="1">
      <c r="A6" s="49">
        <v>4</v>
      </c>
      <c r="B6" s="50" t="s">
        <v>87</v>
      </c>
      <c r="D6" s="10">
        <v>3</v>
      </c>
      <c r="E6" s="10" t="s">
        <v>38</v>
      </c>
      <c r="F6" s="50" t="s">
        <v>47</v>
      </c>
      <c r="H6" s="67" t="s">
        <v>129</v>
      </c>
      <c r="I6" s="49" t="s">
        <v>134</v>
      </c>
    </row>
    <row r="7" spans="1:9" ht="15.75" customHeight="1">
      <c r="D7" s="10">
        <v>4</v>
      </c>
      <c r="E7" s="10" t="s">
        <v>39</v>
      </c>
      <c r="F7" s="50" t="s">
        <v>51</v>
      </c>
      <c r="H7" s="67" t="s">
        <v>130</v>
      </c>
      <c r="I7" s="49" t="s">
        <v>134</v>
      </c>
    </row>
    <row r="8" spans="1:9">
      <c r="A8" s="46" t="s">
        <v>80</v>
      </c>
      <c r="B8" s="47" t="s">
        <v>89</v>
      </c>
      <c r="H8" s="67" t="s">
        <v>131</v>
      </c>
      <c r="I8" s="49" t="s">
        <v>85</v>
      </c>
    </row>
    <row r="9" spans="1:9">
      <c r="A9" s="49">
        <v>1</v>
      </c>
      <c r="B9" s="50" t="s">
        <v>90</v>
      </c>
      <c r="H9" s="67" t="s">
        <v>132</v>
      </c>
      <c r="I9" s="49" t="s">
        <v>88</v>
      </c>
    </row>
    <row r="10" spans="1:9" ht="15.75" customHeight="1">
      <c r="A10" s="49">
        <v>2</v>
      </c>
      <c r="B10" s="50" t="s">
        <v>91</v>
      </c>
      <c r="D10" s="106" t="s">
        <v>52</v>
      </c>
      <c r="E10" s="106"/>
      <c r="F10" s="106"/>
      <c r="H10" s="67" t="s">
        <v>133</v>
      </c>
      <c r="I10" s="49" t="s">
        <v>85</v>
      </c>
    </row>
    <row r="11" spans="1:9" ht="15.75" customHeight="1">
      <c r="A11" s="49">
        <v>3</v>
      </c>
      <c r="B11" s="50" t="s">
        <v>92</v>
      </c>
      <c r="D11" s="9" t="s">
        <v>48</v>
      </c>
      <c r="E11" s="9" t="s">
        <v>35</v>
      </c>
      <c r="F11" s="9" t="s">
        <v>34</v>
      </c>
      <c r="H11" s="63" t="s">
        <v>125</v>
      </c>
      <c r="I11" s="68"/>
    </row>
    <row r="12" spans="1:9" ht="31.4" customHeight="1">
      <c r="A12" s="49">
        <v>4</v>
      </c>
      <c r="B12" s="50" t="s">
        <v>93</v>
      </c>
      <c r="D12" s="10">
        <v>1</v>
      </c>
      <c r="E12" s="10" t="s">
        <v>53</v>
      </c>
      <c r="F12" s="50" t="s">
        <v>54</v>
      </c>
    </row>
    <row r="13" spans="1:9" ht="47.15" customHeight="1">
      <c r="D13" s="10">
        <v>2</v>
      </c>
      <c r="E13" s="10" t="s">
        <v>40</v>
      </c>
      <c r="F13" s="50" t="s">
        <v>94</v>
      </c>
    </row>
    <row r="14" spans="1:9" ht="62.5" customHeight="1">
      <c r="A14" s="46" t="s">
        <v>80</v>
      </c>
      <c r="B14" s="47" t="s">
        <v>95</v>
      </c>
      <c r="D14" s="10">
        <v>3</v>
      </c>
      <c r="E14" s="10" t="s">
        <v>41</v>
      </c>
      <c r="F14" s="50" t="s">
        <v>96</v>
      </c>
    </row>
    <row r="15" spans="1:9" ht="54.5">
      <c r="A15" s="49">
        <v>1</v>
      </c>
      <c r="B15" s="50" t="s">
        <v>97</v>
      </c>
      <c r="D15" s="10">
        <v>4</v>
      </c>
      <c r="E15" s="10" t="s">
        <v>42</v>
      </c>
      <c r="F15" s="50" t="s">
        <v>98</v>
      </c>
    </row>
    <row r="16" spans="1:9">
      <c r="A16" s="49">
        <v>2</v>
      </c>
      <c r="B16" s="50" t="s">
        <v>99</v>
      </c>
    </row>
    <row r="17" spans="1:6" ht="31">
      <c r="A17" s="49">
        <v>3</v>
      </c>
      <c r="B17" s="50" t="s">
        <v>100</v>
      </c>
    </row>
    <row r="18" spans="1:6">
      <c r="A18" s="49">
        <v>4</v>
      </c>
      <c r="B18" s="50" t="s">
        <v>101</v>
      </c>
    </row>
    <row r="20" spans="1:6">
      <c r="A20" s="46" t="s">
        <v>80</v>
      </c>
      <c r="B20" s="47" t="s">
        <v>102</v>
      </c>
    </row>
    <row r="21" spans="1:6" ht="31">
      <c r="A21" s="49">
        <v>1</v>
      </c>
      <c r="B21" s="50" t="s">
        <v>103</v>
      </c>
    </row>
    <row r="22" spans="1:6" ht="31">
      <c r="A22" s="49">
        <v>2</v>
      </c>
      <c r="B22" s="50" t="s">
        <v>104</v>
      </c>
    </row>
    <row r="23" spans="1:6">
      <c r="A23" s="49">
        <v>3</v>
      </c>
      <c r="B23" s="50" t="s">
        <v>105</v>
      </c>
    </row>
    <row r="24" spans="1:6" ht="31">
      <c r="A24" s="49">
        <v>4</v>
      </c>
      <c r="B24" s="50" t="s">
        <v>106</v>
      </c>
    </row>
    <row r="26" spans="1:6">
      <c r="A26" s="46" t="s">
        <v>80</v>
      </c>
      <c r="B26" s="47" t="s">
        <v>107</v>
      </c>
    </row>
    <row r="27" spans="1:6">
      <c r="A27" s="49">
        <v>3</v>
      </c>
      <c r="B27" s="50" t="s">
        <v>108</v>
      </c>
    </row>
    <row r="28" spans="1:6">
      <c r="A28" s="49">
        <v>4</v>
      </c>
      <c r="B28" s="50" t="s">
        <v>109</v>
      </c>
    </row>
    <row r="31" spans="1:6" s="3" customFormat="1">
      <c r="A31" s="2"/>
      <c r="B31" s="51"/>
      <c r="D31" s="11"/>
      <c r="E31" s="11"/>
      <c r="F31" s="51"/>
    </row>
    <row r="32" spans="1:6" s="3" customFormat="1">
      <c r="A32" s="2"/>
      <c r="B32" s="51"/>
      <c r="D32" s="12"/>
      <c r="E32" s="12"/>
      <c r="F32" s="52"/>
    </row>
    <row r="33" spans="1:6" s="3" customFormat="1">
      <c r="A33" s="2"/>
      <c r="B33" s="51"/>
      <c r="D33" s="12"/>
      <c r="E33" s="12"/>
      <c r="F33" s="52"/>
    </row>
    <row r="34" spans="1:6" s="3" customFormat="1">
      <c r="B34" s="12"/>
      <c r="D34" s="12"/>
      <c r="E34" s="12"/>
      <c r="F34" s="52"/>
    </row>
    <row r="35" spans="1:6" s="3" customFormat="1">
      <c r="B35" s="12"/>
      <c r="D35" s="12"/>
      <c r="E35" s="12"/>
      <c r="F35" s="52"/>
    </row>
    <row r="36" spans="1:6" s="3" customFormat="1">
      <c r="B36" s="12"/>
      <c r="D36" s="12"/>
      <c r="E36" s="12"/>
      <c r="F36" s="52"/>
    </row>
    <row r="37" spans="1:6" s="3" customFormat="1">
      <c r="B37" s="12"/>
      <c r="D37" s="12"/>
      <c r="E37" s="12"/>
      <c r="F37" s="52"/>
    </row>
    <row r="38" spans="1:6" s="3" customFormat="1">
      <c r="B38" s="12"/>
      <c r="D38" s="12"/>
      <c r="E38" s="12"/>
      <c r="F38" s="52"/>
    </row>
    <row r="39" spans="1:6" s="3" customFormat="1">
      <c r="B39" s="12"/>
      <c r="D39" s="12"/>
      <c r="E39" s="12"/>
      <c r="F39" s="52"/>
    </row>
    <row r="40" spans="1:6" s="3" customFormat="1">
      <c r="B40" s="12"/>
      <c r="D40" s="12"/>
      <c r="E40" s="12"/>
      <c r="F40" s="52"/>
    </row>
    <row r="41" spans="1:6" s="3" customFormat="1">
      <c r="B41" s="12"/>
      <c r="D41" s="12"/>
      <c r="E41" s="12"/>
      <c r="F41" s="52"/>
    </row>
    <row r="42" spans="1:6" s="3" customFormat="1">
      <c r="B42" s="12"/>
      <c r="D42" s="12"/>
      <c r="E42" s="12"/>
      <c r="F42" s="52"/>
    </row>
    <row r="43" spans="1:6" s="3" customFormat="1">
      <c r="B43" s="12"/>
      <c r="D43" s="12"/>
      <c r="E43" s="12"/>
      <c r="F43" s="52"/>
    </row>
    <row r="44" spans="1:6" s="3" customFormat="1">
      <c r="B44" s="12"/>
      <c r="D44" s="12"/>
      <c r="E44" s="12"/>
      <c r="F44" s="52"/>
    </row>
    <row r="45" spans="1:6" s="3" customFormat="1">
      <c r="B45" s="12"/>
      <c r="D45" s="12"/>
      <c r="E45" s="12"/>
      <c r="F45" s="52"/>
    </row>
    <row r="46" spans="1:6" s="3" customFormat="1">
      <c r="B46" s="12"/>
      <c r="D46" s="12"/>
      <c r="E46" s="12"/>
      <c r="F46" s="52"/>
    </row>
    <row r="47" spans="1:6" s="3" customFormat="1">
      <c r="A47" s="53"/>
      <c r="B47" s="52"/>
      <c r="D47" s="12"/>
      <c r="E47" s="12"/>
      <c r="F47" s="52"/>
    </row>
    <row r="48" spans="1:6" s="3" customFormat="1">
      <c r="A48" s="53"/>
      <c r="B48" s="52"/>
      <c r="D48" s="12"/>
      <c r="E48" s="12"/>
      <c r="F48" s="52"/>
    </row>
    <row r="49" spans="1:6" s="3" customFormat="1">
      <c r="A49" s="53"/>
      <c r="B49" s="52"/>
      <c r="D49" s="12"/>
      <c r="E49" s="12"/>
      <c r="F49" s="52"/>
    </row>
    <row r="50" spans="1:6" s="3" customFormat="1">
      <c r="A50" s="53"/>
      <c r="B50" s="52"/>
      <c r="D50" s="12"/>
      <c r="E50" s="12"/>
      <c r="F50" s="52"/>
    </row>
    <row r="51" spans="1:6" s="3" customFormat="1">
      <c r="B51" s="52"/>
      <c r="D51" s="12"/>
      <c r="E51" s="12"/>
      <c r="F51" s="52"/>
    </row>
    <row r="52" spans="1:6" s="3" customFormat="1">
      <c r="B52" s="52"/>
      <c r="D52" s="12"/>
      <c r="E52" s="12"/>
      <c r="F52" s="52"/>
    </row>
    <row r="53" spans="1:6" s="3" customFormat="1">
      <c r="B53" s="52"/>
      <c r="D53" s="12"/>
      <c r="E53" s="12"/>
      <c r="F53" s="52"/>
    </row>
    <row r="54" spans="1:6" s="3" customFormat="1">
      <c r="B54" s="52"/>
      <c r="D54" s="12"/>
      <c r="E54" s="12"/>
      <c r="F54" s="52"/>
    </row>
    <row r="55" spans="1:6" s="3" customFormat="1">
      <c r="B55" s="52"/>
      <c r="D55" s="12"/>
      <c r="E55" s="12"/>
      <c r="F55" s="52"/>
    </row>
    <row r="56" spans="1:6" s="3" customFormat="1">
      <c r="B56" s="52"/>
      <c r="D56" s="12"/>
      <c r="E56" s="12"/>
      <c r="F56" s="52"/>
    </row>
    <row r="57" spans="1:6">
      <c r="A57" s="3"/>
      <c r="B57" s="52"/>
      <c r="D57" s="12"/>
      <c r="E57" s="12"/>
      <c r="F57" s="52"/>
    </row>
    <row r="58" spans="1:6">
      <c r="A58" s="3"/>
      <c r="B58" s="52"/>
    </row>
    <row r="59" spans="1:6">
      <c r="A59" s="3"/>
      <c r="B59" s="52"/>
    </row>
  </sheetData>
  <mergeCells count="5">
    <mergeCell ref="A1:B1"/>
    <mergeCell ref="D1:F1"/>
    <mergeCell ref="H1:I1"/>
    <mergeCell ref="D2:F2"/>
    <mergeCell ref="D10:F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CIA比對">
                <anchor moveWithCells="1" sizeWithCells="1">
                  <from>
                    <xdr:col>9</xdr:col>
                    <xdr:colOff>184150</xdr:colOff>
                    <xdr:row>0</xdr:row>
                    <xdr:rowOff>133350</xdr:rowOff>
                  </from>
                  <to>
                    <xdr:col>11</xdr:col>
                    <xdr:colOff>342900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>
    <tabColor rgb="FFFF0000"/>
    <pageSetUpPr fitToPage="1"/>
  </sheetPr>
  <dimension ref="A1:Z30"/>
  <sheetViews>
    <sheetView topLeftCell="Z1" zoomScale="97" zoomScaleNormal="97" workbookViewId="0">
      <selection activeCell="P12" sqref="P12:S12"/>
    </sheetView>
  </sheetViews>
  <sheetFormatPr defaultRowHeight="15.5"/>
  <cols>
    <col min="1" max="1" width="7.7265625" style="40" hidden="1" customWidth="1"/>
    <col min="2" max="2" width="11.90625" style="40" hidden="1" customWidth="1"/>
    <col min="3" max="4" width="9.7265625" style="40" hidden="1" customWidth="1"/>
    <col min="5" max="5" width="5.7265625" style="40" hidden="1" customWidth="1"/>
    <col min="6" max="6" width="7.7265625" style="40" hidden="1" customWidth="1"/>
    <col min="7" max="7" width="3.08984375" style="40" hidden="1" customWidth="1"/>
    <col min="8" max="8" width="2.26953125" style="40" hidden="1" customWidth="1"/>
    <col min="9" max="9" width="3.08984375" style="40" hidden="1" customWidth="1"/>
    <col min="10" max="10" width="5.26953125" style="40" hidden="1" customWidth="1"/>
    <col min="11" max="11" width="9.7265625" style="40" hidden="1" customWidth="1"/>
    <col min="12" max="12" width="5.7265625" style="40" hidden="1" customWidth="1"/>
    <col min="13" max="13" width="21.08984375" style="6" customWidth="1"/>
    <col min="14" max="14" width="8.90625" style="6" customWidth="1"/>
    <col min="15" max="15" width="11.36328125" style="6" customWidth="1"/>
    <col min="16" max="16" width="8.90625" style="6" customWidth="1"/>
    <col min="17" max="17" width="8.90625" style="41" customWidth="1"/>
    <col min="18" max="18" width="16.90625" style="6" customWidth="1"/>
    <col min="19" max="19" width="16.90625" style="41" customWidth="1"/>
    <col min="20" max="20" width="10" style="6" customWidth="1"/>
    <col min="21" max="21" width="10" style="41" customWidth="1"/>
    <col min="22" max="22" width="17.7265625" style="6" customWidth="1"/>
    <col min="23" max="23" width="10" style="6" customWidth="1"/>
    <col min="24" max="24" width="17.7265625" style="6" customWidth="1"/>
    <col min="25" max="25" width="10" style="6" customWidth="1"/>
    <col min="26" max="26" width="5.90625" style="6" customWidth="1"/>
    <col min="27" max="261" width="9" style="6"/>
    <col min="262" max="262" width="16.26953125" style="6" customWidth="1"/>
    <col min="263" max="263" width="9" style="6"/>
    <col min="264" max="264" width="11.36328125" style="6" customWidth="1"/>
    <col min="265" max="266" width="9" style="6"/>
    <col min="267" max="267" width="23" style="6" bestFit="1" customWidth="1"/>
    <col min="268" max="268" width="10" style="6" customWidth="1"/>
    <col min="269" max="269" width="6.26953125" style="6" bestFit="1" customWidth="1"/>
    <col min="270" max="270" width="7.26953125" style="6" bestFit="1" customWidth="1"/>
    <col min="271" max="271" width="16.7265625" style="6" customWidth="1"/>
    <col min="272" max="272" width="7.26953125" style="6" bestFit="1" customWidth="1"/>
    <col min="273" max="273" width="16.7265625" style="6" customWidth="1"/>
    <col min="274" max="517" width="9" style="6"/>
    <col min="518" max="518" width="16.26953125" style="6" customWidth="1"/>
    <col min="519" max="519" width="9" style="6"/>
    <col min="520" max="520" width="11.36328125" style="6" customWidth="1"/>
    <col min="521" max="522" width="9" style="6"/>
    <col min="523" max="523" width="23" style="6" bestFit="1" customWidth="1"/>
    <col min="524" max="524" width="10" style="6" customWidth="1"/>
    <col min="525" max="525" width="6.26953125" style="6" bestFit="1" customWidth="1"/>
    <col min="526" max="526" width="7.26953125" style="6" bestFit="1" customWidth="1"/>
    <col min="527" max="527" width="16.7265625" style="6" customWidth="1"/>
    <col min="528" max="528" width="7.26953125" style="6" bestFit="1" customWidth="1"/>
    <col min="529" max="529" width="16.7265625" style="6" customWidth="1"/>
    <col min="530" max="773" width="9" style="6"/>
    <col min="774" max="774" width="16.26953125" style="6" customWidth="1"/>
    <col min="775" max="775" width="9" style="6"/>
    <col min="776" max="776" width="11.36328125" style="6" customWidth="1"/>
    <col min="777" max="778" width="9" style="6"/>
    <col min="779" max="779" width="23" style="6" bestFit="1" customWidth="1"/>
    <col min="780" max="780" width="10" style="6" customWidth="1"/>
    <col min="781" max="781" width="6.26953125" style="6" bestFit="1" customWidth="1"/>
    <col min="782" max="782" width="7.26953125" style="6" bestFit="1" customWidth="1"/>
    <col min="783" max="783" width="16.7265625" style="6" customWidth="1"/>
    <col min="784" max="784" width="7.26953125" style="6" bestFit="1" customWidth="1"/>
    <col min="785" max="785" width="16.7265625" style="6" customWidth="1"/>
    <col min="786" max="1029" width="9" style="6"/>
    <col min="1030" max="1030" width="16.26953125" style="6" customWidth="1"/>
    <col min="1031" max="1031" width="9" style="6"/>
    <col min="1032" max="1032" width="11.36328125" style="6" customWidth="1"/>
    <col min="1033" max="1034" width="9" style="6"/>
    <col min="1035" max="1035" width="23" style="6" bestFit="1" customWidth="1"/>
    <col min="1036" max="1036" width="10" style="6" customWidth="1"/>
    <col min="1037" max="1037" width="6.26953125" style="6" bestFit="1" customWidth="1"/>
    <col min="1038" max="1038" width="7.26953125" style="6" bestFit="1" customWidth="1"/>
    <col min="1039" max="1039" width="16.7265625" style="6" customWidth="1"/>
    <col min="1040" max="1040" width="7.26953125" style="6" bestFit="1" customWidth="1"/>
    <col min="1041" max="1041" width="16.7265625" style="6" customWidth="1"/>
    <col min="1042" max="1285" width="9" style="6"/>
    <col min="1286" max="1286" width="16.26953125" style="6" customWidth="1"/>
    <col min="1287" max="1287" width="9" style="6"/>
    <col min="1288" max="1288" width="11.36328125" style="6" customWidth="1"/>
    <col min="1289" max="1290" width="9" style="6"/>
    <col min="1291" max="1291" width="23" style="6" bestFit="1" customWidth="1"/>
    <col min="1292" max="1292" width="10" style="6" customWidth="1"/>
    <col min="1293" max="1293" width="6.26953125" style="6" bestFit="1" customWidth="1"/>
    <col min="1294" max="1294" width="7.26953125" style="6" bestFit="1" customWidth="1"/>
    <col min="1295" max="1295" width="16.7265625" style="6" customWidth="1"/>
    <col min="1296" max="1296" width="7.26953125" style="6" bestFit="1" customWidth="1"/>
    <col min="1297" max="1297" width="16.7265625" style="6" customWidth="1"/>
    <col min="1298" max="1541" width="9" style="6"/>
    <col min="1542" max="1542" width="16.26953125" style="6" customWidth="1"/>
    <col min="1543" max="1543" width="9" style="6"/>
    <col min="1544" max="1544" width="11.36328125" style="6" customWidth="1"/>
    <col min="1545" max="1546" width="9" style="6"/>
    <col min="1547" max="1547" width="23" style="6" bestFit="1" customWidth="1"/>
    <col min="1548" max="1548" width="10" style="6" customWidth="1"/>
    <col min="1549" max="1549" width="6.26953125" style="6" bestFit="1" customWidth="1"/>
    <col min="1550" max="1550" width="7.26953125" style="6" bestFit="1" customWidth="1"/>
    <col min="1551" max="1551" width="16.7265625" style="6" customWidth="1"/>
    <col min="1552" max="1552" width="7.26953125" style="6" bestFit="1" customWidth="1"/>
    <col min="1553" max="1553" width="16.7265625" style="6" customWidth="1"/>
    <col min="1554" max="1797" width="9" style="6"/>
    <col min="1798" max="1798" width="16.26953125" style="6" customWidth="1"/>
    <col min="1799" max="1799" width="9" style="6"/>
    <col min="1800" max="1800" width="11.36328125" style="6" customWidth="1"/>
    <col min="1801" max="1802" width="9" style="6"/>
    <col min="1803" max="1803" width="23" style="6" bestFit="1" customWidth="1"/>
    <col min="1804" max="1804" width="10" style="6" customWidth="1"/>
    <col min="1805" max="1805" width="6.26953125" style="6" bestFit="1" customWidth="1"/>
    <col min="1806" max="1806" width="7.26953125" style="6" bestFit="1" customWidth="1"/>
    <col min="1807" max="1807" width="16.7265625" style="6" customWidth="1"/>
    <col min="1808" max="1808" width="7.26953125" style="6" bestFit="1" customWidth="1"/>
    <col min="1809" max="1809" width="16.7265625" style="6" customWidth="1"/>
    <col min="1810" max="2053" width="9" style="6"/>
    <col min="2054" max="2054" width="16.26953125" style="6" customWidth="1"/>
    <col min="2055" max="2055" width="9" style="6"/>
    <col min="2056" max="2056" width="11.36328125" style="6" customWidth="1"/>
    <col min="2057" max="2058" width="9" style="6"/>
    <col min="2059" max="2059" width="23" style="6" bestFit="1" customWidth="1"/>
    <col min="2060" max="2060" width="10" style="6" customWidth="1"/>
    <col min="2061" max="2061" width="6.26953125" style="6" bestFit="1" customWidth="1"/>
    <col min="2062" max="2062" width="7.26953125" style="6" bestFit="1" customWidth="1"/>
    <col min="2063" max="2063" width="16.7265625" style="6" customWidth="1"/>
    <col min="2064" max="2064" width="7.26953125" style="6" bestFit="1" customWidth="1"/>
    <col min="2065" max="2065" width="16.7265625" style="6" customWidth="1"/>
    <col min="2066" max="2309" width="9" style="6"/>
    <col min="2310" max="2310" width="16.26953125" style="6" customWidth="1"/>
    <col min="2311" max="2311" width="9" style="6"/>
    <col min="2312" max="2312" width="11.36328125" style="6" customWidth="1"/>
    <col min="2313" max="2314" width="9" style="6"/>
    <col min="2315" max="2315" width="23" style="6" bestFit="1" customWidth="1"/>
    <col min="2316" max="2316" width="10" style="6" customWidth="1"/>
    <col min="2317" max="2317" width="6.26953125" style="6" bestFit="1" customWidth="1"/>
    <col min="2318" max="2318" width="7.26953125" style="6" bestFit="1" customWidth="1"/>
    <col min="2319" max="2319" width="16.7265625" style="6" customWidth="1"/>
    <col min="2320" max="2320" width="7.26953125" style="6" bestFit="1" customWidth="1"/>
    <col min="2321" max="2321" width="16.7265625" style="6" customWidth="1"/>
    <col min="2322" max="2565" width="9" style="6"/>
    <col min="2566" max="2566" width="16.26953125" style="6" customWidth="1"/>
    <col min="2567" max="2567" width="9" style="6"/>
    <col min="2568" max="2568" width="11.36328125" style="6" customWidth="1"/>
    <col min="2569" max="2570" width="9" style="6"/>
    <col min="2571" max="2571" width="23" style="6" bestFit="1" customWidth="1"/>
    <col min="2572" max="2572" width="10" style="6" customWidth="1"/>
    <col min="2573" max="2573" width="6.26953125" style="6" bestFit="1" customWidth="1"/>
    <col min="2574" max="2574" width="7.26953125" style="6" bestFit="1" customWidth="1"/>
    <col min="2575" max="2575" width="16.7265625" style="6" customWidth="1"/>
    <col min="2576" max="2576" width="7.26953125" style="6" bestFit="1" customWidth="1"/>
    <col min="2577" max="2577" width="16.7265625" style="6" customWidth="1"/>
    <col min="2578" max="2821" width="9" style="6"/>
    <col min="2822" max="2822" width="16.26953125" style="6" customWidth="1"/>
    <col min="2823" max="2823" width="9" style="6"/>
    <col min="2824" max="2824" width="11.36328125" style="6" customWidth="1"/>
    <col min="2825" max="2826" width="9" style="6"/>
    <col min="2827" max="2827" width="23" style="6" bestFit="1" customWidth="1"/>
    <col min="2828" max="2828" width="10" style="6" customWidth="1"/>
    <col min="2829" max="2829" width="6.26953125" style="6" bestFit="1" customWidth="1"/>
    <col min="2830" max="2830" width="7.26953125" style="6" bestFit="1" customWidth="1"/>
    <col min="2831" max="2831" width="16.7265625" style="6" customWidth="1"/>
    <col min="2832" max="2832" width="7.26953125" style="6" bestFit="1" customWidth="1"/>
    <col min="2833" max="2833" width="16.7265625" style="6" customWidth="1"/>
    <col min="2834" max="3077" width="9" style="6"/>
    <col min="3078" max="3078" width="16.26953125" style="6" customWidth="1"/>
    <col min="3079" max="3079" width="9" style="6"/>
    <col min="3080" max="3080" width="11.36328125" style="6" customWidth="1"/>
    <col min="3081" max="3082" width="9" style="6"/>
    <col min="3083" max="3083" width="23" style="6" bestFit="1" customWidth="1"/>
    <col min="3084" max="3084" width="10" style="6" customWidth="1"/>
    <col min="3085" max="3085" width="6.26953125" style="6" bestFit="1" customWidth="1"/>
    <col min="3086" max="3086" width="7.26953125" style="6" bestFit="1" customWidth="1"/>
    <col min="3087" max="3087" width="16.7265625" style="6" customWidth="1"/>
    <col min="3088" max="3088" width="7.26953125" style="6" bestFit="1" customWidth="1"/>
    <col min="3089" max="3089" width="16.7265625" style="6" customWidth="1"/>
    <col min="3090" max="3333" width="9" style="6"/>
    <col min="3334" max="3334" width="16.26953125" style="6" customWidth="1"/>
    <col min="3335" max="3335" width="9" style="6"/>
    <col min="3336" max="3336" width="11.36328125" style="6" customWidth="1"/>
    <col min="3337" max="3338" width="9" style="6"/>
    <col min="3339" max="3339" width="23" style="6" bestFit="1" customWidth="1"/>
    <col min="3340" max="3340" width="10" style="6" customWidth="1"/>
    <col min="3341" max="3341" width="6.26953125" style="6" bestFit="1" customWidth="1"/>
    <col min="3342" max="3342" width="7.26953125" style="6" bestFit="1" customWidth="1"/>
    <col min="3343" max="3343" width="16.7265625" style="6" customWidth="1"/>
    <col min="3344" max="3344" width="7.26953125" style="6" bestFit="1" customWidth="1"/>
    <col min="3345" max="3345" width="16.7265625" style="6" customWidth="1"/>
    <col min="3346" max="3589" width="9" style="6"/>
    <col min="3590" max="3590" width="16.26953125" style="6" customWidth="1"/>
    <col min="3591" max="3591" width="9" style="6"/>
    <col min="3592" max="3592" width="11.36328125" style="6" customWidth="1"/>
    <col min="3593" max="3594" width="9" style="6"/>
    <col min="3595" max="3595" width="23" style="6" bestFit="1" customWidth="1"/>
    <col min="3596" max="3596" width="10" style="6" customWidth="1"/>
    <col min="3597" max="3597" width="6.26953125" style="6" bestFit="1" customWidth="1"/>
    <col min="3598" max="3598" width="7.26953125" style="6" bestFit="1" customWidth="1"/>
    <col min="3599" max="3599" width="16.7265625" style="6" customWidth="1"/>
    <col min="3600" max="3600" width="7.26953125" style="6" bestFit="1" customWidth="1"/>
    <col min="3601" max="3601" width="16.7265625" style="6" customWidth="1"/>
    <col min="3602" max="3845" width="9" style="6"/>
    <col min="3846" max="3846" width="16.26953125" style="6" customWidth="1"/>
    <col min="3847" max="3847" width="9" style="6"/>
    <col min="3848" max="3848" width="11.36328125" style="6" customWidth="1"/>
    <col min="3849" max="3850" width="9" style="6"/>
    <col min="3851" max="3851" width="23" style="6" bestFit="1" customWidth="1"/>
    <col min="3852" max="3852" width="10" style="6" customWidth="1"/>
    <col min="3853" max="3853" width="6.26953125" style="6" bestFit="1" customWidth="1"/>
    <col min="3854" max="3854" width="7.26953125" style="6" bestFit="1" customWidth="1"/>
    <col min="3855" max="3855" width="16.7265625" style="6" customWidth="1"/>
    <col min="3856" max="3856" width="7.26953125" style="6" bestFit="1" customWidth="1"/>
    <col min="3857" max="3857" width="16.7265625" style="6" customWidth="1"/>
    <col min="3858" max="4101" width="9" style="6"/>
    <col min="4102" max="4102" width="16.26953125" style="6" customWidth="1"/>
    <col min="4103" max="4103" width="9" style="6"/>
    <col min="4104" max="4104" width="11.36328125" style="6" customWidth="1"/>
    <col min="4105" max="4106" width="9" style="6"/>
    <col min="4107" max="4107" width="23" style="6" bestFit="1" customWidth="1"/>
    <col min="4108" max="4108" width="10" style="6" customWidth="1"/>
    <col min="4109" max="4109" width="6.26953125" style="6" bestFit="1" customWidth="1"/>
    <col min="4110" max="4110" width="7.26953125" style="6" bestFit="1" customWidth="1"/>
    <col min="4111" max="4111" width="16.7265625" style="6" customWidth="1"/>
    <col min="4112" max="4112" width="7.26953125" style="6" bestFit="1" customWidth="1"/>
    <col min="4113" max="4113" width="16.7265625" style="6" customWidth="1"/>
    <col min="4114" max="4357" width="9" style="6"/>
    <col min="4358" max="4358" width="16.26953125" style="6" customWidth="1"/>
    <col min="4359" max="4359" width="9" style="6"/>
    <col min="4360" max="4360" width="11.36328125" style="6" customWidth="1"/>
    <col min="4361" max="4362" width="9" style="6"/>
    <col min="4363" max="4363" width="23" style="6" bestFit="1" customWidth="1"/>
    <col min="4364" max="4364" width="10" style="6" customWidth="1"/>
    <col min="4365" max="4365" width="6.26953125" style="6" bestFit="1" customWidth="1"/>
    <col min="4366" max="4366" width="7.26953125" style="6" bestFit="1" customWidth="1"/>
    <col min="4367" max="4367" width="16.7265625" style="6" customWidth="1"/>
    <col min="4368" max="4368" width="7.26953125" style="6" bestFit="1" customWidth="1"/>
    <col min="4369" max="4369" width="16.7265625" style="6" customWidth="1"/>
    <col min="4370" max="4613" width="9" style="6"/>
    <col min="4614" max="4614" width="16.26953125" style="6" customWidth="1"/>
    <col min="4615" max="4615" width="9" style="6"/>
    <col min="4616" max="4616" width="11.36328125" style="6" customWidth="1"/>
    <col min="4617" max="4618" width="9" style="6"/>
    <col min="4619" max="4619" width="23" style="6" bestFit="1" customWidth="1"/>
    <col min="4620" max="4620" width="10" style="6" customWidth="1"/>
    <col min="4621" max="4621" width="6.26953125" style="6" bestFit="1" customWidth="1"/>
    <col min="4622" max="4622" width="7.26953125" style="6" bestFit="1" customWidth="1"/>
    <col min="4623" max="4623" width="16.7265625" style="6" customWidth="1"/>
    <col min="4624" max="4624" width="7.26953125" style="6" bestFit="1" customWidth="1"/>
    <col min="4625" max="4625" width="16.7265625" style="6" customWidth="1"/>
    <col min="4626" max="4869" width="9" style="6"/>
    <col min="4870" max="4870" width="16.26953125" style="6" customWidth="1"/>
    <col min="4871" max="4871" width="9" style="6"/>
    <col min="4872" max="4872" width="11.36328125" style="6" customWidth="1"/>
    <col min="4873" max="4874" width="9" style="6"/>
    <col min="4875" max="4875" width="23" style="6" bestFit="1" customWidth="1"/>
    <col min="4876" max="4876" width="10" style="6" customWidth="1"/>
    <col min="4877" max="4877" width="6.26953125" style="6" bestFit="1" customWidth="1"/>
    <col min="4878" max="4878" width="7.26953125" style="6" bestFit="1" customWidth="1"/>
    <col min="4879" max="4879" width="16.7265625" style="6" customWidth="1"/>
    <col min="4880" max="4880" width="7.26953125" style="6" bestFit="1" customWidth="1"/>
    <col min="4881" max="4881" width="16.7265625" style="6" customWidth="1"/>
    <col min="4882" max="5125" width="9" style="6"/>
    <col min="5126" max="5126" width="16.26953125" style="6" customWidth="1"/>
    <col min="5127" max="5127" width="9" style="6"/>
    <col min="5128" max="5128" width="11.36328125" style="6" customWidth="1"/>
    <col min="5129" max="5130" width="9" style="6"/>
    <col min="5131" max="5131" width="23" style="6" bestFit="1" customWidth="1"/>
    <col min="5132" max="5132" width="10" style="6" customWidth="1"/>
    <col min="5133" max="5133" width="6.26953125" style="6" bestFit="1" customWidth="1"/>
    <col min="5134" max="5134" width="7.26953125" style="6" bestFit="1" customWidth="1"/>
    <col min="5135" max="5135" width="16.7265625" style="6" customWidth="1"/>
    <col min="5136" max="5136" width="7.26953125" style="6" bestFit="1" customWidth="1"/>
    <col min="5137" max="5137" width="16.7265625" style="6" customWidth="1"/>
    <col min="5138" max="5381" width="9" style="6"/>
    <col min="5382" max="5382" width="16.26953125" style="6" customWidth="1"/>
    <col min="5383" max="5383" width="9" style="6"/>
    <col min="5384" max="5384" width="11.36328125" style="6" customWidth="1"/>
    <col min="5385" max="5386" width="9" style="6"/>
    <col min="5387" max="5387" width="23" style="6" bestFit="1" customWidth="1"/>
    <col min="5388" max="5388" width="10" style="6" customWidth="1"/>
    <col min="5389" max="5389" width="6.26953125" style="6" bestFit="1" customWidth="1"/>
    <col min="5390" max="5390" width="7.26953125" style="6" bestFit="1" customWidth="1"/>
    <col min="5391" max="5391" width="16.7265625" style="6" customWidth="1"/>
    <col min="5392" max="5392" width="7.26953125" style="6" bestFit="1" customWidth="1"/>
    <col min="5393" max="5393" width="16.7265625" style="6" customWidth="1"/>
    <col min="5394" max="5637" width="9" style="6"/>
    <col min="5638" max="5638" width="16.26953125" style="6" customWidth="1"/>
    <col min="5639" max="5639" width="9" style="6"/>
    <col min="5640" max="5640" width="11.36328125" style="6" customWidth="1"/>
    <col min="5641" max="5642" width="9" style="6"/>
    <col min="5643" max="5643" width="23" style="6" bestFit="1" customWidth="1"/>
    <col min="5644" max="5644" width="10" style="6" customWidth="1"/>
    <col min="5645" max="5645" width="6.26953125" style="6" bestFit="1" customWidth="1"/>
    <col min="5646" max="5646" width="7.26953125" style="6" bestFit="1" customWidth="1"/>
    <col min="5647" max="5647" width="16.7265625" style="6" customWidth="1"/>
    <col min="5648" max="5648" width="7.26953125" style="6" bestFit="1" customWidth="1"/>
    <col min="5649" max="5649" width="16.7265625" style="6" customWidth="1"/>
    <col min="5650" max="5893" width="9" style="6"/>
    <col min="5894" max="5894" width="16.26953125" style="6" customWidth="1"/>
    <col min="5895" max="5895" width="9" style="6"/>
    <col min="5896" max="5896" width="11.36328125" style="6" customWidth="1"/>
    <col min="5897" max="5898" width="9" style="6"/>
    <col min="5899" max="5899" width="23" style="6" bestFit="1" customWidth="1"/>
    <col min="5900" max="5900" width="10" style="6" customWidth="1"/>
    <col min="5901" max="5901" width="6.26953125" style="6" bestFit="1" customWidth="1"/>
    <col min="5902" max="5902" width="7.26953125" style="6" bestFit="1" customWidth="1"/>
    <col min="5903" max="5903" width="16.7265625" style="6" customWidth="1"/>
    <col min="5904" max="5904" width="7.26953125" style="6" bestFit="1" customWidth="1"/>
    <col min="5905" max="5905" width="16.7265625" style="6" customWidth="1"/>
    <col min="5906" max="6149" width="9" style="6"/>
    <col min="6150" max="6150" width="16.26953125" style="6" customWidth="1"/>
    <col min="6151" max="6151" width="9" style="6"/>
    <col min="6152" max="6152" width="11.36328125" style="6" customWidth="1"/>
    <col min="6153" max="6154" width="9" style="6"/>
    <col min="6155" max="6155" width="23" style="6" bestFit="1" customWidth="1"/>
    <col min="6156" max="6156" width="10" style="6" customWidth="1"/>
    <col min="6157" max="6157" width="6.26953125" style="6" bestFit="1" customWidth="1"/>
    <col min="6158" max="6158" width="7.26953125" style="6" bestFit="1" customWidth="1"/>
    <col min="6159" max="6159" width="16.7265625" style="6" customWidth="1"/>
    <col min="6160" max="6160" width="7.26953125" style="6" bestFit="1" customWidth="1"/>
    <col min="6161" max="6161" width="16.7265625" style="6" customWidth="1"/>
    <col min="6162" max="6405" width="9" style="6"/>
    <col min="6406" max="6406" width="16.26953125" style="6" customWidth="1"/>
    <col min="6407" max="6407" width="9" style="6"/>
    <col min="6408" max="6408" width="11.36328125" style="6" customWidth="1"/>
    <col min="6409" max="6410" width="9" style="6"/>
    <col min="6411" max="6411" width="23" style="6" bestFit="1" customWidth="1"/>
    <col min="6412" max="6412" width="10" style="6" customWidth="1"/>
    <col min="6413" max="6413" width="6.26953125" style="6" bestFit="1" customWidth="1"/>
    <col min="6414" max="6414" width="7.26953125" style="6" bestFit="1" customWidth="1"/>
    <col min="6415" max="6415" width="16.7265625" style="6" customWidth="1"/>
    <col min="6416" max="6416" width="7.26953125" style="6" bestFit="1" customWidth="1"/>
    <col min="6417" max="6417" width="16.7265625" style="6" customWidth="1"/>
    <col min="6418" max="6661" width="9" style="6"/>
    <col min="6662" max="6662" width="16.26953125" style="6" customWidth="1"/>
    <col min="6663" max="6663" width="9" style="6"/>
    <col min="6664" max="6664" width="11.36328125" style="6" customWidth="1"/>
    <col min="6665" max="6666" width="9" style="6"/>
    <col min="6667" max="6667" width="23" style="6" bestFit="1" customWidth="1"/>
    <col min="6668" max="6668" width="10" style="6" customWidth="1"/>
    <col min="6669" max="6669" width="6.26953125" style="6" bestFit="1" customWidth="1"/>
    <col min="6670" max="6670" width="7.26953125" style="6" bestFit="1" customWidth="1"/>
    <col min="6671" max="6671" width="16.7265625" style="6" customWidth="1"/>
    <col min="6672" max="6672" width="7.26953125" style="6" bestFit="1" customWidth="1"/>
    <col min="6673" max="6673" width="16.7265625" style="6" customWidth="1"/>
    <col min="6674" max="6917" width="9" style="6"/>
    <col min="6918" max="6918" width="16.26953125" style="6" customWidth="1"/>
    <col min="6919" max="6919" width="9" style="6"/>
    <col min="6920" max="6920" width="11.36328125" style="6" customWidth="1"/>
    <col min="6921" max="6922" width="9" style="6"/>
    <col min="6923" max="6923" width="23" style="6" bestFit="1" customWidth="1"/>
    <col min="6924" max="6924" width="10" style="6" customWidth="1"/>
    <col min="6925" max="6925" width="6.26953125" style="6" bestFit="1" customWidth="1"/>
    <col min="6926" max="6926" width="7.26953125" style="6" bestFit="1" customWidth="1"/>
    <col min="6927" max="6927" width="16.7265625" style="6" customWidth="1"/>
    <col min="6928" max="6928" width="7.26953125" style="6" bestFit="1" customWidth="1"/>
    <col min="6929" max="6929" width="16.7265625" style="6" customWidth="1"/>
    <col min="6930" max="7173" width="9" style="6"/>
    <col min="7174" max="7174" width="16.26953125" style="6" customWidth="1"/>
    <col min="7175" max="7175" width="9" style="6"/>
    <col min="7176" max="7176" width="11.36328125" style="6" customWidth="1"/>
    <col min="7177" max="7178" width="9" style="6"/>
    <col min="7179" max="7179" width="23" style="6" bestFit="1" customWidth="1"/>
    <col min="7180" max="7180" width="10" style="6" customWidth="1"/>
    <col min="7181" max="7181" width="6.26953125" style="6" bestFit="1" customWidth="1"/>
    <col min="7182" max="7182" width="7.26953125" style="6" bestFit="1" customWidth="1"/>
    <col min="7183" max="7183" width="16.7265625" style="6" customWidth="1"/>
    <col min="7184" max="7184" width="7.26953125" style="6" bestFit="1" customWidth="1"/>
    <col min="7185" max="7185" width="16.7265625" style="6" customWidth="1"/>
    <col min="7186" max="7429" width="9" style="6"/>
    <col min="7430" max="7430" width="16.26953125" style="6" customWidth="1"/>
    <col min="7431" max="7431" width="9" style="6"/>
    <col min="7432" max="7432" width="11.36328125" style="6" customWidth="1"/>
    <col min="7433" max="7434" width="9" style="6"/>
    <col min="7435" max="7435" width="23" style="6" bestFit="1" customWidth="1"/>
    <col min="7436" max="7436" width="10" style="6" customWidth="1"/>
    <col min="7437" max="7437" width="6.26953125" style="6" bestFit="1" customWidth="1"/>
    <col min="7438" max="7438" width="7.26953125" style="6" bestFit="1" customWidth="1"/>
    <col min="7439" max="7439" width="16.7265625" style="6" customWidth="1"/>
    <col min="7440" max="7440" width="7.26953125" style="6" bestFit="1" customWidth="1"/>
    <col min="7441" max="7441" width="16.7265625" style="6" customWidth="1"/>
    <col min="7442" max="7685" width="9" style="6"/>
    <col min="7686" max="7686" width="16.26953125" style="6" customWidth="1"/>
    <col min="7687" max="7687" width="9" style="6"/>
    <col min="7688" max="7688" width="11.36328125" style="6" customWidth="1"/>
    <col min="7689" max="7690" width="9" style="6"/>
    <col min="7691" max="7691" width="23" style="6" bestFit="1" customWidth="1"/>
    <col min="7692" max="7692" width="10" style="6" customWidth="1"/>
    <col min="7693" max="7693" width="6.26953125" style="6" bestFit="1" customWidth="1"/>
    <col min="7694" max="7694" width="7.26953125" style="6" bestFit="1" customWidth="1"/>
    <col min="7695" max="7695" width="16.7265625" style="6" customWidth="1"/>
    <col min="7696" max="7696" width="7.26953125" style="6" bestFit="1" customWidth="1"/>
    <col min="7697" max="7697" width="16.7265625" style="6" customWidth="1"/>
    <col min="7698" max="7941" width="9" style="6"/>
    <col min="7942" max="7942" width="16.26953125" style="6" customWidth="1"/>
    <col min="7943" max="7943" width="9" style="6"/>
    <col min="7944" max="7944" width="11.36328125" style="6" customWidth="1"/>
    <col min="7945" max="7946" width="9" style="6"/>
    <col min="7947" max="7947" width="23" style="6" bestFit="1" customWidth="1"/>
    <col min="7948" max="7948" width="10" style="6" customWidth="1"/>
    <col min="7949" max="7949" width="6.26953125" style="6" bestFit="1" customWidth="1"/>
    <col min="7950" max="7950" width="7.26953125" style="6" bestFit="1" customWidth="1"/>
    <col min="7951" max="7951" width="16.7265625" style="6" customWidth="1"/>
    <col min="7952" max="7952" width="7.26953125" style="6" bestFit="1" customWidth="1"/>
    <col min="7953" max="7953" width="16.7265625" style="6" customWidth="1"/>
    <col min="7954" max="8197" width="9" style="6"/>
    <col min="8198" max="8198" width="16.26953125" style="6" customWidth="1"/>
    <col min="8199" max="8199" width="9" style="6"/>
    <col min="8200" max="8200" width="11.36328125" style="6" customWidth="1"/>
    <col min="8201" max="8202" width="9" style="6"/>
    <col min="8203" max="8203" width="23" style="6" bestFit="1" customWidth="1"/>
    <col min="8204" max="8204" width="10" style="6" customWidth="1"/>
    <col min="8205" max="8205" width="6.26953125" style="6" bestFit="1" customWidth="1"/>
    <col min="8206" max="8206" width="7.26953125" style="6" bestFit="1" customWidth="1"/>
    <col min="8207" max="8207" width="16.7265625" style="6" customWidth="1"/>
    <col min="8208" max="8208" width="7.26953125" style="6" bestFit="1" customWidth="1"/>
    <col min="8209" max="8209" width="16.7265625" style="6" customWidth="1"/>
    <col min="8210" max="8453" width="9" style="6"/>
    <col min="8454" max="8454" width="16.26953125" style="6" customWidth="1"/>
    <col min="8455" max="8455" width="9" style="6"/>
    <col min="8456" max="8456" width="11.36328125" style="6" customWidth="1"/>
    <col min="8457" max="8458" width="9" style="6"/>
    <col min="8459" max="8459" width="23" style="6" bestFit="1" customWidth="1"/>
    <col min="8460" max="8460" width="10" style="6" customWidth="1"/>
    <col min="8461" max="8461" width="6.26953125" style="6" bestFit="1" customWidth="1"/>
    <col min="8462" max="8462" width="7.26953125" style="6" bestFit="1" customWidth="1"/>
    <col min="8463" max="8463" width="16.7265625" style="6" customWidth="1"/>
    <col min="8464" max="8464" width="7.26953125" style="6" bestFit="1" customWidth="1"/>
    <col min="8465" max="8465" width="16.7265625" style="6" customWidth="1"/>
    <col min="8466" max="8709" width="9" style="6"/>
    <col min="8710" max="8710" width="16.26953125" style="6" customWidth="1"/>
    <col min="8711" max="8711" width="9" style="6"/>
    <col min="8712" max="8712" width="11.36328125" style="6" customWidth="1"/>
    <col min="8713" max="8714" width="9" style="6"/>
    <col min="8715" max="8715" width="23" style="6" bestFit="1" customWidth="1"/>
    <col min="8716" max="8716" width="10" style="6" customWidth="1"/>
    <col min="8717" max="8717" width="6.26953125" style="6" bestFit="1" customWidth="1"/>
    <col min="8718" max="8718" width="7.26953125" style="6" bestFit="1" customWidth="1"/>
    <col min="8719" max="8719" width="16.7265625" style="6" customWidth="1"/>
    <col min="8720" max="8720" width="7.26953125" style="6" bestFit="1" customWidth="1"/>
    <col min="8721" max="8721" width="16.7265625" style="6" customWidth="1"/>
    <col min="8722" max="8965" width="9" style="6"/>
    <col min="8966" max="8966" width="16.26953125" style="6" customWidth="1"/>
    <col min="8967" max="8967" width="9" style="6"/>
    <col min="8968" max="8968" width="11.36328125" style="6" customWidth="1"/>
    <col min="8969" max="8970" width="9" style="6"/>
    <col min="8971" max="8971" width="23" style="6" bestFit="1" customWidth="1"/>
    <col min="8972" max="8972" width="10" style="6" customWidth="1"/>
    <col min="8973" max="8973" width="6.26953125" style="6" bestFit="1" customWidth="1"/>
    <col min="8974" max="8974" width="7.26953125" style="6" bestFit="1" customWidth="1"/>
    <col min="8975" max="8975" width="16.7265625" style="6" customWidth="1"/>
    <col min="8976" max="8976" width="7.26953125" style="6" bestFit="1" customWidth="1"/>
    <col min="8977" max="8977" width="16.7265625" style="6" customWidth="1"/>
    <col min="8978" max="9221" width="9" style="6"/>
    <col min="9222" max="9222" width="16.26953125" style="6" customWidth="1"/>
    <col min="9223" max="9223" width="9" style="6"/>
    <col min="9224" max="9224" width="11.36328125" style="6" customWidth="1"/>
    <col min="9225" max="9226" width="9" style="6"/>
    <col min="9227" max="9227" width="23" style="6" bestFit="1" customWidth="1"/>
    <col min="9228" max="9228" width="10" style="6" customWidth="1"/>
    <col min="9229" max="9229" width="6.26953125" style="6" bestFit="1" customWidth="1"/>
    <col min="9230" max="9230" width="7.26953125" style="6" bestFit="1" customWidth="1"/>
    <col min="9231" max="9231" width="16.7265625" style="6" customWidth="1"/>
    <col min="9232" max="9232" width="7.26953125" style="6" bestFit="1" customWidth="1"/>
    <col min="9233" max="9233" width="16.7265625" style="6" customWidth="1"/>
    <col min="9234" max="9477" width="9" style="6"/>
    <col min="9478" max="9478" width="16.26953125" style="6" customWidth="1"/>
    <col min="9479" max="9479" width="9" style="6"/>
    <col min="9480" max="9480" width="11.36328125" style="6" customWidth="1"/>
    <col min="9481" max="9482" width="9" style="6"/>
    <col min="9483" max="9483" width="23" style="6" bestFit="1" customWidth="1"/>
    <col min="9484" max="9484" width="10" style="6" customWidth="1"/>
    <col min="9485" max="9485" width="6.26953125" style="6" bestFit="1" customWidth="1"/>
    <col min="9486" max="9486" width="7.26953125" style="6" bestFit="1" customWidth="1"/>
    <col min="9487" max="9487" width="16.7265625" style="6" customWidth="1"/>
    <col min="9488" max="9488" width="7.26953125" style="6" bestFit="1" customWidth="1"/>
    <col min="9489" max="9489" width="16.7265625" style="6" customWidth="1"/>
    <col min="9490" max="9733" width="9" style="6"/>
    <col min="9734" max="9734" width="16.26953125" style="6" customWidth="1"/>
    <col min="9735" max="9735" width="9" style="6"/>
    <col min="9736" max="9736" width="11.36328125" style="6" customWidth="1"/>
    <col min="9737" max="9738" width="9" style="6"/>
    <col min="9739" max="9739" width="23" style="6" bestFit="1" customWidth="1"/>
    <col min="9740" max="9740" width="10" style="6" customWidth="1"/>
    <col min="9741" max="9741" width="6.26953125" style="6" bestFit="1" customWidth="1"/>
    <col min="9742" max="9742" width="7.26953125" style="6" bestFit="1" customWidth="1"/>
    <col min="9743" max="9743" width="16.7265625" style="6" customWidth="1"/>
    <col min="9744" max="9744" width="7.26953125" style="6" bestFit="1" customWidth="1"/>
    <col min="9745" max="9745" width="16.7265625" style="6" customWidth="1"/>
    <col min="9746" max="9989" width="9" style="6"/>
    <col min="9990" max="9990" width="16.26953125" style="6" customWidth="1"/>
    <col min="9991" max="9991" width="9" style="6"/>
    <col min="9992" max="9992" width="11.36328125" style="6" customWidth="1"/>
    <col min="9993" max="9994" width="9" style="6"/>
    <col min="9995" max="9995" width="23" style="6" bestFit="1" customWidth="1"/>
    <col min="9996" max="9996" width="10" style="6" customWidth="1"/>
    <col min="9997" max="9997" width="6.26953125" style="6" bestFit="1" customWidth="1"/>
    <col min="9998" max="9998" width="7.26953125" style="6" bestFit="1" customWidth="1"/>
    <col min="9999" max="9999" width="16.7265625" style="6" customWidth="1"/>
    <col min="10000" max="10000" width="7.26953125" style="6" bestFit="1" customWidth="1"/>
    <col min="10001" max="10001" width="16.7265625" style="6" customWidth="1"/>
    <col min="10002" max="10245" width="9" style="6"/>
    <col min="10246" max="10246" width="16.26953125" style="6" customWidth="1"/>
    <col min="10247" max="10247" width="9" style="6"/>
    <col min="10248" max="10248" width="11.36328125" style="6" customWidth="1"/>
    <col min="10249" max="10250" width="9" style="6"/>
    <col min="10251" max="10251" width="23" style="6" bestFit="1" customWidth="1"/>
    <col min="10252" max="10252" width="10" style="6" customWidth="1"/>
    <col min="10253" max="10253" width="6.26953125" style="6" bestFit="1" customWidth="1"/>
    <col min="10254" max="10254" width="7.26953125" style="6" bestFit="1" customWidth="1"/>
    <col min="10255" max="10255" width="16.7265625" style="6" customWidth="1"/>
    <col min="10256" max="10256" width="7.26953125" style="6" bestFit="1" customWidth="1"/>
    <col min="10257" max="10257" width="16.7265625" style="6" customWidth="1"/>
    <col min="10258" max="10501" width="9" style="6"/>
    <col min="10502" max="10502" width="16.26953125" style="6" customWidth="1"/>
    <col min="10503" max="10503" width="9" style="6"/>
    <col min="10504" max="10504" width="11.36328125" style="6" customWidth="1"/>
    <col min="10505" max="10506" width="9" style="6"/>
    <col min="10507" max="10507" width="23" style="6" bestFit="1" customWidth="1"/>
    <col min="10508" max="10508" width="10" style="6" customWidth="1"/>
    <col min="10509" max="10509" width="6.26953125" style="6" bestFit="1" customWidth="1"/>
    <col min="10510" max="10510" width="7.26953125" style="6" bestFit="1" customWidth="1"/>
    <col min="10511" max="10511" width="16.7265625" style="6" customWidth="1"/>
    <col min="10512" max="10512" width="7.26953125" style="6" bestFit="1" customWidth="1"/>
    <col min="10513" max="10513" width="16.7265625" style="6" customWidth="1"/>
    <col min="10514" max="10757" width="9" style="6"/>
    <col min="10758" max="10758" width="16.26953125" style="6" customWidth="1"/>
    <col min="10759" max="10759" width="9" style="6"/>
    <col min="10760" max="10760" width="11.36328125" style="6" customWidth="1"/>
    <col min="10761" max="10762" width="9" style="6"/>
    <col min="10763" max="10763" width="23" style="6" bestFit="1" customWidth="1"/>
    <col min="10764" max="10764" width="10" style="6" customWidth="1"/>
    <col min="10765" max="10765" width="6.26953125" style="6" bestFit="1" customWidth="1"/>
    <col min="10766" max="10766" width="7.26953125" style="6" bestFit="1" customWidth="1"/>
    <col min="10767" max="10767" width="16.7265625" style="6" customWidth="1"/>
    <col min="10768" max="10768" width="7.26953125" style="6" bestFit="1" customWidth="1"/>
    <col min="10769" max="10769" width="16.7265625" style="6" customWidth="1"/>
    <col min="10770" max="11013" width="9" style="6"/>
    <col min="11014" max="11014" width="16.26953125" style="6" customWidth="1"/>
    <col min="11015" max="11015" width="9" style="6"/>
    <col min="11016" max="11016" width="11.36328125" style="6" customWidth="1"/>
    <col min="11017" max="11018" width="9" style="6"/>
    <col min="11019" max="11019" width="23" style="6" bestFit="1" customWidth="1"/>
    <col min="11020" max="11020" width="10" style="6" customWidth="1"/>
    <col min="11021" max="11021" width="6.26953125" style="6" bestFit="1" customWidth="1"/>
    <col min="11022" max="11022" width="7.26953125" style="6" bestFit="1" customWidth="1"/>
    <col min="11023" max="11023" width="16.7265625" style="6" customWidth="1"/>
    <col min="11024" max="11024" width="7.26953125" style="6" bestFit="1" customWidth="1"/>
    <col min="11025" max="11025" width="16.7265625" style="6" customWidth="1"/>
    <col min="11026" max="11269" width="9" style="6"/>
    <col min="11270" max="11270" width="16.26953125" style="6" customWidth="1"/>
    <col min="11271" max="11271" width="9" style="6"/>
    <col min="11272" max="11272" width="11.36328125" style="6" customWidth="1"/>
    <col min="11273" max="11274" width="9" style="6"/>
    <col min="11275" max="11275" width="23" style="6" bestFit="1" customWidth="1"/>
    <col min="11276" max="11276" width="10" style="6" customWidth="1"/>
    <col min="11277" max="11277" width="6.26953125" style="6" bestFit="1" customWidth="1"/>
    <col min="11278" max="11278" width="7.26953125" style="6" bestFit="1" customWidth="1"/>
    <col min="11279" max="11279" width="16.7265625" style="6" customWidth="1"/>
    <col min="11280" max="11280" width="7.26953125" style="6" bestFit="1" customWidth="1"/>
    <col min="11281" max="11281" width="16.7265625" style="6" customWidth="1"/>
    <col min="11282" max="11525" width="9" style="6"/>
    <col min="11526" max="11526" width="16.26953125" style="6" customWidth="1"/>
    <col min="11527" max="11527" width="9" style="6"/>
    <col min="11528" max="11528" width="11.36328125" style="6" customWidth="1"/>
    <col min="11529" max="11530" width="9" style="6"/>
    <col min="11531" max="11531" width="23" style="6" bestFit="1" customWidth="1"/>
    <col min="11532" max="11532" width="10" style="6" customWidth="1"/>
    <col min="11533" max="11533" width="6.26953125" style="6" bestFit="1" customWidth="1"/>
    <col min="11534" max="11534" width="7.26953125" style="6" bestFit="1" customWidth="1"/>
    <col min="11535" max="11535" width="16.7265625" style="6" customWidth="1"/>
    <col min="11536" max="11536" width="7.26953125" style="6" bestFit="1" customWidth="1"/>
    <col min="11537" max="11537" width="16.7265625" style="6" customWidth="1"/>
    <col min="11538" max="11781" width="9" style="6"/>
    <col min="11782" max="11782" width="16.26953125" style="6" customWidth="1"/>
    <col min="11783" max="11783" width="9" style="6"/>
    <col min="11784" max="11784" width="11.36328125" style="6" customWidth="1"/>
    <col min="11785" max="11786" width="9" style="6"/>
    <col min="11787" max="11787" width="23" style="6" bestFit="1" customWidth="1"/>
    <col min="11788" max="11788" width="10" style="6" customWidth="1"/>
    <col min="11789" max="11789" width="6.26953125" style="6" bestFit="1" customWidth="1"/>
    <col min="11790" max="11790" width="7.26953125" style="6" bestFit="1" customWidth="1"/>
    <col min="11791" max="11791" width="16.7265625" style="6" customWidth="1"/>
    <col min="11792" max="11792" width="7.26953125" style="6" bestFit="1" customWidth="1"/>
    <col min="11793" max="11793" width="16.7265625" style="6" customWidth="1"/>
    <col min="11794" max="12037" width="9" style="6"/>
    <col min="12038" max="12038" width="16.26953125" style="6" customWidth="1"/>
    <col min="12039" max="12039" width="9" style="6"/>
    <col min="12040" max="12040" width="11.36328125" style="6" customWidth="1"/>
    <col min="12041" max="12042" width="9" style="6"/>
    <col min="12043" max="12043" width="23" style="6" bestFit="1" customWidth="1"/>
    <col min="12044" max="12044" width="10" style="6" customWidth="1"/>
    <col min="12045" max="12045" width="6.26953125" style="6" bestFit="1" customWidth="1"/>
    <col min="12046" max="12046" width="7.26953125" style="6" bestFit="1" customWidth="1"/>
    <col min="12047" max="12047" width="16.7265625" style="6" customWidth="1"/>
    <col min="12048" max="12048" width="7.26953125" style="6" bestFit="1" customWidth="1"/>
    <col min="12049" max="12049" width="16.7265625" style="6" customWidth="1"/>
    <col min="12050" max="12293" width="9" style="6"/>
    <col min="12294" max="12294" width="16.26953125" style="6" customWidth="1"/>
    <col min="12295" max="12295" width="9" style="6"/>
    <col min="12296" max="12296" width="11.36328125" style="6" customWidth="1"/>
    <col min="12297" max="12298" width="9" style="6"/>
    <col min="12299" max="12299" width="23" style="6" bestFit="1" customWidth="1"/>
    <col min="12300" max="12300" width="10" style="6" customWidth="1"/>
    <col min="12301" max="12301" width="6.26953125" style="6" bestFit="1" customWidth="1"/>
    <col min="12302" max="12302" width="7.26953125" style="6" bestFit="1" customWidth="1"/>
    <col min="12303" max="12303" width="16.7265625" style="6" customWidth="1"/>
    <col min="12304" max="12304" width="7.26953125" style="6" bestFit="1" customWidth="1"/>
    <col min="12305" max="12305" width="16.7265625" style="6" customWidth="1"/>
    <col min="12306" max="12549" width="9" style="6"/>
    <col min="12550" max="12550" width="16.26953125" style="6" customWidth="1"/>
    <col min="12551" max="12551" width="9" style="6"/>
    <col min="12552" max="12552" width="11.36328125" style="6" customWidth="1"/>
    <col min="12553" max="12554" width="9" style="6"/>
    <col min="12555" max="12555" width="23" style="6" bestFit="1" customWidth="1"/>
    <col min="12556" max="12556" width="10" style="6" customWidth="1"/>
    <col min="12557" max="12557" width="6.26953125" style="6" bestFit="1" customWidth="1"/>
    <col min="12558" max="12558" width="7.26953125" style="6" bestFit="1" customWidth="1"/>
    <col min="12559" max="12559" width="16.7265625" style="6" customWidth="1"/>
    <col min="12560" max="12560" width="7.26953125" style="6" bestFit="1" customWidth="1"/>
    <col min="12561" max="12561" width="16.7265625" style="6" customWidth="1"/>
    <col min="12562" max="12805" width="9" style="6"/>
    <col min="12806" max="12806" width="16.26953125" style="6" customWidth="1"/>
    <col min="12807" max="12807" width="9" style="6"/>
    <col min="12808" max="12808" width="11.36328125" style="6" customWidth="1"/>
    <col min="12809" max="12810" width="9" style="6"/>
    <col min="12811" max="12811" width="23" style="6" bestFit="1" customWidth="1"/>
    <col min="12812" max="12812" width="10" style="6" customWidth="1"/>
    <col min="12813" max="12813" width="6.26953125" style="6" bestFit="1" customWidth="1"/>
    <col min="12814" max="12814" width="7.26953125" style="6" bestFit="1" customWidth="1"/>
    <col min="12815" max="12815" width="16.7265625" style="6" customWidth="1"/>
    <col min="12816" max="12816" width="7.26953125" style="6" bestFit="1" customWidth="1"/>
    <col min="12817" max="12817" width="16.7265625" style="6" customWidth="1"/>
    <col min="12818" max="13061" width="9" style="6"/>
    <col min="13062" max="13062" width="16.26953125" style="6" customWidth="1"/>
    <col min="13063" max="13063" width="9" style="6"/>
    <col min="13064" max="13064" width="11.36328125" style="6" customWidth="1"/>
    <col min="13065" max="13066" width="9" style="6"/>
    <col min="13067" max="13067" width="23" style="6" bestFit="1" customWidth="1"/>
    <col min="13068" max="13068" width="10" style="6" customWidth="1"/>
    <col min="13069" max="13069" width="6.26953125" style="6" bestFit="1" customWidth="1"/>
    <col min="13070" max="13070" width="7.26953125" style="6" bestFit="1" customWidth="1"/>
    <col min="13071" max="13071" width="16.7265625" style="6" customWidth="1"/>
    <col min="13072" max="13072" width="7.26953125" style="6" bestFit="1" customWidth="1"/>
    <col min="13073" max="13073" width="16.7265625" style="6" customWidth="1"/>
    <col min="13074" max="13317" width="9" style="6"/>
    <col min="13318" max="13318" width="16.26953125" style="6" customWidth="1"/>
    <col min="13319" max="13319" width="9" style="6"/>
    <col min="13320" max="13320" width="11.36328125" style="6" customWidth="1"/>
    <col min="13321" max="13322" width="9" style="6"/>
    <col min="13323" max="13323" width="23" style="6" bestFit="1" customWidth="1"/>
    <col min="13324" max="13324" width="10" style="6" customWidth="1"/>
    <col min="13325" max="13325" width="6.26953125" style="6" bestFit="1" customWidth="1"/>
    <col min="13326" max="13326" width="7.26953125" style="6" bestFit="1" customWidth="1"/>
    <col min="13327" max="13327" width="16.7265625" style="6" customWidth="1"/>
    <col min="13328" max="13328" width="7.26953125" style="6" bestFit="1" customWidth="1"/>
    <col min="13329" max="13329" width="16.7265625" style="6" customWidth="1"/>
    <col min="13330" max="13573" width="9" style="6"/>
    <col min="13574" max="13574" width="16.26953125" style="6" customWidth="1"/>
    <col min="13575" max="13575" width="9" style="6"/>
    <col min="13576" max="13576" width="11.36328125" style="6" customWidth="1"/>
    <col min="13577" max="13578" width="9" style="6"/>
    <col min="13579" max="13579" width="23" style="6" bestFit="1" customWidth="1"/>
    <col min="13580" max="13580" width="10" style="6" customWidth="1"/>
    <col min="13581" max="13581" width="6.26953125" style="6" bestFit="1" customWidth="1"/>
    <col min="13582" max="13582" width="7.26953125" style="6" bestFit="1" customWidth="1"/>
    <col min="13583" max="13583" width="16.7265625" style="6" customWidth="1"/>
    <col min="13584" max="13584" width="7.26953125" style="6" bestFit="1" customWidth="1"/>
    <col min="13585" max="13585" width="16.7265625" style="6" customWidth="1"/>
    <col min="13586" max="13829" width="9" style="6"/>
    <col min="13830" max="13830" width="16.26953125" style="6" customWidth="1"/>
    <col min="13831" max="13831" width="9" style="6"/>
    <col min="13832" max="13832" width="11.36328125" style="6" customWidth="1"/>
    <col min="13833" max="13834" width="9" style="6"/>
    <col min="13835" max="13835" width="23" style="6" bestFit="1" customWidth="1"/>
    <col min="13836" max="13836" width="10" style="6" customWidth="1"/>
    <col min="13837" max="13837" width="6.26953125" style="6" bestFit="1" customWidth="1"/>
    <col min="13838" max="13838" width="7.26953125" style="6" bestFit="1" customWidth="1"/>
    <col min="13839" max="13839" width="16.7265625" style="6" customWidth="1"/>
    <col min="13840" max="13840" width="7.26953125" style="6" bestFit="1" customWidth="1"/>
    <col min="13841" max="13841" width="16.7265625" style="6" customWidth="1"/>
    <col min="13842" max="14085" width="9" style="6"/>
    <col min="14086" max="14086" width="16.26953125" style="6" customWidth="1"/>
    <col min="14087" max="14087" width="9" style="6"/>
    <col min="14088" max="14088" width="11.36328125" style="6" customWidth="1"/>
    <col min="14089" max="14090" width="9" style="6"/>
    <col min="14091" max="14091" width="23" style="6" bestFit="1" customWidth="1"/>
    <col min="14092" max="14092" width="10" style="6" customWidth="1"/>
    <col min="14093" max="14093" width="6.26953125" style="6" bestFit="1" customWidth="1"/>
    <col min="14094" max="14094" width="7.26953125" style="6" bestFit="1" customWidth="1"/>
    <col min="14095" max="14095" width="16.7265625" style="6" customWidth="1"/>
    <col min="14096" max="14096" width="7.26953125" style="6" bestFit="1" customWidth="1"/>
    <col min="14097" max="14097" width="16.7265625" style="6" customWidth="1"/>
    <col min="14098" max="14341" width="9" style="6"/>
    <col min="14342" max="14342" width="16.26953125" style="6" customWidth="1"/>
    <col min="14343" max="14343" width="9" style="6"/>
    <col min="14344" max="14344" width="11.36328125" style="6" customWidth="1"/>
    <col min="14345" max="14346" width="9" style="6"/>
    <col min="14347" max="14347" width="23" style="6" bestFit="1" customWidth="1"/>
    <col min="14348" max="14348" width="10" style="6" customWidth="1"/>
    <col min="14349" max="14349" width="6.26953125" style="6" bestFit="1" customWidth="1"/>
    <col min="14350" max="14350" width="7.26953125" style="6" bestFit="1" customWidth="1"/>
    <col min="14351" max="14351" width="16.7265625" style="6" customWidth="1"/>
    <col min="14352" max="14352" width="7.26953125" style="6" bestFit="1" customWidth="1"/>
    <col min="14353" max="14353" width="16.7265625" style="6" customWidth="1"/>
    <col min="14354" max="14597" width="9" style="6"/>
    <col min="14598" max="14598" width="16.26953125" style="6" customWidth="1"/>
    <col min="14599" max="14599" width="9" style="6"/>
    <col min="14600" max="14600" width="11.36328125" style="6" customWidth="1"/>
    <col min="14601" max="14602" width="9" style="6"/>
    <col min="14603" max="14603" width="23" style="6" bestFit="1" customWidth="1"/>
    <col min="14604" max="14604" width="10" style="6" customWidth="1"/>
    <col min="14605" max="14605" width="6.26953125" style="6" bestFit="1" customWidth="1"/>
    <col min="14606" max="14606" width="7.26953125" style="6" bestFit="1" customWidth="1"/>
    <col min="14607" max="14607" width="16.7265625" style="6" customWidth="1"/>
    <col min="14608" max="14608" width="7.26953125" style="6" bestFit="1" customWidth="1"/>
    <col min="14609" max="14609" width="16.7265625" style="6" customWidth="1"/>
    <col min="14610" max="14853" width="9" style="6"/>
    <col min="14854" max="14854" width="16.26953125" style="6" customWidth="1"/>
    <col min="14855" max="14855" width="9" style="6"/>
    <col min="14856" max="14856" width="11.36328125" style="6" customWidth="1"/>
    <col min="14857" max="14858" width="9" style="6"/>
    <col min="14859" max="14859" width="23" style="6" bestFit="1" customWidth="1"/>
    <col min="14860" max="14860" width="10" style="6" customWidth="1"/>
    <col min="14861" max="14861" width="6.26953125" style="6" bestFit="1" customWidth="1"/>
    <col min="14862" max="14862" width="7.26953125" style="6" bestFit="1" customWidth="1"/>
    <col min="14863" max="14863" width="16.7265625" style="6" customWidth="1"/>
    <col min="14864" max="14864" width="7.26953125" style="6" bestFit="1" customWidth="1"/>
    <col min="14865" max="14865" width="16.7265625" style="6" customWidth="1"/>
    <col min="14866" max="15109" width="9" style="6"/>
    <col min="15110" max="15110" width="16.26953125" style="6" customWidth="1"/>
    <col min="15111" max="15111" width="9" style="6"/>
    <col min="15112" max="15112" width="11.36328125" style="6" customWidth="1"/>
    <col min="15113" max="15114" width="9" style="6"/>
    <col min="15115" max="15115" width="23" style="6" bestFit="1" customWidth="1"/>
    <col min="15116" max="15116" width="10" style="6" customWidth="1"/>
    <col min="15117" max="15117" width="6.26953125" style="6" bestFit="1" customWidth="1"/>
    <col min="15118" max="15118" width="7.26953125" style="6" bestFit="1" customWidth="1"/>
    <col min="15119" max="15119" width="16.7265625" style="6" customWidth="1"/>
    <col min="15120" max="15120" width="7.26953125" style="6" bestFit="1" customWidth="1"/>
    <col min="15121" max="15121" width="16.7265625" style="6" customWidth="1"/>
    <col min="15122" max="15365" width="9" style="6"/>
    <col min="15366" max="15366" width="16.26953125" style="6" customWidth="1"/>
    <col min="15367" max="15367" width="9" style="6"/>
    <col min="15368" max="15368" width="11.36328125" style="6" customWidth="1"/>
    <col min="15369" max="15370" width="9" style="6"/>
    <col min="15371" max="15371" width="23" style="6" bestFit="1" customWidth="1"/>
    <col min="15372" max="15372" width="10" style="6" customWidth="1"/>
    <col min="15373" max="15373" width="6.26953125" style="6" bestFit="1" customWidth="1"/>
    <col min="15374" max="15374" width="7.26953125" style="6" bestFit="1" customWidth="1"/>
    <col min="15375" max="15375" width="16.7265625" style="6" customWidth="1"/>
    <col min="15376" max="15376" width="7.26953125" style="6" bestFit="1" customWidth="1"/>
    <col min="15377" max="15377" width="16.7265625" style="6" customWidth="1"/>
    <col min="15378" max="15621" width="9" style="6"/>
    <col min="15622" max="15622" width="16.26953125" style="6" customWidth="1"/>
    <col min="15623" max="15623" width="9" style="6"/>
    <col min="15624" max="15624" width="11.36328125" style="6" customWidth="1"/>
    <col min="15625" max="15626" width="9" style="6"/>
    <col min="15627" max="15627" width="23" style="6" bestFit="1" customWidth="1"/>
    <col min="15628" max="15628" width="10" style="6" customWidth="1"/>
    <col min="15629" max="15629" width="6.26953125" style="6" bestFit="1" customWidth="1"/>
    <col min="15630" max="15630" width="7.26953125" style="6" bestFit="1" customWidth="1"/>
    <col min="15631" max="15631" width="16.7265625" style="6" customWidth="1"/>
    <col min="15632" max="15632" width="7.26953125" style="6" bestFit="1" customWidth="1"/>
    <col min="15633" max="15633" width="16.7265625" style="6" customWidth="1"/>
    <col min="15634" max="15877" width="9" style="6"/>
    <col min="15878" max="15878" width="16.26953125" style="6" customWidth="1"/>
    <col min="15879" max="15879" width="9" style="6"/>
    <col min="15880" max="15880" width="11.36328125" style="6" customWidth="1"/>
    <col min="15881" max="15882" width="9" style="6"/>
    <col min="15883" max="15883" width="23" style="6" bestFit="1" customWidth="1"/>
    <col min="15884" max="15884" width="10" style="6" customWidth="1"/>
    <col min="15885" max="15885" width="6.26953125" style="6" bestFit="1" customWidth="1"/>
    <col min="15886" max="15886" width="7.26953125" style="6" bestFit="1" customWidth="1"/>
    <col min="15887" max="15887" width="16.7265625" style="6" customWidth="1"/>
    <col min="15888" max="15888" width="7.26953125" style="6" bestFit="1" customWidth="1"/>
    <col min="15889" max="15889" width="16.7265625" style="6" customWidth="1"/>
    <col min="15890" max="16133" width="9" style="6"/>
    <col min="16134" max="16134" width="16.26953125" style="6" customWidth="1"/>
    <col min="16135" max="16135" width="9" style="6"/>
    <col min="16136" max="16136" width="11.36328125" style="6" customWidth="1"/>
    <col min="16137" max="16138" width="9" style="6"/>
    <col min="16139" max="16139" width="23" style="6" bestFit="1" customWidth="1"/>
    <col min="16140" max="16140" width="10" style="6" customWidth="1"/>
    <col min="16141" max="16141" width="6.26953125" style="6" bestFit="1" customWidth="1"/>
    <col min="16142" max="16142" width="7.26953125" style="6" bestFit="1" customWidth="1"/>
    <col min="16143" max="16143" width="16.7265625" style="6" customWidth="1"/>
    <col min="16144" max="16144" width="7.26953125" style="6" bestFit="1" customWidth="1"/>
    <col min="16145" max="16145" width="16.7265625" style="6" customWidth="1"/>
    <col min="16146" max="16384" width="9" style="6"/>
  </cols>
  <sheetData>
    <row r="1" spans="1:26" s="21" customFormat="1" ht="23.25" customHeight="1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108" t="str">
        <f>資訊清單資訊!B3 &amp;資訊清單資訊!B7 &amp;資訊清單資訊!B5</f>
        <v>石油與天然氣輸儲查核與檢測雲端平台文件類(DC)資訊資產風險評鑑</v>
      </c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</row>
    <row r="2" spans="1:26">
      <c r="M2" s="42" t="s">
        <v>9</v>
      </c>
      <c r="N2" s="130" t="str">
        <f>資訊清單資訊!B7</f>
        <v>文件類(DC)</v>
      </c>
      <c r="O2" s="131"/>
      <c r="P2" s="132"/>
      <c r="Q2" s="54"/>
      <c r="R2" s="34" t="s">
        <v>11</v>
      </c>
      <c r="S2" s="19">
        <f>IF(ISNA(VLOOKUP($N$3,ALL_LIST,16,FALSE)), "",VLOOKUP($N$3,ALL_LIST,16,FALSE))</f>
        <v>3</v>
      </c>
    </row>
    <row r="3" spans="1:26" ht="31.75" customHeight="1">
      <c r="M3" s="45" t="s">
        <v>5</v>
      </c>
      <c r="N3" s="133" t="s">
        <v>157</v>
      </c>
      <c r="O3" s="134"/>
      <c r="P3" s="135"/>
      <c r="R3" s="33" t="s">
        <v>72</v>
      </c>
      <c r="S3" s="20">
        <f>IF(ISNA(VLOOKUP($N$3,ALL_LIST,8,FALSE)), "",VLOOKUP($N$3,ALL_LIST,8,FALSE))</f>
        <v>3</v>
      </c>
    </row>
    <row r="4" spans="1:26">
      <c r="M4" s="43" t="s">
        <v>10</v>
      </c>
      <c r="N4" s="136" t="str">
        <f>IF(ISNA(VLOOKUP($N$3,ALL_LIST,3,FALSE)), "",VLOOKUP($N$3,ALL_LIST,3,FALSE))</f>
        <v>保密同意書與切結書</v>
      </c>
      <c r="O4" s="137"/>
      <c r="P4" s="138"/>
      <c r="Q4" s="54"/>
      <c r="R4" s="33" t="s">
        <v>73</v>
      </c>
      <c r="S4" s="20">
        <f>IF(ISNA(VLOOKUP($N$3,ALL_LIST,10,FALSE)), "",VLOOKUP($N$3,ALL_LIST,10,FALSE))</f>
        <v>3</v>
      </c>
    </row>
    <row r="5" spans="1:26">
      <c r="M5" s="42" t="s">
        <v>6</v>
      </c>
      <c r="N5" s="139" t="str">
        <f>IF(ISNA(VLOOKUP($N$3,ALL_LIST,17,FALSE)), "",VLOOKUP($N$3,ALL_LIST,17,FALSE))</f>
        <v>賴斐瓔 </v>
      </c>
      <c r="O5" s="140"/>
      <c r="P5" s="141"/>
      <c r="Q5" s="54"/>
      <c r="R5" s="33" t="s">
        <v>74</v>
      </c>
      <c r="S5" s="20">
        <f>IF(ISNA(VLOOKUP($N$3,ALL_LIST,12,FALSE)), " ",VLOOKUP($N$3,ALL_LIST,12,FALSE))</f>
        <v>2</v>
      </c>
    </row>
    <row r="6" spans="1:26">
      <c r="M6" s="44" t="s">
        <v>7</v>
      </c>
      <c r="N6" s="142" t="s">
        <v>174</v>
      </c>
      <c r="O6" s="143"/>
      <c r="P6" s="144"/>
      <c r="R6" s="33" t="s">
        <v>75</v>
      </c>
      <c r="S6" s="20">
        <f>IF(ISNA(VLOOKUP($N$3,ALL_LIST,14,FALSE)), "",VLOOKUP($N$3,ALL_LIST,14,FALSE))</f>
        <v>3</v>
      </c>
    </row>
    <row r="7" spans="1:26">
      <c r="M7" s="44" t="s">
        <v>8</v>
      </c>
      <c r="N7" s="121" t="s">
        <v>168</v>
      </c>
      <c r="O7" s="122"/>
      <c r="P7" s="123"/>
      <c r="Q7" s="54"/>
      <c r="R7" s="35" t="s">
        <v>12</v>
      </c>
      <c r="S7" s="26">
        <f>MAX(Y11:Y25)</f>
        <v>9</v>
      </c>
    </row>
    <row r="10" spans="1:26" s="22" customFormat="1" ht="16">
      <c r="A10" s="36" t="s">
        <v>13</v>
      </c>
      <c r="B10" s="36" t="s">
        <v>14</v>
      </c>
      <c r="C10" s="36" t="s">
        <v>15</v>
      </c>
      <c r="D10" s="36" t="s">
        <v>16</v>
      </c>
      <c r="E10" s="36" t="s">
        <v>3</v>
      </c>
      <c r="F10" s="36" t="s">
        <v>17</v>
      </c>
      <c r="G10" s="37" t="s">
        <v>18</v>
      </c>
      <c r="H10" s="37" t="s">
        <v>19</v>
      </c>
      <c r="I10" s="37" t="s">
        <v>20</v>
      </c>
      <c r="J10" s="37" t="s">
        <v>21</v>
      </c>
      <c r="K10" s="38" t="s">
        <v>22</v>
      </c>
      <c r="L10" s="39" t="s">
        <v>31</v>
      </c>
      <c r="M10" s="146" t="s">
        <v>23</v>
      </c>
      <c r="N10" s="147"/>
      <c r="O10" s="148"/>
      <c r="P10" s="146" t="s">
        <v>4</v>
      </c>
      <c r="Q10" s="147"/>
      <c r="R10" s="147"/>
      <c r="S10" s="148"/>
      <c r="T10" s="32" t="s">
        <v>24</v>
      </c>
      <c r="U10" s="32" t="s">
        <v>25</v>
      </c>
      <c r="V10" s="32" t="s">
        <v>26</v>
      </c>
      <c r="W10" s="32" t="s">
        <v>27</v>
      </c>
      <c r="X10" s="32" t="s">
        <v>26</v>
      </c>
      <c r="Y10" s="32" t="s">
        <v>28</v>
      </c>
      <c r="Z10" s="32" t="s">
        <v>29</v>
      </c>
    </row>
    <row r="11" spans="1:26" ht="46.5">
      <c r="A11" s="55" t="str">
        <f>$N$3</f>
        <v>材1-1-DC-01</v>
      </c>
      <c r="B11" s="56">
        <f t="shared" ref="B11:B25" si="0">VLOOKUP($N$3,ALL_LIST,2,FALSE)</f>
        <v>0</v>
      </c>
      <c r="C11" s="56" t="str">
        <f t="shared" ref="C11:C25" si="1">VLOOKUP($N$3,ALL_LIST,3,FALSE)</f>
        <v>保密同意書與切結書</v>
      </c>
      <c r="D11" s="56" t="str">
        <f t="shared" ref="D11:D25" si="2">VLOOKUP($N$3,ALL_LIST,4,FALSE)</f>
        <v>交付給能源局之保密同意書與切結書</v>
      </c>
      <c r="E11" s="56" t="str">
        <f t="shared" ref="E11:E25" si="3">VLOOKUP($N$3,ALL_LIST,6,FALSE)</f>
        <v>一個計畫成員一份</v>
      </c>
      <c r="F11" s="56" t="str">
        <f t="shared" ref="F11:F25" si="4">VLOOKUP($N$3,ALL_LIST,7,FALSE)</f>
        <v>張珮盈</v>
      </c>
      <c r="G11" s="56">
        <f t="shared" ref="G11:G25" si="5">VLOOKUP($N$3,ALL_LIST,8,FALSE)</f>
        <v>3</v>
      </c>
      <c r="H11" s="56">
        <f t="shared" ref="H11:H25" si="6">VLOOKUP($N$3,ALL_LIST,10,FALSE)</f>
        <v>3</v>
      </c>
      <c r="I11" s="56">
        <f t="shared" ref="I11:I25" si="7">VLOOKUP($N$3,ALL_LIST,12,FALSE)</f>
        <v>2</v>
      </c>
      <c r="J11" s="56">
        <f t="shared" ref="J11:J25" si="8">VLOOKUP($N$3,ALL_LIST,14,FALSE)</f>
        <v>3</v>
      </c>
      <c r="K11" s="57">
        <f t="shared" ref="K11:K25" si="9">VLOOKUP($N$3,ALL_LIST,16,FALSE)</f>
        <v>3</v>
      </c>
      <c r="L11" s="57">
        <f t="shared" ref="L11:L25" si="10">$S$7</f>
        <v>9</v>
      </c>
      <c r="M11" s="124" t="s">
        <v>127</v>
      </c>
      <c r="N11" s="124"/>
      <c r="O11" s="124"/>
      <c r="P11" s="116" t="s">
        <v>110</v>
      </c>
      <c r="Q11" s="110"/>
      <c r="R11" s="110"/>
      <c r="S11" s="110"/>
      <c r="T11" s="58" t="s">
        <v>111</v>
      </c>
      <c r="U11" s="58">
        <v>1</v>
      </c>
      <c r="V11" s="69" t="s">
        <v>159</v>
      </c>
      <c r="W11" s="58">
        <v>3</v>
      </c>
      <c r="X11" s="69" t="s">
        <v>175</v>
      </c>
      <c r="Y11" s="59">
        <f>IF((T11="N"),"不適用",IF(COUNTA(U11,W11)&lt;2,"評鑑中",$S$2*U11*W11))</f>
        <v>9</v>
      </c>
      <c r="Z11" s="63"/>
    </row>
    <row r="12" spans="1:26" ht="46.5">
      <c r="A12" s="55" t="str">
        <f t="shared" ref="A12:A25" si="11">$N$3</f>
        <v>材1-1-DC-01</v>
      </c>
      <c r="B12" s="56">
        <f t="shared" si="0"/>
        <v>0</v>
      </c>
      <c r="C12" s="56" t="str">
        <f t="shared" si="1"/>
        <v>保密同意書與切結書</v>
      </c>
      <c r="D12" s="56" t="str">
        <f t="shared" si="2"/>
        <v>交付給能源局之保密同意書與切結書</v>
      </c>
      <c r="E12" s="56" t="str">
        <f t="shared" si="3"/>
        <v>一個計畫成員一份</v>
      </c>
      <c r="F12" s="56" t="str">
        <f t="shared" si="4"/>
        <v>張珮盈</v>
      </c>
      <c r="G12" s="56">
        <f t="shared" si="5"/>
        <v>3</v>
      </c>
      <c r="H12" s="56">
        <f t="shared" si="6"/>
        <v>3</v>
      </c>
      <c r="I12" s="56">
        <f t="shared" si="7"/>
        <v>2</v>
      </c>
      <c r="J12" s="56">
        <f t="shared" si="8"/>
        <v>3</v>
      </c>
      <c r="K12" s="57">
        <f t="shared" si="9"/>
        <v>3</v>
      </c>
      <c r="L12" s="57">
        <f t="shared" si="10"/>
        <v>9</v>
      </c>
      <c r="M12" s="125" t="s">
        <v>112</v>
      </c>
      <c r="N12" s="126"/>
      <c r="O12" s="127"/>
      <c r="P12" s="128" t="s">
        <v>113</v>
      </c>
      <c r="Q12" s="129"/>
      <c r="R12" s="129"/>
      <c r="S12" s="129"/>
      <c r="T12" s="58" t="s">
        <v>111</v>
      </c>
      <c r="U12" s="58">
        <v>1</v>
      </c>
      <c r="V12" s="69" t="s">
        <v>159</v>
      </c>
      <c r="W12" s="58">
        <v>3</v>
      </c>
      <c r="X12" s="69"/>
      <c r="Y12" s="59">
        <f t="shared" ref="Y12:Y24" si="12">IF((T12="N"),"不適用",IF(COUNTA(U12,W12)&lt;2,"評鑑中",$S$2*U12*W12))</f>
        <v>9</v>
      </c>
      <c r="Z12" s="63"/>
    </row>
    <row r="13" spans="1:26" ht="31">
      <c r="A13" s="55" t="str">
        <f t="shared" si="11"/>
        <v>材1-1-DC-01</v>
      </c>
      <c r="B13" s="56">
        <f t="shared" si="0"/>
        <v>0</v>
      </c>
      <c r="C13" s="56" t="str">
        <f t="shared" si="1"/>
        <v>保密同意書與切結書</v>
      </c>
      <c r="D13" s="56" t="str">
        <f t="shared" si="2"/>
        <v>交付給能源局之保密同意書與切結書</v>
      </c>
      <c r="E13" s="56" t="str">
        <f t="shared" si="3"/>
        <v>一個計畫成員一份</v>
      </c>
      <c r="F13" s="56" t="str">
        <f t="shared" si="4"/>
        <v>張珮盈</v>
      </c>
      <c r="G13" s="56">
        <f t="shared" si="5"/>
        <v>3</v>
      </c>
      <c r="H13" s="56">
        <f t="shared" si="6"/>
        <v>3</v>
      </c>
      <c r="I13" s="56">
        <f t="shared" si="7"/>
        <v>2</v>
      </c>
      <c r="J13" s="56">
        <f t="shared" si="8"/>
        <v>3</v>
      </c>
      <c r="K13" s="57">
        <f t="shared" si="9"/>
        <v>3</v>
      </c>
      <c r="L13" s="57">
        <f t="shared" si="10"/>
        <v>9</v>
      </c>
      <c r="M13" s="125" t="s">
        <v>112</v>
      </c>
      <c r="N13" s="126"/>
      <c r="O13" s="127"/>
      <c r="P13" s="116" t="s">
        <v>114</v>
      </c>
      <c r="Q13" s="110"/>
      <c r="R13" s="110"/>
      <c r="S13" s="110"/>
      <c r="T13" s="58" t="s">
        <v>115</v>
      </c>
      <c r="U13" s="58">
        <v>1</v>
      </c>
      <c r="V13" s="69" t="s">
        <v>160</v>
      </c>
      <c r="W13" s="58">
        <v>3</v>
      </c>
      <c r="X13" s="69"/>
      <c r="Y13" s="59">
        <f t="shared" si="12"/>
        <v>9</v>
      </c>
      <c r="Z13" s="63"/>
    </row>
    <row r="14" spans="1:26" ht="46.5">
      <c r="A14" s="55" t="str">
        <f t="shared" si="11"/>
        <v>材1-1-DC-01</v>
      </c>
      <c r="B14" s="56">
        <f t="shared" si="0"/>
        <v>0</v>
      </c>
      <c r="C14" s="56" t="str">
        <f t="shared" si="1"/>
        <v>保密同意書與切結書</v>
      </c>
      <c r="D14" s="56" t="str">
        <f t="shared" si="2"/>
        <v>交付給能源局之保密同意書與切結書</v>
      </c>
      <c r="E14" s="56" t="str">
        <f t="shared" si="3"/>
        <v>一個計畫成員一份</v>
      </c>
      <c r="F14" s="56" t="str">
        <f t="shared" si="4"/>
        <v>張珮盈</v>
      </c>
      <c r="G14" s="56">
        <f t="shared" si="5"/>
        <v>3</v>
      </c>
      <c r="H14" s="56">
        <f t="shared" si="6"/>
        <v>3</v>
      </c>
      <c r="I14" s="56">
        <f t="shared" si="7"/>
        <v>2</v>
      </c>
      <c r="J14" s="56">
        <f t="shared" si="8"/>
        <v>3</v>
      </c>
      <c r="K14" s="57">
        <f t="shared" si="9"/>
        <v>3</v>
      </c>
      <c r="L14" s="57">
        <f t="shared" si="10"/>
        <v>9</v>
      </c>
      <c r="M14" s="125" t="s">
        <v>112</v>
      </c>
      <c r="N14" s="126"/>
      <c r="O14" s="127"/>
      <c r="P14" s="128" t="s">
        <v>116</v>
      </c>
      <c r="Q14" s="129"/>
      <c r="R14" s="129"/>
      <c r="S14" s="129"/>
      <c r="T14" s="58" t="s">
        <v>115</v>
      </c>
      <c r="U14" s="58">
        <v>1</v>
      </c>
      <c r="V14" s="69" t="s">
        <v>161</v>
      </c>
      <c r="W14" s="58">
        <v>3</v>
      </c>
      <c r="X14" s="69"/>
      <c r="Y14" s="59">
        <f t="shared" si="12"/>
        <v>9</v>
      </c>
      <c r="Z14" s="63"/>
    </row>
    <row r="15" spans="1:26" ht="46.5">
      <c r="A15" s="55" t="str">
        <f t="shared" si="11"/>
        <v>材1-1-DC-01</v>
      </c>
      <c r="B15" s="56">
        <f t="shared" si="0"/>
        <v>0</v>
      </c>
      <c r="C15" s="56" t="str">
        <f t="shared" si="1"/>
        <v>保密同意書與切結書</v>
      </c>
      <c r="D15" s="56" t="str">
        <f t="shared" si="2"/>
        <v>交付給能源局之保密同意書與切結書</v>
      </c>
      <c r="E15" s="56" t="str">
        <f t="shared" si="3"/>
        <v>一個計畫成員一份</v>
      </c>
      <c r="F15" s="56" t="str">
        <f t="shared" si="4"/>
        <v>張珮盈</v>
      </c>
      <c r="G15" s="56">
        <f t="shared" si="5"/>
        <v>3</v>
      </c>
      <c r="H15" s="56">
        <f t="shared" si="6"/>
        <v>3</v>
      </c>
      <c r="I15" s="56">
        <f t="shared" si="7"/>
        <v>2</v>
      </c>
      <c r="J15" s="56">
        <f t="shared" si="8"/>
        <v>3</v>
      </c>
      <c r="K15" s="57">
        <f t="shared" si="9"/>
        <v>3</v>
      </c>
      <c r="L15" s="57">
        <f t="shared" si="10"/>
        <v>9</v>
      </c>
      <c r="M15" s="125" t="s">
        <v>112</v>
      </c>
      <c r="N15" s="126"/>
      <c r="O15" s="127"/>
      <c r="P15" s="149" t="s">
        <v>117</v>
      </c>
      <c r="Q15" s="150"/>
      <c r="R15" s="150"/>
      <c r="S15" s="150"/>
      <c r="T15" s="58" t="s">
        <v>115</v>
      </c>
      <c r="U15" s="58">
        <v>1</v>
      </c>
      <c r="V15" s="76" t="s">
        <v>162</v>
      </c>
      <c r="W15" s="58">
        <v>3</v>
      </c>
      <c r="X15" s="69"/>
      <c r="Y15" s="59">
        <f t="shared" si="12"/>
        <v>9</v>
      </c>
      <c r="Z15" s="63"/>
    </row>
    <row r="16" spans="1:26" ht="31">
      <c r="A16" s="55" t="str">
        <f t="shared" si="11"/>
        <v>材1-1-DC-01</v>
      </c>
      <c r="B16" s="56">
        <f t="shared" si="0"/>
        <v>0</v>
      </c>
      <c r="C16" s="56" t="str">
        <f t="shared" si="1"/>
        <v>保密同意書與切結書</v>
      </c>
      <c r="D16" s="56" t="str">
        <f t="shared" si="2"/>
        <v>交付給能源局之保密同意書與切結書</v>
      </c>
      <c r="E16" s="56" t="str">
        <f t="shared" si="3"/>
        <v>一個計畫成員一份</v>
      </c>
      <c r="F16" s="56" t="str">
        <f t="shared" si="4"/>
        <v>張珮盈</v>
      </c>
      <c r="G16" s="56">
        <f t="shared" si="5"/>
        <v>3</v>
      </c>
      <c r="H16" s="56">
        <f t="shared" si="6"/>
        <v>3</v>
      </c>
      <c r="I16" s="56">
        <f t="shared" si="7"/>
        <v>2</v>
      </c>
      <c r="J16" s="56">
        <f t="shared" si="8"/>
        <v>3</v>
      </c>
      <c r="K16" s="57">
        <f t="shared" si="9"/>
        <v>3</v>
      </c>
      <c r="L16" s="57">
        <f t="shared" si="10"/>
        <v>9</v>
      </c>
      <c r="M16" s="151" t="s">
        <v>112</v>
      </c>
      <c r="N16" s="152"/>
      <c r="O16" s="153"/>
      <c r="P16" s="116" t="s">
        <v>118</v>
      </c>
      <c r="Q16" s="110"/>
      <c r="R16" s="110"/>
      <c r="S16" s="110"/>
      <c r="T16" s="58" t="s">
        <v>115</v>
      </c>
      <c r="U16" s="58">
        <v>1</v>
      </c>
      <c r="V16" s="63" t="s">
        <v>163</v>
      </c>
      <c r="W16" s="58">
        <v>1</v>
      </c>
      <c r="X16" s="69"/>
      <c r="Y16" s="59">
        <f t="shared" si="12"/>
        <v>3</v>
      </c>
      <c r="Z16" s="63"/>
    </row>
    <row r="17" spans="1:26" ht="31">
      <c r="A17" s="55" t="str">
        <f t="shared" si="11"/>
        <v>材1-1-DC-01</v>
      </c>
      <c r="B17" s="56">
        <f t="shared" si="0"/>
        <v>0</v>
      </c>
      <c r="C17" s="56" t="str">
        <f t="shared" si="1"/>
        <v>保密同意書與切結書</v>
      </c>
      <c r="D17" s="56" t="str">
        <f t="shared" si="2"/>
        <v>交付給能源局之保密同意書與切結書</v>
      </c>
      <c r="E17" s="56" t="str">
        <f t="shared" si="3"/>
        <v>一個計畫成員一份</v>
      </c>
      <c r="F17" s="56" t="str">
        <f t="shared" si="4"/>
        <v>張珮盈</v>
      </c>
      <c r="G17" s="56">
        <f t="shared" si="5"/>
        <v>3</v>
      </c>
      <c r="H17" s="56">
        <f t="shared" si="6"/>
        <v>3</v>
      </c>
      <c r="I17" s="56">
        <f t="shared" si="7"/>
        <v>2</v>
      </c>
      <c r="J17" s="56">
        <f t="shared" si="8"/>
        <v>3</v>
      </c>
      <c r="K17" s="57">
        <f t="shared" si="9"/>
        <v>3</v>
      </c>
      <c r="L17" s="57">
        <f t="shared" si="10"/>
        <v>9</v>
      </c>
      <c r="M17" s="109" t="s">
        <v>128</v>
      </c>
      <c r="N17" s="109"/>
      <c r="O17" s="109"/>
      <c r="P17" s="110" t="s">
        <v>118</v>
      </c>
      <c r="Q17" s="110"/>
      <c r="R17" s="110"/>
      <c r="S17" s="110"/>
      <c r="T17" s="58" t="s">
        <v>115</v>
      </c>
      <c r="U17" s="58">
        <v>1</v>
      </c>
      <c r="V17" s="63" t="s">
        <v>163</v>
      </c>
      <c r="W17" s="58">
        <v>1</v>
      </c>
      <c r="X17" s="69"/>
      <c r="Y17" s="59">
        <f t="shared" si="12"/>
        <v>3</v>
      </c>
      <c r="Z17" s="63"/>
    </row>
    <row r="18" spans="1:26" ht="31">
      <c r="A18" s="55" t="str">
        <f t="shared" si="11"/>
        <v>材1-1-DC-01</v>
      </c>
      <c r="B18" s="56">
        <f t="shared" si="0"/>
        <v>0</v>
      </c>
      <c r="C18" s="56" t="str">
        <f t="shared" si="1"/>
        <v>保密同意書與切結書</v>
      </c>
      <c r="D18" s="56" t="str">
        <f t="shared" si="2"/>
        <v>交付給能源局之保密同意書與切結書</v>
      </c>
      <c r="E18" s="56" t="str">
        <f t="shared" si="3"/>
        <v>一個計畫成員一份</v>
      </c>
      <c r="F18" s="56" t="str">
        <f t="shared" si="4"/>
        <v>張珮盈</v>
      </c>
      <c r="G18" s="56">
        <f t="shared" si="5"/>
        <v>3</v>
      </c>
      <c r="H18" s="56">
        <f t="shared" si="6"/>
        <v>3</v>
      </c>
      <c r="I18" s="56">
        <f t="shared" si="7"/>
        <v>2</v>
      </c>
      <c r="J18" s="56">
        <f t="shared" si="8"/>
        <v>3</v>
      </c>
      <c r="K18" s="57">
        <f t="shared" si="9"/>
        <v>3</v>
      </c>
      <c r="L18" s="57">
        <f t="shared" si="10"/>
        <v>9</v>
      </c>
      <c r="M18" s="120" t="s">
        <v>129</v>
      </c>
      <c r="N18" s="120"/>
      <c r="O18" s="120"/>
      <c r="P18" s="110" t="s">
        <v>118</v>
      </c>
      <c r="Q18" s="110"/>
      <c r="R18" s="110"/>
      <c r="S18" s="110"/>
      <c r="T18" s="58" t="s">
        <v>115</v>
      </c>
      <c r="U18" s="58">
        <v>1</v>
      </c>
      <c r="V18" s="63" t="s">
        <v>163</v>
      </c>
      <c r="W18" s="58">
        <v>1</v>
      </c>
      <c r="X18" s="69"/>
      <c r="Y18" s="59">
        <f t="shared" si="12"/>
        <v>3</v>
      </c>
      <c r="Z18" s="63"/>
    </row>
    <row r="19" spans="1:26">
      <c r="A19" s="55" t="str">
        <f t="shared" si="11"/>
        <v>材1-1-DC-01</v>
      </c>
      <c r="B19" s="56">
        <f t="shared" si="0"/>
        <v>0</v>
      </c>
      <c r="C19" s="56" t="str">
        <f t="shared" si="1"/>
        <v>保密同意書與切結書</v>
      </c>
      <c r="D19" s="56" t="str">
        <f t="shared" si="2"/>
        <v>交付給能源局之保密同意書與切結書</v>
      </c>
      <c r="E19" s="56" t="str">
        <f t="shared" si="3"/>
        <v>一個計畫成員一份</v>
      </c>
      <c r="F19" s="56" t="str">
        <f t="shared" si="4"/>
        <v>張珮盈</v>
      </c>
      <c r="G19" s="56">
        <f t="shared" si="5"/>
        <v>3</v>
      </c>
      <c r="H19" s="56">
        <f t="shared" si="6"/>
        <v>3</v>
      </c>
      <c r="I19" s="56">
        <f t="shared" si="7"/>
        <v>2</v>
      </c>
      <c r="J19" s="56">
        <f t="shared" si="8"/>
        <v>3</v>
      </c>
      <c r="K19" s="57">
        <f t="shared" si="9"/>
        <v>3</v>
      </c>
      <c r="L19" s="57">
        <f t="shared" si="10"/>
        <v>9</v>
      </c>
      <c r="M19" s="120" t="s">
        <v>130</v>
      </c>
      <c r="N19" s="120"/>
      <c r="O19" s="120"/>
      <c r="P19" s="120" t="s">
        <v>119</v>
      </c>
      <c r="Q19" s="120"/>
      <c r="R19" s="120"/>
      <c r="S19" s="120"/>
      <c r="T19" s="58" t="s">
        <v>115</v>
      </c>
      <c r="U19" s="58">
        <v>1</v>
      </c>
      <c r="V19" s="63" t="s">
        <v>164</v>
      </c>
      <c r="W19" s="58">
        <v>1</v>
      </c>
      <c r="X19" s="69"/>
      <c r="Y19" s="59">
        <f t="shared" si="12"/>
        <v>3</v>
      </c>
      <c r="Z19" s="63"/>
    </row>
    <row r="20" spans="1:26">
      <c r="A20" s="55" t="str">
        <f t="shared" si="11"/>
        <v>材1-1-DC-01</v>
      </c>
      <c r="B20" s="56">
        <f t="shared" si="0"/>
        <v>0</v>
      </c>
      <c r="C20" s="56" t="str">
        <f t="shared" si="1"/>
        <v>保密同意書與切結書</v>
      </c>
      <c r="D20" s="56" t="str">
        <f t="shared" si="2"/>
        <v>交付給能源局之保密同意書與切結書</v>
      </c>
      <c r="E20" s="56" t="str">
        <f t="shared" si="3"/>
        <v>一個計畫成員一份</v>
      </c>
      <c r="F20" s="56" t="str">
        <f t="shared" si="4"/>
        <v>張珮盈</v>
      </c>
      <c r="G20" s="56">
        <f t="shared" si="5"/>
        <v>3</v>
      </c>
      <c r="H20" s="56">
        <f t="shared" si="6"/>
        <v>3</v>
      </c>
      <c r="I20" s="56">
        <f t="shared" si="7"/>
        <v>2</v>
      </c>
      <c r="J20" s="56">
        <f t="shared" si="8"/>
        <v>3</v>
      </c>
      <c r="K20" s="57">
        <f t="shared" si="9"/>
        <v>3</v>
      </c>
      <c r="L20" s="57">
        <f t="shared" si="10"/>
        <v>9</v>
      </c>
      <c r="M20" s="112" t="s">
        <v>131</v>
      </c>
      <c r="N20" s="112"/>
      <c r="O20" s="112"/>
      <c r="P20" s="110" t="s">
        <v>120</v>
      </c>
      <c r="Q20" s="110"/>
      <c r="R20" s="110"/>
      <c r="S20" s="110"/>
      <c r="T20" s="58" t="s">
        <v>135</v>
      </c>
      <c r="U20" s="58"/>
      <c r="V20" s="69"/>
      <c r="W20" s="58"/>
      <c r="X20" s="69"/>
      <c r="Y20" s="59" t="str">
        <f>IF((T20="N"),"不適用",IF(COUNTA(U20,W20)&lt;2,"評鑑中",$S$2*U20*W20))</f>
        <v>不適用</v>
      </c>
      <c r="Z20" s="63"/>
    </row>
    <row r="21" spans="1:26">
      <c r="A21" s="55" t="str">
        <f t="shared" si="11"/>
        <v>材1-1-DC-01</v>
      </c>
      <c r="B21" s="56">
        <f t="shared" si="0"/>
        <v>0</v>
      </c>
      <c r="C21" s="56" t="str">
        <f t="shared" si="1"/>
        <v>保密同意書與切結書</v>
      </c>
      <c r="D21" s="56" t="str">
        <f t="shared" si="2"/>
        <v>交付給能源局之保密同意書與切結書</v>
      </c>
      <c r="E21" s="56" t="str">
        <f t="shared" si="3"/>
        <v>一個計畫成員一份</v>
      </c>
      <c r="F21" s="56" t="str">
        <f t="shared" si="4"/>
        <v>張珮盈</v>
      </c>
      <c r="G21" s="56">
        <f t="shared" si="5"/>
        <v>3</v>
      </c>
      <c r="H21" s="56">
        <f t="shared" si="6"/>
        <v>3</v>
      </c>
      <c r="I21" s="56">
        <f t="shared" si="7"/>
        <v>2</v>
      </c>
      <c r="J21" s="56">
        <f t="shared" si="8"/>
        <v>3</v>
      </c>
      <c r="K21" s="57">
        <f t="shared" si="9"/>
        <v>3</v>
      </c>
      <c r="L21" s="57">
        <f t="shared" si="10"/>
        <v>9</v>
      </c>
      <c r="M21" s="113" t="s">
        <v>132</v>
      </c>
      <c r="N21" s="114"/>
      <c r="O21" s="115"/>
      <c r="P21" s="116" t="s">
        <v>121</v>
      </c>
      <c r="Q21" s="110"/>
      <c r="R21" s="110"/>
      <c r="S21" s="110"/>
      <c r="T21" s="58" t="s">
        <v>115</v>
      </c>
      <c r="U21" s="58">
        <v>1</v>
      </c>
      <c r="V21" s="63" t="s">
        <v>164</v>
      </c>
      <c r="W21" s="58">
        <v>3</v>
      </c>
      <c r="X21" s="69"/>
      <c r="Y21" s="59">
        <f t="shared" si="12"/>
        <v>9</v>
      </c>
      <c r="Z21" s="63"/>
    </row>
    <row r="22" spans="1:26" ht="46.5">
      <c r="A22" s="55" t="str">
        <f t="shared" si="11"/>
        <v>材1-1-DC-01</v>
      </c>
      <c r="B22" s="56">
        <f t="shared" si="0"/>
        <v>0</v>
      </c>
      <c r="C22" s="56" t="str">
        <f t="shared" si="1"/>
        <v>保密同意書與切結書</v>
      </c>
      <c r="D22" s="56" t="str">
        <f t="shared" si="2"/>
        <v>交付給能源局之保密同意書與切結書</v>
      </c>
      <c r="E22" s="56" t="str">
        <f t="shared" si="3"/>
        <v>一個計畫成員一份</v>
      </c>
      <c r="F22" s="56" t="str">
        <f t="shared" si="4"/>
        <v>張珮盈</v>
      </c>
      <c r="G22" s="56">
        <f t="shared" si="5"/>
        <v>3</v>
      </c>
      <c r="H22" s="56">
        <f t="shared" si="6"/>
        <v>3</v>
      </c>
      <c r="I22" s="56">
        <f t="shared" si="7"/>
        <v>2</v>
      </c>
      <c r="J22" s="56">
        <f t="shared" si="8"/>
        <v>3</v>
      </c>
      <c r="K22" s="57">
        <f t="shared" si="9"/>
        <v>3</v>
      </c>
      <c r="L22" s="57">
        <f t="shared" si="10"/>
        <v>9</v>
      </c>
      <c r="M22" s="117" t="s">
        <v>122</v>
      </c>
      <c r="N22" s="118"/>
      <c r="O22" s="119"/>
      <c r="P22" s="116" t="s">
        <v>123</v>
      </c>
      <c r="Q22" s="110"/>
      <c r="R22" s="110"/>
      <c r="S22" s="110"/>
      <c r="T22" s="58" t="s">
        <v>115</v>
      </c>
      <c r="U22" s="58">
        <v>1</v>
      </c>
      <c r="V22" s="63" t="s">
        <v>165</v>
      </c>
      <c r="W22" s="58">
        <v>3</v>
      </c>
      <c r="X22" s="69"/>
      <c r="Y22" s="59">
        <f t="shared" si="12"/>
        <v>9</v>
      </c>
      <c r="Z22" s="63"/>
    </row>
    <row r="23" spans="1:26">
      <c r="A23" s="55" t="str">
        <f t="shared" si="11"/>
        <v>材1-1-DC-01</v>
      </c>
      <c r="B23" s="56">
        <f t="shared" si="0"/>
        <v>0</v>
      </c>
      <c r="C23" s="56" t="str">
        <f t="shared" si="1"/>
        <v>保密同意書與切結書</v>
      </c>
      <c r="D23" s="56" t="str">
        <f t="shared" si="2"/>
        <v>交付給能源局之保密同意書與切結書</v>
      </c>
      <c r="E23" s="56" t="str">
        <f t="shared" si="3"/>
        <v>一個計畫成員一份</v>
      </c>
      <c r="F23" s="56" t="str">
        <f t="shared" si="4"/>
        <v>張珮盈</v>
      </c>
      <c r="G23" s="56">
        <f t="shared" si="5"/>
        <v>3</v>
      </c>
      <c r="H23" s="56">
        <f t="shared" si="6"/>
        <v>3</v>
      </c>
      <c r="I23" s="56">
        <f t="shared" si="7"/>
        <v>2</v>
      </c>
      <c r="J23" s="56">
        <f t="shared" si="8"/>
        <v>3</v>
      </c>
      <c r="K23" s="57">
        <f t="shared" si="9"/>
        <v>3</v>
      </c>
      <c r="L23" s="57">
        <f t="shared" si="10"/>
        <v>9</v>
      </c>
      <c r="M23" s="109" t="s">
        <v>133</v>
      </c>
      <c r="N23" s="109"/>
      <c r="O23" s="109"/>
      <c r="P23" s="110" t="s">
        <v>124</v>
      </c>
      <c r="Q23" s="110"/>
      <c r="R23" s="110"/>
      <c r="S23" s="110"/>
      <c r="T23" s="58" t="s">
        <v>135</v>
      </c>
      <c r="U23" s="58"/>
      <c r="V23" s="69"/>
      <c r="W23" s="58"/>
      <c r="X23" s="69"/>
      <c r="Y23" s="59" t="str">
        <f t="shared" si="12"/>
        <v>不適用</v>
      </c>
      <c r="Z23" s="63"/>
    </row>
    <row r="24" spans="1:26" ht="31">
      <c r="A24" s="55" t="str">
        <f t="shared" si="11"/>
        <v>材1-1-DC-01</v>
      </c>
      <c r="B24" s="56">
        <f t="shared" ref="B24" si="13">VLOOKUP($N$3,ALL_LIST,2,FALSE)</f>
        <v>0</v>
      </c>
      <c r="C24" s="56" t="str">
        <f t="shared" ref="C24" si="14">VLOOKUP($N$3,ALL_LIST,3,FALSE)</f>
        <v>保密同意書與切結書</v>
      </c>
      <c r="D24" s="56" t="str">
        <f t="shared" ref="D24" si="15">VLOOKUP($N$3,ALL_LIST,4,FALSE)</f>
        <v>交付給能源局之保密同意書與切結書</v>
      </c>
      <c r="E24" s="56" t="str">
        <f t="shared" ref="E24" si="16">VLOOKUP($N$3,ALL_LIST,6,FALSE)</f>
        <v>一個計畫成員一份</v>
      </c>
      <c r="F24" s="56" t="str">
        <f t="shared" ref="F24" si="17">VLOOKUP($N$3,ALL_LIST,7,FALSE)</f>
        <v>張珮盈</v>
      </c>
      <c r="G24" s="56">
        <f t="shared" ref="G24" si="18">VLOOKUP($N$3,ALL_LIST,8,FALSE)</f>
        <v>3</v>
      </c>
      <c r="H24" s="56">
        <f t="shared" ref="H24" si="19">VLOOKUP($N$3,ALL_LIST,10,FALSE)</f>
        <v>3</v>
      </c>
      <c r="I24" s="56">
        <f t="shared" ref="I24" si="20">VLOOKUP($N$3,ALL_LIST,12,FALSE)</f>
        <v>2</v>
      </c>
      <c r="J24" s="56">
        <f t="shared" ref="J24" si="21">VLOOKUP($N$3,ALL_LIST,14,FALSE)</f>
        <v>3</v>
      </c>
      <c r="K24" s="57">
        <f t="shared" ref="K24" si="22">VLOOKUP($N$3,ALL_LIST,16,FALSE)</f>
        <v>3</v>
      </c>
      <c r="L24" s="57">
        <f t="shared" si="10"/>
        <v>9</v>
      </c>
      <c r="M24" s="145" t="s">
        <v>169</v>
      </c>
      <c r="N24" s="120"/>
      <c r="O24" s="120"/>
      <c r="P24" s="110" t="s">
        <v>170</v>
      </c>
      <c r="Q24" s="110"/>
      <c r="R24" s="110"/>
      <c r="S24" s="110"/>
      <c r="T24" s="58" t="s">
        <v>111</v>
      </c>
      <c r="U24" s="58">
        <v>1</v>
      </c>
      <c r="V24" s="69" t="s">
        <v>171</v>
      </c>
      <c r="W24" s="58">
        <v>2</v>
      </c>
      <c r="X24" s="69" t="s">
        <v>172</v>
      </c>
      <c r="Y24" s="59">
        <f t="shared" si="12"/>
        <v>6</v>
      </c>
      <c r="Z24" s="63"/>
    </row>
    <row r="25" spans="1:26" ht="16" thickBot="1">
      <c r="A25" s="60" t="str">
        <f t="shared" si="11"/>
        <v>材1-1-DC-01</v>
      </c>
      <c r="B25" s="61">
        <f t="shared" si="0"/>
        <v>0</v>
      </c>
      <c r="C25" s="61" t="str">
        <f t="shared" si="1"/>
        <v>保密同意書與切結書</v>
      </c>
      <c r="D25" s="61" t="str">
        <f t="shared" si="2"/>
        <v>交付給能源局之保密同意書與切結書</v>
      </c>
      <c r="E25" s="61" t="str">
        <f t="shared" si="3"/>
        <v>一個計畫成員一份</v>
      </c>
      <c r="F25" s="61" t="str">
        <f t="shared" si="4"/>
        <v>張珮盈</v>
      </c>
      <c r="G25" s="61">
        <f t="shared" si="5"/>
        <v>3</v>
      </c>
      <c r="H25" s="61">
        <f t="shared" si="6"/>
        <v>3</v>
      </c>
      <c r="I25" s="61">
        <f t="shared" si="7"/>
        <v>2</v>
      </c>
      <c r="J25" s="61">
        <f t="shared" si="8"/>
        <v>3</v>
      </c>
      <c r="K25" s="62">
        <f t="shared" si="9"/>
        <v>3</v>
      </c>
      <c r="L25" s="62">
        <f t="shared" si="10"/>
        <v>9</v>
      </c>
      <c r="M25" s="111" t="s">
        <v>125</v>
      </c>
      <c r="N25" s="111"/>
      <c r="O25" s="111"/>
      <c r="P25" s="111" t="s">
        <v>126</v>
      </c>
      <c r="Q25" s="111"/>
      <c r="R25" s="111"/>
      <c r="S25" s="111"/>
      <c r="T25" s="58" t="s">
        <v>135</v>
      </c>
      <c r="U25" s="58"/>
      <c r="V25" s="69"/>
      <c r="W25" s="58"/>
      <c r="X25" s="69"/>
      <c r="Y25" s="64" t="str">
        <f t="shared" ref="Y25" si="23">IF((T25="N"),"不適用",IF(COUNTA(U25,W25)&lt;2,"評鑑中",$S$2*U25*W25))</f>
        <v>不適用</v>
      </c>
      <c r="Z25" s="65"/>
    </row>
    <row r="30" spans="1:26">
      <c r="M30" s="7"/>
    </row>
  </sheetData>
  <sheetProtection formatCells="0" formatColumns="0" formatRows="0" insertColumns="0" insertRows="0" insertHyperlinks="0" deleteColumns="0" deleteRows="0" sort="0" autoFilter="0" pivotTables="0"/>
  <autoFilter ref="M10:Z10" xr:uid="{00000000-0009-0000-0000-000003000000}">
    <filterColumn colId="0" showButton="0"/>
    <filterColumn colId="1" showButton="0"/>
    <filterColumn colId="3" showButton="0"/>
    <filterColumn colId="4" showButton="0"/>
    <filterColumn colId="5" showButton="0"/>
  </autoFilter>
  <mergeCells count="39">
    <mergeCell ref="M24:O24"/>
    <mergeCell ref="P24:S24"/>
    <mergeCell ref="M10:O10"/>
    <mergeCell ref="P10:S10"/>
    <mergeCell ref="M13:O13"/>
    <mergeCell ref="P13:S13"/>
    <mergeCell ref="P19:S19"/>
    <mergeCell ref="M14:O14"/>
    <mergeCell ref="P14:S14"/>
    <mergeCell ref="M15:O15"/>
    <mergeCell ref="P15:S15"/>
    <mergeCell ref="M16:O16"/>
    <mergeCell ref="P16:S16"/>
    <mergeCell ref="N2:P2"/>
    <mergeCell ref="N3:P3"/>
    <mergeCell ref="N4:P4"/>
    <mergeCell ref="N5:P5"/>
    <mergeCell ref="N6:P6"/>
    <mergeCell ref="N7:P7"/>
    <mergeCell ref="M11:O11"/>
    <mergeCell ref="P11:S11"/>
    <mergeCell ref="M12:O12"/>
    <mergeCell ref="P12:S12"/>
    <mergeCell ref="M1:Z1"/>
    <mergeCell ref="M23:O23"/>
    <mergeCell ref="P23:S23"/>
    <mergeCell ref="M25:O25"/>
    <mergeCell ref="P25:S25"/>
    <mergeCell ref="M20:O20"/>
    <mergeCell ref="P20:S20"/>
    <mergeCell ref="M21:O21"/>
    <mergeCell ref="P21:S21"/>
    <mergeCell ref="M22:O22"/>
    <mergeCell ref="P22:S22"/>
    <mergeCell ref="M17:O17"/>
    <mergeCell ref="P17:S17"/>
    <mergeCell ref="M18:O18"/>
    <mergeCell ref="P18:S18"/>
    <mergeCell ref="M19:O19"/>
  </mergeCells>
  <phoneticPr fontId="1" type="noConversion"/>
  <dataValidations count="2">
    <dataValidation type="list" allowBlank="1" showInputMessage="1" showErrorMessage="1" sqref="WVX983041:WVX983064 JH5:JH7 TD5:TD7 ACZ5:ACZ7 AMV5:AMV7 AWR5:AWR7 BGN5:BGN7 BQJ5:BQJ7 CAF5:CAF7 CKB5:CKB7 CTX5:CTX7 DDT5:DDT7 DNP5:DNP7 DXL5:DXL7 EHH5:EHH7 ERD5:ERD7 FAZ5:FAZ7 FKV5:FKV7 FUR5:FUR7 GEN5:GEN7 GOJ5:GOJ7 GYF5:GYF7 HIB5:HIB7 HRX5:HRX7 IBT5:IBT7 ILP5:ILP7 IVL5:IVL7 JFH5:JFH7 JPD5:JPD7 JYZ5:JYZ7 KIV5:KIV7 KSR5:KSR7 LCN5:LCN7 LMJ5:LMJ7 LWF5:LWF7 MGB5:MGB7 MPX5:MPX7 MZT5:MZT7 NJP5:NJP7 NTL5:NTL7 ODH5:ODH7 OND5:OND7 OWZ5:OWZ7 PGV5:PGV7 PQR5:PQR7 QAN5:QAN7 QKJ5:QKJ7 QUF5:QUF7 REB5:REB7 RNX5:RNX7 RXT5:RXT7 SHP5:SHP7 SRL5:SRL7 TBH5:TBH7 TLD5:TLD7 TUZ5:TUZ7 UEV5:UEV7 UOR5:UOR7 UYN5:UYN7 VIJ5:VIJ7 VSF5:VSF7 WCB5:WCB7 WLX5:WLX7 WVT5:WVT7 S65531:S65533 JH65531:JH65533 TD65531:TD65533 ACZ65531:ACZ65533 AMV65531:AMV65533 AWR65531:AWR65533 BGN65531:BGN65533 BQJ65531:BQJ65533 CAF65531:CAF65533 CKB65531:CKB65533 CTX65531:CTX65533 DDT65531:DDT65533 DNP65531:DNP65533 DXL65531:DXL65533 EHH65531:EHH65533 ERD65531:ERD65533 FAZ65531:FAZ65533 FKV65531:FKV65533 FUR65531:FUR65533 GEN65531:GEN65533 GOJ65531:GOJ65533 GYF65531:GYF65533 HIB65531:HIB65533 HRX65531:HRX65533 IBT65531:IBT65533 ILP65531:ILP65533 IVL65531:IVL65533 JFH65531:JFH65533 JPD65531:JPD65533 JYZ65531:JYZ65533 KIV65531:KIV65533 KSR65531:KSR65533 LCN65531:LCN65533 LMJ65531:LMJ65533 LWF65531:LWF65533 MGB65531:MGB65533 MPX65531:MPX65533 MZT65531:MZT65533 NJP65531:NJP65533 NTL65531:NTL65533 ODH65531:ODH65533 OND65531:OND65533 OWZ65531:OWZ65533 PGV65531:PGV65533 PQR65531:PQR65533 QAN65531:QAN65533 QKJ65531:QKJ65533 QUF65531:QUF65533 REB65531:REB65533 RNX65531:RNX65533 RXT65531:RXT65533 SHP65531:SHP65533 SRL65531:SRL65533 TBH65531:TBH65533 TLD65531:TLD65533 TUZ65531:TUZ65533 UEV65531:UEV65533 UOR65531:UOR65533 UYN65531:UYN65533 VIJ65531:VIJ65533 VSF65531:VSF65533 WCB65531:WCB65533 WLX65531:WLX65533 WVT65531:WVT65533 S131067:S131069 JH131067:JH131069 TD131067:TD131069 ACZ131067:ACZ131069 AMV131067:AMV131069 AWR131067:AWR131069 BGN131067:BGN131069 BQJ131067:BQJ131069 CAF131067:CAF131069 CKB131067:CKB131069 CTX131067:CTX131069 DDT131067:DDT131069 DNP131067:DNP131069 DXL131067:DXL131069 EHH131067:EHH131069 ERD131067:ERD131069 FAZ131067:FAZ131069 FKV131067:FKV131069 FUR131067:FUR131069 GEN131067:GEN131069 GOJ131067:GOJ131069 GYF131067:GYF131069 HIB131067:HIB131069 HRX131067:HRX131069 IBT131067:IBT131069 ILP131067:ILP131069 IVL131067:IVL131069 JFH131067:JFH131069 JPD131067:JPD131069 JYZ131067:JYZ131069 KIV131067:KIV131069 KSR131067:KSR131069 LCN131067:LCN131069 LMJ131067:LMJ131069 LWF131067:LWF131069 MGB131067:MGB131069 MPX131067:MPX131069 MZT131067:MZT131069 NJP131067:NJP131069 NTL131067:NTL131069 ODH131067:ODH131069 OND131067:OND131069 OWZ131067:OWZ131069 PGV131067:PGV131069 PQR131067:PQR131069 QAN131067:QAN131069 QKJ131067:QKJ131069 QUF131067:QUF131069 REB131067:REB131069 RNX131067:RNX131069 RXT131067:RXT131069 SHP131067:SHP131069 SRL131067:SRL131069 TBH131067:TBH131069 TLD131067:TLD131069 TUZ131067:TUZ131069 UEV131067:UEV131069 UOR131067:UOR131069 UYN131067:UYN131069 VIJ131067:VIJ131069 VSF131067:VSF131069 WCB131067:WCB131069 WLX131067:WLX131069 WVT131067:WVT131069 S196603:S196605 JH196603:JH196605 TD196603:TD196605 ACZ196603:ACZ196605 AMV196603:AMV196605 AWR196603:AWR196605 BGN196603:BGN196605 BQJ196603:BQJ196605 CAF196603:CAF196605 CKB196603:CKB196605 CTX196603:CTX196605 DDT196603:DDT196605 DNP196603:DNP196605 DXL196603:DXL196605 EHH196603:EHH196605 ERD196603:ERD196605 FAZ196603:FAZ196605 FKV196603:FKV196605 FUR196603:FUR196605 GEN196603:GEN196605 GOJ196603:GOJ196605 GYF196603:GYF196605 HIB196603:HIB196605 HRX196603:HRX196605 IBT196603:IBT196605 ILP196603:ILP196605 IVL196603:IVL196605 JFH196603:JFH196605 JPD196603:JPD196605 JYZ196603:JYZ196605 KIV196603:KIV196605 KSR196603:KSR196605 LCN196603:LCN196605 LMJ196603:LMJ196605 LWF196603:LWF196605 MGB196603:MGB196605 MPX196603:MPX196605 MZT196603:MZT196605 NJP196603:NJP196605 NTL196603:NTL196605 ODH196603:ODH196605 OND196603:OND196605 OWZ196603:OWZ196605 PGV196603:PGV196605 PQR196603:PQR196605 QAN196603:QAN196605 QKJ196603:QKJ196605 QUF196603:QUF196605 REB196603:REB196605 RNX196603:RNX196605 RXT196603:RXT196605 SHP196603:SHP196605 SRL196603:SRL196605 TBH196603:TBH196605 TLD196603:TLD196605 TUZ196603:TUZ196605 UEV196603:UEV196605 UOR196603:UOR196605 UYN196603:UYN196605 VIJ196603:VIJ196605 VSF196603:VSF196605 WCB196603:WCB196605 WLX196603:WLX196605 WVT196603:WVT196605 S262139:S262141 JH262139:JH262141 TD262139:TD262141 ACZ262139:ACZ262141 AMV262139:AMV262141 AWR262139:AWR262141 BGN262139:BGN262141 BQJ262139:BQJ262141 CAF262139:CAF262141 CKB262139:CKB262141 CTX262139:CTX262141 DDT262139:DDT262141 DNP262139:DNP262141 DXL262139:DXL262141 EHH262139:EHH262141 ERD262139:ERD262141 FAZ262139:FAZ262141 FKV262139:FKV262141 FUR262139:FUR262141 GEN262139:GEN262141 GOJ262139:GOJ262141 GYF262139:GYF262141 HIB262139:HIB262141 HRX262139:HRX262141 IBT262139:IBT262141 ILP262139:ILP262141 IVL262139:IVL262141 JFH262139:JFH262141 JPD262139:JPD262141 JYZ262139:JYZ262141 KIV262139:KIV262141 KSR262139:KSR262141 LCN262139:LCN262141 LMJ262139:LMJ262141 LWF262139:LWF262141 MGB262139:MGB262141 MPX262139:MPX262141 MZT262139:MZT262141 NJP262139:NJP262141 NTL262139:NTL262141 ODH262139:ODH262141 OND262139:OND262141 OWZ262139:OWZ262141 PGV262139:PGV262141 PQR262139:PQR262141 QAN262139:QAN262141 QKJ262139:QKJ262141 QUF262139:QUF262141 REB262139:REB262141 RNX262139:RNX262141 RXT262139:RXT262141 SHP262139:SHP262141 SRL262139:SRL262141 TBH262139:TBH262141 TLD262139:TLD262141 TUZ262139:TUZ262141 UEV262139:UEV262141 UOR262139:UOR262141 UYN262139:UYN262141 VIJ262139:VIJ262141 VSF262139:VSF262141 WCB262139:WCB262141 WLX262139:WLX262141 WVT262139:WVT262141 S327675:S327677 JH327675:JH327677 TD327675:TD327677 ACZ327675:ACZ327677 AMV327675:AMV327677 AWR327675:AWR327677 BGN327675:BGN327677 BQJ327675:BQJ327677 CAF327675:CAF327677 CKB327675:CKB327677 CTX327675:CTX327677 DDT327675:DDT327677 DNP327675:DNP327677 DXL327675:DXL327677 EHH327675:EHH327677 ERD327675:ERD327677 FAZ327675:FAZ327677 FKV327675:FKV327677 FUR327675:FUR327677 GEN327675:GEN327677 GOJ327675:GOJ327677 GYF327675:GYF327677 HIB327675:HIB327677 HRX327675:HRX327677 IBT327675:IBT327677 ILP327675:ILP327677 IVL327675:IVL327677 JFH327675:JFH327677 JPD327675:JPD327677 JYZ327675:JYZ327677 KIV327675:KIV327677 KSR327675:KSR327677 LCN327675:LCN327677 LMJ327675:LMJ327677 LWF327675:LWF327677 MGB327675:MGB327677 MPX327675:MPX327677 MZT327675:MZT327677 NJP327675:NJP327677 NTL327675:NTL327677 ODH327675:ODH327677 OND327675:OND327677 OWZ327675:OWZ327677 PGV327675:PGV327677 PQR327675:PQR327677 QAN327675:QAN327677 QKJ327675:QKJ327677 QUF327675:QUF327677 REB327675:REB327677 RNX327675:RNX327677 RXT327675:RXT327677 SHP327675:SHP327677 SRL327675:SRL327677 TBH327675:TBH327677 TLD327675:TLD327677 TUZ327675:TUZ327677 UEV327675:UEV327677 UOR327675:UOR327677 UYN327675:UYN327677 VIJ327675:VIJ327677 VSF327675:VSF327677 WCB327675:WCB327677 WLX327675:WLX327677 WVT327675:WVT327677 S393211:S393213 JH393211:JH393213 TD393211:TD393213 ACZ393211:ACZ393213 AMV393211:AMV393213 AWR393211:AWR393213 BGN393211:BGN393213 BQJ393211:BQJ393213 CAF393211:CAF393213 CKB393211:CKB393213 CTX393211:CTX393213 DDT393211:DDT393213 DNP393211:DNP393213 DXL393211:DXL393213 EHH393211:EHH393213 ERD393211:ERD393213 FAZ393211:FAZ393213 FKV393211:FKV393213 FUR393211:FUR393213 GEN393211:GEN393213 GOJ393211:GOJ393213 GYF393211:GYF393213 HIB393211:HIB393213 HRX393211:HRX393213 IBT393211:IBT393213 ILP393211:ILP393213 IVL393211:IVL393213 JFH393211:JFH393213 JPD393211:JPD393213 JYZ393211:JYZ393213 KIV393211:KIV393213 KSR393211:KSR393213 LCN393211:LCN393213 LMJ393211:LMJ393213 LWF393211:LWF393213 MGB393211:MGB393213 MPX393211:MPX393213 MZT393211:MZT393213 NJP393211:NJP393213 NTL393211:NTL393213 ODH393211:ODH393213 OND393211:OND393213 OWZ393211:OWZ393213 PGV393211:PGV393213 PQR393211:PQR393213 QAN393211:QAN393213 QKJ393211:QKJ393213 QUF393211:QUF393213 REB393211:REB393213 RNX393211:RNX393213 RXT393211:RXT393213 SHP393211:SHP393213 SRL393211:SRL393213 TBH393211:TBH393213 TLD393211:TLD393213 TUZ393211:TUZ393213 UEV393211:UEV393213 UOR393211:UOR393213 UYN393211:UYN393213 VIJ393211:VIJ393213 VSF393211:VSF393213 WCB393211:WCB393213 WLX393211:WLX393213 WVT393211:WVT393213 S458747:S458749 JH458747:JH458749 TD458747:TD458749 ACZ458747:ACZ458749 AMV458747:AMV458749 AWR458747:AWR458749 BGN458747:BGN458749 BQJ458747:BQJ458749 CAF458747:CAF458749 CKB458747:CKB458749 CTX458747:CTX458749 DDT458747:DDT458749 DNP458747:DNP458749 DXL458747:DXL458749 EHH458747:EHH458749 ERD458747:ERD458749 FAZ458747:FAZ458749 FKV458747:FKV458749 FUR458747:FUR458749 GEN458747:GEN458749 GOJ458747:GOJ458749 GYF458747:GYF458749 HIB458747:HIB458749 HRX458747:HRX458749 IBT458747:IBT458749 ILP458747:ILP458749 IVL458747:IVL458749 JFH458747:JFH458749 JPD458747:JPD458749 JYZ458747:JYZ458749 KIV458747:KIV458749 KSR458747:KSR458749 LCN458747:LCN458749 LMJ458747:LMJ458749 LWF458747:LWF458749 MGB458747:MGB458749 MPX458747:MPX458749 MZT458747:MZT458749 NJP458747:NJP458749 NTL458747:NTL458749 ODH458747:ODH458749 OND458747:OND458749 OWZ458747:OWZ458749 PGV458747:PGV458749 PQR458747:PQR458749 QAN458747:QAN458749 QKJ458747:QKJ458749 QUF458747:QUF458749 REB458747:REB458749 RNX458747:RNX458749 RXT458747:RXT458749 SHP458747:SHP458749 SRL458747:SRL458749 TBH458747:TBH458749 TLD458747:TLD458749 TUZ458747:TUZ458749 UEV458747:UEV458749 UOR458747:UOR458749 UYN458747:UYN458749 VIJ458747:VIJ458749 VSF458747:VSF458749 WCB458747:WCB458749 WLX458747:WLX458749 WVT458747:WVT458749 S524283:S524285 JH524283:JH524285 TD524283:TD524285 ACZ524283:ACZ524285 AMV524283:AMV524285 AWR524283:AWR524285 BGN524283:BGN524285 BQJ524283:BQJ524285 CAF524283:CAF524285 CKB524283:CKB524285 CTX524283:CTX524285 DDT524283:DDT524285 DNP524283:DNP524285 DXL524283:DXL524285 EHH524283:EHH524285 ERD524283:ERD524285 FAZ524283:FAZ524285 FKV524283:FKV524285 FUR524283:FUR524285 GEN524283:GEN524285 GOJ524283:GOJ524285 GYF524283:GYF524285 HIB524283:HIB524285 HRX524283:HRX524285 IBT524283:IBT524285 ILP524283:ILP524285 IVL524283:IVL524285 JFH524283:JFH524285 JPD524283:JPD524285 JYZ524283:JYZ524285 KIV524283:KIV524285 KSR524283:KSR524285 LCN524283:LCN524285 LMJ524283:LMJ524285 LWF524283:LWF524285 MGB524283:MGB524285 MPX524283:MPX524285 MZT524283:MZT524285 NJP524283:NJP524285 NTL524283:NTL524285 ODH524283:ODH524285 OND524283:OND524285 OWZ524283:OWZ524285 PGV524283:PGV524285 PQR524283:PQR524285 QAN524283:QAN524285 QKJ524283:QKJ524285 QUF524283:QUF524285 REB524283:REB524285 RNX524283:RNX524285 RXT524283:RXT524285 SHP524283:SHP524285 SRL524283:SRL524285 TBH524283:TBH524285 TLD524283:TLD524285 TUZ524283:TUZ524285 UEV524283:UEV524285 UOR524283:UOR524285 UYN524283:UYN524285 VIJ524283:VIJ524285 VSF524283:VSF524285 WCB524283:WCB524285 WLX524283:WLX524285 WVT524283:WVT524285 S589819:S589821 JH589819:JH589821 TD589819:TD589821 ACZ589819:ACZ589821 AMV589819:AMV589821 AWR589819:AWR589821 BGN589819:BGN589821 BQJ589819:BQJ589821 CAF589819:CAF589821 CKB589819:CKB589821 CTX589819:CTX589821 DDT589819:DDT589821 DNP589819:DNP589821 DXL589819:DXL589821 EHH589819:EHH589821 ERD589819:ERD589821 FAZ589819:FAZ589821 FKV589819:FKV589821 FUR589819:FUR589821 GEN589819:GEN589821 GOJ589819:GOJ589821 GYF589819:GYF589821 HIB589819:HIB589821 HRX589819:HRX589821 IBT589819:IBT589821 ILP589819:ILP589821 IVL589819:IVL589821 JFH589819:JFH589821 JPD589819:JPD589821 JYZ589819:JYZ589821 KIV589819:KIV589821 KSR589819:KSR589821 LCN589819:LCN589821 LMJ589819:LMJ589821 LWF589819:LWF589821 MGB589819:MGB589821 MPX589819:MPX589821 MZT589819:MZT589821 NJP589819:NJP589821 NTL589819:NTL589821 ODH589819:ODH589821 OND589819:OND589821 OWZ589819:OWZ589821 PGV589819:PGV589821 PQR589819:PQR589821 QAN589819:QAN589821 QKJ589819:QKJ589821 QUF589819:QUF589821 REB589819:REB589821 RNX589819:RNX589821 RXT589819:RXT589821 SHP589819:SHP589821 SRL589819:SRL589821 TBH589819:TBH589821 TLD589819:TLD589821 TUZ589819:TUZ589821 UEV589819:UEV589821 UOR589819:UOR589821 UYN589819:UYN589821 VIJ589819:VIJ589821 VSF589819:VSF589821 WCB589819:WCB589821 WLX589819:WLX589821 WVT589819:WVT589821 S655355:S655357 JH655355:JH655357 TD655355:TD655357 ACZ655355:ACZ655357 AMV655355:AMV655357 AWR655355:AWR655357 BGN655355:BGN655357 BQJ655355:BQJ655357 CAF655355:CAF655357 CKB655355:CKB655357 CTX655355:CTX655357 DDT655355:DDT655357 DNP655355:DNP655357 DXL655355:DXL655357 EHH655355:EHH655357 ERD655355:ERD655357 FAZ655355:FAZ655357 FKV655355:FKV655357 FUR655355:FUR655357 GEN655355:GEN655357 GOJ655355:GOJ655357 GYF655355:GYF655357 HIB655355:HIB655357 HRX655355:HRX655357 IBT655355:IBT655357 ILP655355:ILP655357 IVL655355:IVL655357 JFH655355:JFH655357 JPD655355:JPD655357 JYZ655355:JYZ655357 KIV655355:KIV655357 KSR655355:KSR655357 LCN655355:LCN655357 LMJ655355:LMJ655357 LWF655355:LWF655357 MGB655355:MGB655357 MPX655355:MPX655357 MZT655355:MZT655357 NJP655355:NJP655357 NTL655355:NTL655357 ODH655355:ODH655357 OND655355:OND655357 OWZ655355:OWZ655357 PGV655355:PGV655357 PQR655355:PQR655357 QAN655355:QAN655357 QKJ655355:QKJ655357 QUF655355:QUF655357 REB655355:REB655357 RNX655355:RNX655357 RXT655355:RXT655357 SHP655355:SHP655357 SRL655355:SRL655357 TBH655355:TBH655357 TLD655355:TLD655357 TUZ655355:TUZ655357 UEV655355:UEV655357 UOR655355:UOR655357 UYN655355:UYN655357 VIJ655355:VIJ655357 VSF655355:VSF655357 WCB655355:WCB655357 WLX655355:WLX655357 WVT655355:WVT655357 S720891:S720893 JH720891:JH720893 TD720891:TD720893 ACZ720891:ACZ720893 AMV720891:AMV720893 AWR720891:AWR720893 BGN720891:BGN720893 BQJ720891:BQJ720893 CAF720891:CAF720893 CKB720891:CKB720893 CTX720891:CTX720893 DDT720891:DDT720893 DNP720891:DNP720893 DXL720891:DXL720893 EHH720891:EHH720893 ERD720891:ERD720893 FAZ720891:FAZ720893 FKV720891:FKV720893 FUR720891:FUR720893 GEN720891:GEN720893 GOJ720891:GOJ720893 GYF720891:GYF720893 HIB720891:HIB720893 HRX720891:HRX720893 IBT720891:IBT720893 ILP720891:ILP720893 IVL720891:IVL720893 JFH720891:JFH720893 JPD720891:JPD720893 JYZ720891:JYZ720893 KIV720891:KIV720893 KSR720891:KSR720893 LCN720891:LCN720893 LMJ720891:LMJ720893 LWF720891:LWF720893 MGB720891:MGB720893 MPX720891:MPX720893 MZT720891:MZT720893 NJP720891:NJP720893 NTL720891:NTL720893 ODH720891:ODH720893 OND720891:OND720893 OWZ720891:OWZ720893 PGV720891:PGV720893 PQR720891:PQR720893 QAN720891:QAN720893 QKJ720891:QKJ720893 QUF720891:QUF720893 REB720891:REB720893 RNX720891:RNX720893 RXT720891:RXT720893 SHP720891:SHP720893 SRL720891:SRL720893 TBH720891:TBH720893 TLD720891:TLD720893 TUZ720891:TUZ720893 UEV720891:UEV720893 UOR720891:UOR720893 UYN720891:UYN720893 VIJ720891:VIJ720893 VSF720891:VSF720893 WCB720891:WCB720893 WLX720891:WLX720893 WVT720891:WVT720893 S786427:S786429 JH786427:JH786429 TD786427:TD786429 ACZ786427:ACZ786429 AMV786427:AMV786429 AWR786427:AWR786429 BGN786427:BGN786429 BQJ786427:BQJ786429 CAF786427:CAF786429 CKB786427:CKB786429 CTX786427:CTX786429 DDT786427:DDT786429 DNP786427:DNP786429 DXL786427:DXL786429 EHH786427:EHH786429 ERD786427:ERD786429 FAZ786427:FAZ786429 FKV786427:FKV786429 FUR786427:FUR786429 GEN786427:GEN786429 GOJ786427:GOJ786429 GYF786427:GYF786429 HIB786427:HIB786429 HRX786427:HRX786429 IBT786427:IBT786429 ILP786427:ILP786429 IVL786427:IVL786429 JFH786427:JFH786429 JPD786427:JPD786429 JYZ786427:JYZ786429 KIV786427:KIV786429 KSR786427:KSR786429 LCN786427:LCN786429 LMJ786427:LMJ786429 LWF786427:LWF786429 MGB786427:MGB786429 MPX786427:MPX786429 MZT786427:MZT786429 NJP786427:NJP786429 NTL786427:NTL786429 ODH786427:ODH786429 OND786427:OND786429 OWZ786427:OWZ786429 PGV786427:PGV786429 PQR786427:PQR786429 QAN786427:QAN786429 QKJ786427:QKJ786429 QUF786427:QUF786429 REB786427:REB786429 RNX786427:RNX786429 RXT786427:RXT786429 SHP786427:SHP786429 SRL786427:SRL786429 TBH786427:TBH786429 TLD786427:TLD786429 TUZ786427:TUZ786429 UEV786427:UEV786429 UOR786427:UOR786429 UYN786427:UYN786429 VIJ786427:VIJ786429 VSF786427:VSF786429 WCB786427:WCB786429 WLX786427:WLX786429 WVT786427:WVT786429 S851963:S851965 JH851963:JH851965 TD851963:TD851965 ACZ851963:ACZ851965 AMV851963:AMV851965 AWR851963:AWR851965 BGN851963:BGN851965 BQJ851963:BQJ851965 CAF851963:CAF851965 CKB851963:CKB851965 CTX851963:CTX851965 DDT851963:DDT851965 DNP851963:DNP851965 DXL851963:DXL851965 EHH851963:EHH851965 ERD851963:ERD851965 FAZ851963:FAZ851965 FKV851963:FKV851965 FUR851963:FUR851965 GEN851963:GEN851965 GOJ851963:GOJ851965 GYF851963:GYF851965 HIB851963:HIB851965 HRX851963:HRX851965 IBT851963:IBT851965 ILP851963:ILP851965 IVL851963:IVL851965 JFH851963:JFH851965 JPD851963:JPD851965 JYZ851963:JYZ851965 KIV851963:KIV851965 KSR851963:KSR851965 LCN851963:LCN851965 LMJ851963:LMJ851965 LWF851963:LWF851965 MGB851963:MGB851965 MPX851963:MPX851965 MZT851963:MZT851965 NJP851963:NJP851965 NTL851963:NTL851965 ODH851963:ODH851965 OND851963:OND851965 OWZ851963:OWZ851965 PGV851963:PGV851965 PQR851963:PQR851965 QAN851963:QAN851965 QKJ851963:QKJ851965 QUF851963:QUF851965 REB851963:REB851965 RNX851963:RNX851965 RXT851963:RXT851965 SHP851963:SHP851965 SRL851963:SRL851965 TBH851963:TBH851965 TLD851963:TLD851965 TUZ851963:TUZ851965 UEV851963:UEV851965 UOR851963:UOR851965 UYN851963:UYN851965 VIJ851963:VIJ851965 VSF851963:VSF851965 WCB851963:WCB851965 WLX851963:WLX851965 WVT851963:WVT851965 S917499:S917501 JH917499:JH917501 TD917499:TD917501 ACZ917499:ACZ917501 AMV917499:AMV917501 AWR917499:AWR917501 BGN917499:BGN917501 BQJ917499:BQJ917501 CAF917499:CAF917501 CKB917499:CKB917501 CTX917499:CTX917501 DDT917499:DDT917501 DNP917499:DNP917501 DXL917499:DXL917501 EHH917499:EHH917501 ERD917499:ERD917501 FAZ917499:FAZ917501 FKV917499:FKV917501 FUR917499:FUR917501 GEN917499:GEN917501 GOJ917499:GOJ917501 GYF917499:GYF917501 HIB917499:HIB917501 HRX917499:HRX917501 IBT917499:IBT917501 ILP917499:ILP917501 IVL917499:IVL917501 JFH917499:JFH917501 JPD917499:JPD917501 JYZ917499:JYZ917501 KIV917499:KIV917501 KSR917499:KSR917501 LCN917499:LCN917501 LMJ917499:LMJ917501 LWF917499:LWF917501 MGB917499:MGB917501 MPX917499:MPX917501 MZT917499:MZT917501 NJP917499:NJP917501 NTL917499:NTL917501 ODH917499:ODH917501 OND917499:OND917501 OWZ917499:OWZ917501 PGV917499:PGV917501 PQR917499:PQR917501 QAN917499:QAN917501 QKJ917499:QKJ917501 QUF917499:QUF917501 REB917499:REB917501 RNX917499:RNX917501 RXT917499:RXT917501 SHP917499:SHP917501 SRL917499:SRL917501 TBH917499:TBH917501 TLD917499:TLD917501 TUZ917499:TUZ917501 UEV917499:UEV917501 UOR917499:UOR917501 UYN917499:UYN917501 VIJ917499:VIJ917501 VSF917499:VSF917501 WCB917499:WCB917501 WLX917499:WLX917501 WVT917499:WVT917501 S983035:S983037 JH983035:JH983037 TD983035:TD983037 ACZ983035:ACZ983037 AMV983035:AMV983037 AWR983035:AWR983037 BGN983035:BGN983037 BQJ983035:BQJ983037 CAF983035:CAF983037 CKB983035:CKB983037 CTX983035:CTX983037 DDT983035:DDT983037 DNP983035:DNP983037 DXL983035:DXL983037 EHH983035:EHH983037 ERD983035:ERD983037 FAZ983035:FAZ983037 FKV983035:FKV983037 FUR983035:FUR983037 GEN983035:GEN983037 GOJ983035:GOJ983037 GYF983035:GYF983037 HIB983035:HIB983037 HRX983035:HRX983037 IBT983035:IBT983037 ILP983035:ILP983037 IVL983035:IVL983037 JFH983035:JFH983037 JPD983035:JPD983037 JYZ983035:JYZ983037 KIV983035:KIV983037 KSR983035:KSR983037 LCN983035:LCN983037 LMJ983035:LMJ983037 LWF983035:LWF983037 MGB983035:MGB983037 MPX983035:MPX983037 MZT983035:MZT983037 NJP983035:NJP983037 NTL983035:NTL983037 ODH983035:ODH983037 OND983035:OND983037 OWZ983035:OWZ983037 PGV983035:PGV983037 PQR983035:PQR983037 QAN983035:QAN983037 QKJ983035:QKJ983037 QUF983035:QUF983037 REB983035:REB983037 RNX983035:RNX983037 RXT983035:RXT983037 SHP983035:SHP983037 SRL983035:SRL983037 TBH983035:TBH983037 TLD983035:TLD983037 TUZ983035:TUZ983037 UEV983035:UEV983037 UOR983035:UOR983037 UYN983035:UYN983037 VIJ983035:VIJ983037 VSF983035:VSF983037 WCB983035:WCB983037 WLX983035:WLX983037 WVT983035:WVT983037 U65537:U65560 JJ65537:JJ65560 TF65537:TF65560 ADB65537:ADB65560 AMX65537:AMX65560 AWT65537:AWT65560 BGP65537:BGP65560 BQL65537:BQL65560 CAH65537:CAH65560 CKD65537:CKD65560 CTZ65537:CTZ65560 DDV65537:DDV65560 DNR65537:DNR65560 DXN65537:DXN65560 EHJ65537:EHJ65560 ERF65537:ERF65560 FBB65537:FBB65560 FKX65537:FKX65560 FUT65537:FUT65560 GEP65537:GEP65560 GOL65537:GOL65560 GYH65537:GYH65560 HID65537:HID65560 HRZ65537:HRZ65560 IBV65537:IBV65560 ILR65537:ILR65560 IVN65537:IVN65560 JFJ65537:JFJ65560 JPF65537:JPF65560 JZB65537:JZB65560 KIX65537:KIX65560 KST65537:KST65560 LCP65537:LCP65560 LML65537:LML65560 LWH65537:LWH65560 MGD65537:MGD65560 MPZ65537:MPZ65560 MZV65537:MZV65560 NJR65537:NJR65560 NTN65537:NTN65560 ODJ65537:ODJ65560 ONF65537:ONF65560 OXB65537:OXB65560 PGX65537:PGX65560 PQT65537:PQT65560 QAP65537:QAP65560 QKL65537:QKL65560 QUH65537:QUH65560 RED65537:RED65560 RNZ65537:RNZ65560 RXV65537:RXV65560 SHR65537:SHR65560 SRN65537:SRN65560 TBJ65537:TBJ65560 TLF65537:TLF65560 TVB65537:TVB65560 UEX65537:UEX65560 UOT65537:UOT65560 UYP65537:UYP65560 VIL65537:VIL65560 VSH65537:VSH65560 WCD65537:WCD65560 WLZ65537:WLZ65560 WVV65537:WVV65560 U131073:U131096 JJ131073:JJ131096 TF131073:TF131096 ADB131073:ADB131096 AMX131073:AMX131096 AWT131073:AWT131096 BGP131073:BGP131096 BQL131073:BQL131096 CAH131073:CAH131096 CKD131073:CKD131096 CTZ131073:CTZ131096 DDV131073:DDV131096 DNR131073:DNR131096 DXN131073:DXN131096 EHJ131073:EHJ131096 ERF131073:ERF131096 FBB131073:FBB131096 FKX131073:FKX131096 FUT131073:FUT131096 GEP131073:GEP131096 GOL131073:GOL131096 GYH131073:GYH131096 HID131073:HID131096 HRZ131073:HRZ131096 IBV131073:IBV131096 ILR131073:ILR131096 IVN131073:IVN131096 JFJ131073:JFJ131096 JPF131073:JPF131096 JZB131073:JZB131096 KIX131073:KIX131096 KST131073:KST131096 LCP131073:LCP131096 LML131073:LML131096 LWH131073:LWH131096 MGD131073:MGD131096 MPZ131073:MPZ131096 MZV131073:MZV131096 NJR131073:NJR131096 NTN131073:NTN131096 ODJ131073:ODJ131096 ONF131073:ONF131096 OXB131073:OXB131096 PGX131073:PGX131096 PQT131073:PQT131096 QAP131073:QAP131096 QKL131073:QKL131096 QUH131073:QUH131096 RED131073:RED131096 RNZ131073:RNZ131096 RXV131073:RXV131096 SHR131073:SHR131096 SRN131073:SRN131096 TBJ131073:TBJ131096 TLF131073:TLF131096 TVB131073:TVB131096 UEX131073:UEX131096 UOT131073:UOT131096 UYP131073:UYP131096 VIL131073:VIL131096 VSH131073:VSH131096 WCD131073:WCD131096 WLZ131073:WLZ131096 WVV131073:WVV131096 U196609:U196632 JJ196609:JJ196632 TF196609:TF196632 ADB196609:ADB196632 AMX196609:AMX196632 AWT196609:AWT196632 BGP196609:BGP196632 BQL196609:BQL196632 CAH196609:CAH196632 CKD196609:CKD196632 CTZ196609:CTZ196632 DDV196609:DDV196632 DNR196609:DNR196632 DXN196609:DXN196632 EHJ196609:EHJ196632 ERF196609:ERF196632 FBB196609:FBB196632 FKX196609:FKX196632 FUT196609:FUT196632 GEP196609:GEP196632 GOL196609:GOL196632 GYH196609:GYH196632 HID196609:HID196632 HRZ196609:HRZ196632 IBV196609:IBV196632 ILR196609:ILR196632 IVN196609:IVN196632 JFJ196609:JFJ196632 JPF196609:JPF196632 JZB196609:JZB196632 KIX196609:KIX196632 KST196609:KST196632 LCP196609:LCP196632 LML196609:LML196632 LWH196609:LWH196632 MGD196609:MGD196632 MPZ196609:MPZ196632 MZV196609:MZV196632 NJR196609:NJR196632 NTN196609:NTN196632 ODJ196609:ODJ196632 ONF196609:ONF196632 OXB196609:OXB196632 PGX196609:PGX196632 PQT196609:PQT196632 QAP196609:QAP196632 QKL196609:QKL196632 QUH196609:QUH196632 RED196609:RED196632 RNZ196609:RNZ196632 RXV196609:RXV196632 SHR196609:SHR196632 SRN196609:SRN196632 TBJ196609:TBJ196632 TLF196609:TLF196632 TVB196609:TVB196632 UEX196609:UEX196632 UOT196609:UOT196632 UYP196609:UYP196632 VIL196609:VIL196632 VSH196609:VSH196632 WCD196609:WCD196632 WLZ196609:WLZ196632 WVV196609:WVV196632 U262145:U262168 JJ262145:JJ262168 TF262145:TF262168 ADB262145:ADB262168 AMX262145:AMX262168 AWT262145:AWT262168 BGP262145:BGP262168 BQL262145:BQL262168 CAH262145:CAH262168 CKD262145:CKD262168 CTZ262145:CTZ262168 DDV262145:DDV262168 DNR262145:DNR262168 DXN262145:DXN262168 EHJ262145:EHJ262168 ERF262145:ERF262168 FBB262145:FBB262168 FKX262145:FKX262168 FUT262145:FUT262168 GEP262145:GEP262168 GOL262145:GOL262168 GYH262145:GYH262168 HID262145:HID262168 HRZ262145:HRZ262168 IBV262145:IBV262168 ILR262145:ILR262168 IVN262145:IVN262168 JFJ262145:JFJ262168 JPF262145:JPF262168 JZB262145:JZB262168 KIX262145:KIX262168 KST262145:KST262168 LCP262145:LCP262168 LML262145:LML262168 LWH262145:LWH262168 MGD262145:MGD262168 MPZ262145:MPZ262168 MZV262145:MZV262168 NJR262145:NJR262168 NTN262145:NTN262168 ODJ262145:ODJ262168 ONF262145:ONF262168 OXB262145:OXB262168 PGX262145:PGX262168 PQT262145:PQT262168 QAP262145:QAP262168 QKL262145:QKL262168 QUH262145:QUH262168 RED262145:RED262168 RNZ262145:RNZ262168 RXV262145:RXV262168 SHR262145:SHR262168 SRN262145:SRN262168 TBJ262145:TBJ262168 TLF262145:TLF262168 TVB262145:TVB262168 UEX262145:UEX262168 UOT262145:UOT262168 UYP262145:UYP262168 VIL262145:VIL262168 VSH262145:VSH262168 WCD262145:WCD262168 WLZ262145:WLZ262168 WVV262145:WVV262168 U327681:U327704 JJ327681:JJ327704 TF327681:TF327704 ADB327681:ADB327704 AMX327681:AMX327704 AWT327681:AWT327704 BGP327681:BGP327704 BQL327681:BQL327704 CAH327681:CAH327704 CKD327681:CKD327704 CTZ327681:CTZ327704 DDV327681:DDV327704 DNR327681:DNR327704 DXN327681:DXN327704 EHJ327681:EHJ327704 ERF327681:ERF327704 FBB327681:FBB327704 FKX327681:FKX327704 FUT327681:FUT327704 GEP327681:GEP327704 GOL327681:GOL327704 GYH327681:GYH327704 HID327681:HID327704 HRZ327681:HRZ327704 IBV327681:IBV327704 ILR327681:ILR327704 IVN327681:IVN327704 JFJ327681:JFJ327704 JPF327681:JPF327704 JZB327681:JZB327704 KIX327681:KIX327704 KST327681:KST327704 LCP327681:LCP327704 LML327681:LML327704 LWH327681:LWH327704 MGD327681:MGD327704 MPZ327681:MPZ327704 MZV327681:MZV327704 NJR327681:NJR327704 NTN327681:NTN327704 ODJ327681:ODJ327704 ONF327681:ONF327704 OXB327681:OXB327704 PGX327681:PGX327704 PQT327681:PQT327704 QAP327681:QAP327704 QKL327681:QKL327704 QUH327681:QUH327704 RED327681:RED327704 RNZ327681:RNZ327704 RXV327681:RXV327704 SHR327681:SHR327704 SRN327681:SRN327704 TBJ327681:TBJ327704 TLF327681:TLF327704 TVB327681:TVB327704 UEX327681:UEX327704 UOT327681:UOT327704 UYP327681:UYP327704 VIL327681:VIL327704 VSH327681:VSH327704 WCD327681:WCD327704 WLZ327681:WLZ327704 WVV327681:WVV327704 U393217:U393240 JJ393217:JJ393240 TF393217:TF393240 ADB393217:ADB393240 AMX393217:AMX393240 AWT393217:AWT393240 BGP393217:BGP393240 BQL393217:BQL393240 CAH393217:CAH393240 CKD393217:CKD393240 CTZ393217:CTZ393240 DDV393217:DDV393240 DNR393217:DNR393240 DXN393217:DXN393240 EHJ393217:EHJ393240 ERF393217:ERF393240 FBB393217:FBB393240 FKX393217:FKX393240 FUT393217:FUT393240 GEP393217:GEP393240 GOL393217:GOL393240 GYH393217:GYH393240 HID393217:HID393240 HRZ393217:HRZ393240 IBV393217:IBV393240 ILR393217:ILR393240 IVN393217:IVN393240 JFJ393217:JFJ393240 JPF393217:JPF393240 JZB393217:JZB393240 KIX393217:KIX393240 KST393217:KST393240 LCP393217:LCP393240 LML393217:LML393240 LWH393217:LWH393240 MGD393217:MGD393240 MPZ393217:MPZ393240 MZV393217:MZV393240 NJR393217:NJR393240 NTN393217:NTN393240 ODJ393217:ODJ393240 ONF393217:ONF393240 OXB393217:OXB393240 PGX393217:PGX393240 PQT393217:PQT393240 QAP393217:QAP393240 QKL393217:QKL393240 QUH393217:QUH393240 RED393217:RED393240 RNZ393217:RNZ393240 RXV393217:RXV393240 SHR393217:SHR393240 SRN393217:SRN393240 TBJ393217:TBJ393240 TLF393217:TLF393240 TVB393217:TVB393240 UEX393217:UEX393240 UOT393217:UOT393240 UYP393217:UYP393240 VIL393217:VIL393240 VSH393217:VSH393240 WCD393217:WCD393240 WLZ393217:WLZ393240 WVV393217:WVV393240 U458753:U458776 JJ458753:JJ458776 TF458753:TF458776 ADB458753:ADB458776 AMX458753:AMX458776 AWT458753:AWT458776 BGP458753:BGP458776 BQL458753:BQL458776 CAH458753:CAH458776 CKD458753:CKD458776 CTZ458753:CTZ458776 DDV458753:DDV458776 DNR458753:DNR458776 DXN458753:DXN458776 EHJ458753:EHJ458776 ERF458753:ERF458776 FBB458753:FBB458776 FKX458753:FKX458776 FUT458753:FUT458776 GEP458753:GEP458776 GOL458753:GOL458776 GYH458753:GYH458776 HID458753:HID458776 HRZ458753:HRZ458776 IBV458753:IBV458776 ILR458753:ILR458776 IVN458753:IVN458776 JFJ458753:JFJ458776 JPF458753:JPF458776 JZB458753:JZB458776 KIX458753:KIX458776 KST458753:KST458776 LCP458753:LCP458776 LML458753:LML458776 LWH458753:LWH458776 MGD458753:MGD458776 MPZ458753:MPZ458776 MZV458753:MZV458776 NJR458753:NJR458776 NTN458753:NTN458776 ODJ458753:ODJ458776 ONF458753:ONF458776 OXB458753:OXB458776 PGX458753:PGX458776 PQT458753:PQT458776 QAP458753:QAP458776 QKL458753:QKL458776 QUH458753:QUH458776 RED458753:RED458776 RNZ458753:RNZ458776 RXV458753:RXV458776 SHR458753:SHR458776 SRN458753:SRN458776 TBJ458753:TBJ458776 TLF458753:TLF458776 TVB458753:TVB458776 UEX458753:UEX458776 UOT458753:UOT458776 UYP458753:UYP458776 VIL458753:VIL458776 VSH458753:VSH458776 WCD458753:WCD458776 WLZ458753:WLZ458776 WVV458753:WVV458776 U524289:U524312 JJ524289:JJ524312 TF524289:TF524312 ADB524289:ADB524312 AMX524289:AMX524312 AWT524289:AWT524312 BGP524289:BGP524312 BQL524289:BQL524312 CAH524289:CAH524312 CKD524289:CKD524312 CTZ524289:CTZ524312 DDV524289:DDV524312 DNR524289:DNR524312 DXN524289:DXN524312 EHJ524289:EHJ524312 ERF524289:ERF524312 FBB524289:FBB524312 FKX524289:FKX524312 FUT524289:FUT524312 GEP524289:GEP524312 GOL524289:GOL524312 GYH524289:GYH524312 HID524289:HID524312 HRZ524289:HRZ524312 IBV524289:IBV524312 ILR524289:ILR524312 IVN524289:IVN524312 JFJ524289:JFJ524312 JPF524289:JPF524312 JZB524289:JZB524312 KIX524289:KIX524312 KST524289:KST524312 LCP524289:LCP524312 LML524289:LML524312 LWH524289:LWH524312 MGD524289:MGD524312 MPZ524289:MPZ524312 MZV524289:MZV524312 NJR524289:NJR524312 NTN524289:NTN524312 ODJ524289:ODJ524312 ONF524289:ONF524312 OXB524289:OXB524312 PGX524289:PGX524312 PQT524289:PQT524312 QAP524289:QAP524312 QKL524289:QKL524312 QUH524289:QUH524312 RED524289:RED524312 RNZ524289:RNZ524312 RXV524289:RXV524312 SHR524289:SHR524312 SRN524289:SRN524312 TBJ524289:TBJ524312 TLF524289:TLF524312 TVB524289:TVB524312 UEX524289:UEX524312 UOT524289:UOT524312 UYP524289:UYP524312 VIL524289:VIL524312 VSH524289:VSH524312 WCD524289:WCD524312 WLZ524289:WLZ524312 WVV524289:WVV524312 U589825:U589848 JJ589825:JJ589848 TF589825:TF589848 ADB589825:ADB589848 AMX589825:AMX589848 AWT589825:AWT589848 BGP589825:BGP589848 BQL589825:BQL589848 CAH589825:CAH589848 CKD589825:CKD589848 CTZ589825:CTZ589848 DDV589825:DDV589848 DNR589825:DNR589848 DXN589825:DXN589848 EHJ589825:EHJ589848 ERF589825:ERF589848 FBB589825:FBB589848 FKX589825:FKX589848 FUT589825:FUT589848 GEP589825:GEP589848 GOL589825:GOL589848 GYH589825:GYH589848 HID589825:HID589848 HRZ589825:HRZ589848 IBV589825:IBV589848 ILR589825:ILR589848 IVN589825:IVN589848 JFJ589825:JFJ589848 JPF589825:JPF589848 JZB589825:JZB589848 KIX589825:KIX589848 KST589825:KST589848 LCP589825:LCP589848 LML589825:LML589848 LWH589825:LWH589848 MGD589825:MGD589848 MPZ589825:MPZ589848 MZV589825:MZV589848 NJR589825:NJR589848 NTN589825:NTN589848 ODJ589825:ODJ589848 ONF589825:ONF589848 OXB589825:OXB589848 PGX589825:PGX589848 PQT589825:PQT589848 QAP589825:QAP589848 QKL589825:QKL589848 QUH589825:QUH589848 RED589825:RED589848 RNZ589825:RNZ589848 RXV589825:RXV589848 SHR589825:SHR589848 SRN589825:SRN589848 TBJ589825:TBJ589848 TLF589825:TLF589848 TVB589825:TVB589848 UEX589825:UEX589848 UOT589825:UOT589848 UYP589825:UYP589848 VIL589825:VIL589848 VSH589825:VSH589848 WCD589825:WCD589848 WLZ589825:WLZ589848 WVV589825:WVV589848 U655361:U655384 JJ655361:JJ655384 TF655361:TF655384 ADB655361:ADB655384 AMX655361:AMX655384 AWT655361:AWT655384 BGP655361:BGP655384 BQL655361:BQL655384 CAH655361:CAH655384 CKD655361:CKD655384 CTZ655361:CTZ655384 DDV655361:DDV655384 DNR655361:DNR655384 DXN655361:DXN655384 EHJ655361:EHJ655384 ERF655361:ERF655384 FBB655361:FBB655384 FKX655361:FKX655384 FUT655361:FUT655384 GEP655361:GEP655384 GOL655361:GOL655384 GYH655361:GYH655384 HID655361:HID655384 HRZ655361:HRZ655384 IBV655361:IBV655384 ILR655361:ILR655384 IVN655361:IVN655384 JFJ655361:JFJ655384 JPF655361:JPF655384 JZB655361:JZB655384 KIX655361:KIX655384 KST655361:KST655384 LCP655361:LCP655384 LML655361:LML655384 LWH655361:LWH655384 MGD655361:MGD655384 MPZ655361:MPZ655384 MZV655361:MZV655384 NJR655361:NJR655384 NTN655361:NTN655384 ODJ655361:ODJ655384 ONF655361:ONF655384 OXB655361:OXB655384 PGX655361:PGX655384 PQT655361:PQT655384 QAP655361:QAP655384 QKL655361:QKL655384 QUH655361:QUH655384 RED655361:RED655384 RNZ655361:RNZ655384 RXV655361:RXV655384 SHR655361:SHR655384 SRN655361:SRN655384 TBJ655361:TBJ655384 TLF655361:TLF655384 TVB655361:TVB655384 UEX655361:UEX655384 UOT655361:UOT655384 UYP655361:UYP655384 VIL655361:VIL655384 VSH655361:VSH655384 WCD655361:WCD655384 WLZ655361:WLZ655384 WVV655361:WVV655384 U720897:U720920 JJ720897:JJ720920 TF720897:TF720920 ADB720897:ADB720920 AMX720897:AMX720920 AWT720897:AWT720920 BGP720897:BGP720920 BQL720897:BQL720920 CAH720897:CAH720920 CKD720897:CKD720920 CTZ720897:CTZ720920 DDV720897:DDV720920 DNR720897:DNR720920 DXN720897:DXN720920 EHJ720897:EHJ720920 ERF720897:ERF720920 FBB720897:FBB720920 FKX720897:FKX720920 FUT720897:FUT720920 GEP720897:GEP720920 GOL720897:GOL720920 GYH720897:GYH720920 HID720897:HID720920 HRZ720897:HRZ720920 IBV720897:IBV720920 ILR720897:ILR720920 IVN720897:IVN720920 JFJ720897:JFJ720920 JPF720897:JPF720920 JZB720897:JZB720920 KIX720897:KIX720920 KST720897:KST720920 LCP720897:LCP720920 LML720897:LML720920 LWH720897:LWH720920 MGD720897:MGD720920 MPZ720897:MPZ720920 MZV720897:MZV720920 NJR720897:NJR720920 NTN720897:NTN720920 ODJ720897:ODJ720920 ONF720897:ONF720920 OXB720897:OXB720920 PGX720897:PGX720920 PQT720897:PQT720920 QAP720897:QAP720920 QKL720897:QKL720920 QUH720897:QUH720920 RED720897:RED720920 RNZ720897:RNZ720920 RXV720897:RXV720920 SHR720897:SHR720920 SRN720897:SRN720920 TBJ720897:TBJ720920 TLF720897:TLF720920 TVB720897:TVB720920 UEX720897:UEX720920 UOT720897:UOT720920 UYP720897:UYP720920 VIL720897:VIL720920 VSH720897:VSH720920 WCD720897:WCD720920 WLZ720897:WLZ720920 WVV720897:WVV720920 U786433:U786456 JJ786433:JJ786456 TF786433:TF786456 ADB786433:ADB786456 AMX786433:AMX786456 AWT786433:AWT786456 BGP786433:BGP786456 BQL786433:BQL786456 CAH786433:CAH786456 CKD786433:CKD786456 CTZ786433:CTZ786456 DDV786433:DDV786456 DNR786433:DNR786456 DXN786433:DXN786456 EHJ786433:EHJ786456 ERF786433:ERF786456 FBB786433:FBB786456 FKX786433:FKX786456 FUT786433:FUT786456 GEP786433:GEP786456 GOL786433:GOL786456 GYH786433:GYH786456 HID786433:HID786456 HRZ786433:HRZ786456 IBV786433:IBV786456 ILR786433:ILR786456 IVN786433:IVN786456 JFJ786433:JFJ786456 JPF786433:JPF786456 JZB786433:JZB786456 KIX786433:KIX786456 KST786433:KST786456 LCP786433:LCP786456 LML786433:LML786456 LWH786433:LWH786456 MGD786433:MGD786456 MPZ786433:MPZ786456 MZV786433:MZV786456 NJR786433:NJR786456 NTN786433:NTN786456 ODJ786433:ODJ786456 ONF786433:ONF786456 OXB786433:OXB786456 PGX786433:PGX786456 PQT786433:PQT786456 QAP786433:QAP786456 QKL786433:QKL786456 QUH786433:QUH786456 RED786433:RED786456 RNZ786433:RNZ786456 RXV786433:RXV786456 SHR786433:SHR786456 SRN786433:SRN786456 TBJ786433:TBJ786456 TLF786433:TLF786456 TVB786433:TVB786456 UEX786433:UEX786456 UOT786433:UOT786456 UYP786433:UYP786456 VIL786433:VIL786456 VSH786433:VSH786456 WCD786433:WCD786456 WLZ786433:WLZ786456 WVV786433:WVV786456 U851969:U851992 JJ851969:JJ851992 TF851969:TF851992 ADB851969:ADB851992 AMX851969:AMX851992 AWT851969:AWT851992 BGP851969:BGP851992 BQL851969:BQL851992 CAH851969:CAH851992 CKD851969:CKD851992 CTZ851969:CTZ851992 DDV851969:DDV851992 DNR851969:DNR851992 DXN851969:DXN851992 EHJ851969:EHJ851992 ERF851969:ERF851992 FBB851969:FBB851992 FKX851969:FKX851992 FUT851969:FUT851992 GEP851969:GEP851992 GOL851969:GOL851992 GYH851969:GYH851992 HID851969:HID851992 HRZ851969:HRZ851992 IBV851969:IBV851992 ILR851969:ILR851992 IVN851969:IVN851992 JFJ851969:JFJ851992 JPF851969:JPF851992 JZB851969:JZB851992 KIX851969:KIX851992 KST851969:KST851992 LCP851969:LCP851992 LML851969:LML851992 LWH851969:LWH851992 MGD851969:MGD851992 MPZ851969:MPZ851992 MZV851969:MZV851992 NJR851969:NJR851992 NTN851969:NTN851992 ODJ851969:ODJ851992 ONF851969:ONF851992 OXB851969:OXB851992 PGX851969:PGX851992 PQT851969:PQT851992 QAP851969:QAP851992 QKL851969:QKL851992 QUH851969:QUH851992 RED851969:RED851992 RNZ851969:RNZ851992 RXV851969:RXV851992 SHR851969:SHR851992 SRN851969:SRN851992 TBJ851969:TBJ851992 TLF851969:TLF851992 TVB851969:TVB851992 UEX851969:UEX851992 UOT851969:UOT851992 UYP851969:UYP851992 VIL851969:VIL851992 VSH851969:VSH851992 WCD851969:WCD851992 WLZ851969:WLZ851992 WVV851969:WVV851992 U917505:U917528 JJ917505:JJ917528 TF917505:TF917528 ADB917505:ADB917528 AMX917505:AMX917528 AWT917505:AWT917528 BGP917505:BGP917528 BQL917505:BQL917528 CAH917505:CAH917528 CKD917505:CKD917528 CTZ917505:CTZ917528 DDV917505:DDV917528 DNR917505:DNR917528 DXN917505:DXN917528 EHJ917505:EHJ917528 ERF917505:ERF917528 FBB917505:FBB917528 FKX917505:FKX917528 FUT917505:FUT917528 GEP917505:GEP917528 GOL917505:GOL917528 GYH917505:GYH917528 HID917505:HID917528 HRZ917505:HRZ917528 IBV917505:IBV917528 ILR917505:ILR917528 IVN917505:IVN917528 JFJ917505:JFJ917528 JPF917505:JPF917528 JZB917505:JZB917528 KIX917505:KIX917528 KST917505:KST917528 LCP917505:LCP917528 LML917505:LML917528 LWH917505:LWH917528 MGD917505:MGD917528 MPZ917505:MPZ917528 MZV917505:MZV917528 NJR917505:NJR917528 NTN917505:NTN917528 ODJ917505:ODJ917528 ONF917505:ONF917528 OXB917505:OXB917528 PGX917505:PGX917528 PQT917505:PQT917528 QAP917505:QAP917528 QKL917505:QKL917528 QUH917505:QUH917528 RED917505:RED917528 RNZ917505:RNZ917528 RXV917505:RXV917528 SHR917505:SHR917528 SRN917505:SRN917528 TBJ917505:TBJ917528 TLF917505:TLF917528 TVB917505:TVB917528 UEX917505:UEX917528 UOT917505:UOT917528 UYP917505:UYP917528 VIL917505:VIL917528 VSH917505:VSH917528 WCD917505:WCD917528 WLZ917505:WLZ917528 WVV917505:WVV917528 U983041:U983064 JJ983041:JJ983064 TF983041:TF983064 ADB983041:ADB983064 AMX983041:AMX983064 AWT983041:AWT983064 BGP983041:BGP983064 BQL983041:BQL983064 CAH983041:CAH983064 CKD983041:CKD983064 CTZ983041:CTZ983064 DDV983041:DDV983064 DNR983041:DNR983064 DXN983041:DXN983064 EHJ983041:EHJ983064 ERF983041:ERF983064 FBB983041:FBB983064 FKX983041:FKX983064 FUT983041:FUT983064 GEP983041:GEP983064 GOL983041:GOL983064 GYH983041:GYH983064 HID983041:HID983064 HRZ983041:HRZ983064 IBV983041:IBV983064 ILR983041:ILR983064 IVN983041:IVN983064 JFJ983041:JFJ983064 JPF983041:JPF983064 JZB983041:JZB983064 KIX983041:KIX983064 KST983041:KST983064 LCP983041:LCP983064 LML983041:LML983064 LWH983041:LWH983064 MGD983041:MGD983064 MPZ983041:MPZ983064 MZV983041:MZV983064 NJR983041:NJR983064 NTN983041:NTN983064 ODJ983041:ODJ983064 ONF983041:ONF983064 OXB983041:OXB983064 PGX983041:PGX983064 PQT983041:PQT983064 QAP983041:QAP983064 QKL983041:QKL983064 QUH983041:QUH983064 RED983041:RED983064 RNZ983041:RNZ983064 RXV983041:RXV983064 SHR983041:SHR983064 SRN983041:SRN983064 TBJ983041:TBJ983064 TLF983041:TLF983064 TVB983041:TVB983064 UEX983041:UEX983064 UOT983041:UOT983064 UYP983041:UYP983064 VIL983041:VIL983064 VSH983041:VSH983064 WCD983041:WCD983064 WLZ983041:WLZ983064 WVV983041:WVV983064 JL65537:JL65560 TH65537:TH65560 ADD65537:ADD65560 AMZ65537:AMZ65560 AWV65537:AWV65560 BGR65537:BGR65560 BQN65537:BQN65560 CAJ65537:CAJ65560 CKF65537:CKF65560 CUB65537:CUB65560 DDX65537:DDX65560 DNT65537:DNT65560 DXP65537:DXP65560 EHL65537:EHL65560 ERH65537:ERH65560 FBD65537:FBD65560 FKZ65537:FKZ65560 FUV65537:FUV65560 GER65537:GER65560 GON65537:GON65560 GYJ65537:GYJ65560 HIF65537:HIF65560 HSB65537:HSB65560 IBX65537:IBX65560 ILT65537:ILT65560 IVP65537:IVP65560 JFL65537:JFL65560 JPH65537:JPH65560 JZD65537:JZD65560 KIZ65537:KIZ65560 KSV65537:KSV65560 LCR65537:LCR65560 LMN65537:LMN65560 LWJ65537:LWJ65560 MGF65537:MGF65560 MQB65537:MQB65560 MZX65537:MZX65560 NJT65537:NJT65560 NTP65537:NTP65560 ODL65537:ODL65560 ONH65537:ONH65560 OXD65537:OXD65560 PGZ65537:PGZ65560 PQV65537:PQV65560 QAR65537:QAR65560 QKN65537:QKN65560 QUJ65537:QUJ65560 REF65537:REF65560 ROB65537:ROB65560 RXX65537:RXX65560 SHT65537:SHT65560 SRP65537:SRP65560 TBL65537:TBL65560 TLH65537:TLH65560 TVD65537:TVD65560 UEZ65537:UEZ65560 UOV65537:UOV65560 UYR65537:UYR65560 VIN65537:VIN65560 VSJ65537:VSJ65560 WCF65537:WCF65560 WMB65537:WMB65560 WVX65537:WVX65560 JL131073:JL131096 TH131073:TH131096 ADD131073:ADD131096 AMZ131073:AMZ131096 AWV131073:AWV131096 BGR131073:BGR131096 BQN131073:BQN131096 CAJ131073:CAJ131096 CKF131073:CKF131096 CUB131073:CUB131096 DDX131073:DDX131096 DNT131073:DNT131096 DXP131073:DXP131096 EHL131073:EHL131096 ERH131073:ERH131096 FBD131073:FBD131096 FKZ131073:FKZ131096 FUV131073:FUV131096 GER131073:GER131096 GON131073:GON131096 GYJ131073:GYJ131096 HIF131073:HIF131096 HSB131073:HSB131096 IBX131073:IBX131096 ILT131073:ILT131096 IVP131073:IVP131096 JFL131073:JFL131096 JPH131073:JPH131096 JZD131073:JZD131096 KIZ131073:KIZ131096 KSV131073:KSV131096 LCR131073:LCR131096 LMN131073:LMN131096 LWJ131073:LWJ131096 MGF131073:MGF131096 MQB131073:MQB131096 MZX131073:MZX131096 NJT131073:NJT131096 NTP131073:NTP131096 ODL131073:ODL131096 ONH131073:ONH131096 OXD131073:OXD131096 PGZ131073:PGZ131096 PQV131073:PQV131096 QAR131073:QAR131096 QKN131073:QKN131096 QUJ131073:QUJ131096 REF131073:REF131096 ROB131073:ROB131096 RXX131073:RXX131096 SHT131073:SHT131096 SRP131073:SRP131096 TBL131073:TBL131096 TLH131073:TLH131096 TVD131073:TVD131096 UEZ131073:UEZ131096 UOV131073:UOV131096 UYR131073:UYR131096 VIN131073:VIN131096 VSJ131073:VSJ131096 WCF131073:WCF131096 WMB131073:WMB131096 WVX131073:WVX131096 JL196609:JL196632 TH196609:TH196632 ADD196609:ADD196632 AMZ196609:AMZ196632 AWV196609:AWV196632 BGR196609:BGR196632 BQN196609:BQN196632 CAJ196609:CAJ196632 CKF196609:CKF196632 CUB196609:CUB196632 DDX196609:DDX196632 DNT196609:DNT196632 DXP196609:DXP196632 EHL196609:EHL196632 ERH196609:ERH196632 FBD196609:FBD196632 FKZ196609:FKZ196632 FUV196609:FUV196632 GER196609:GER196632 GON196609:GON196632 GYJ196609:GYJ196632 HIF196609:HIF196632 HSB196609:HSB196632 IBX196609:IBX196632 ILT196609:ILT196632 IVP196609:IVP196632 JFL196609:JFL196632 JPH196609:JPH196632 JZD196609:JZD196632 KIZ196609:KIZ196632 KSV196609:KSV196632 LCR196609:LCR196632 LMN196609:LMN196632 LWJ196609:LWJ196632 MGF196609:MGF196632 MQB196609:MQB196632 MZX196609:MZX196632 NJT196609:NJT196632 NTP196609:NTP196632 ODL196609:ODL196632 ONH196609:ONH196632 OXD196609:OXD196632 PGZ196609:PGZ196632 PQV196609:PQV196632 QAR196609:QAR196632 QKN196609:QKN196632 QUJ196609:QUJ196632 REF196609:REF196632 ROB196609:ROB196632 RXX196609:RXX196632 SHT196609:SHT196632 SRP196609:SRP196632 TBL196609:TBL196632 TLH196609:TLH196632 TVD196609:TVD196632 UEZ196609:UEZ196632 UOV196609:UOV196632 UYR196609:UYR196632 VIN196609:VIN196632 VSJ196609:VSJ196632 WCF196609:WCF196632 WMB196609:WMB196632 WVX196609:WVX196632 JL262145:JL262168 TH262145:TH262168 ADD262145:ADD262168 AMZ262145:AMZ262168 AWV262145:AWV262168 BGR262145:BGR262168 BQN262145:BQN262168 CAJ262145:CAJ262168 CKF262145:CKF262168 CUB262145:CUB262168 DDX262145:DDX262168 DNT262145:DNT262168 DXP262145:DXP262168 EHL262145:EHL262168 ERH262145:ERH262168 FBD262145:FBD262168 FKZ262145:FKZ262168 FUV262145:FUV262168 GER262145:GER262168 GON262145:GON262168 GYJ262145:GYJ262168 HIF262145:HIF262168 HSB262145:HSB262168 IBX262145:IBX262168 ILT262145:ILT262168 IVP262145:IVP262168 JFL262145:JFL262168 JPH262145:JPH262168 JZD262145:JZD262168 KIZ262145:KIZ262168 KSV262145:KSV262168 LCR262145:LCR262168 LMN262145:LMN262168 LWJ262145:LWJ262168 MGF262145:MGF262168 MQB262145:MQB262168 MZX262145:MZX262168 NJT262145:NJT262168 NTP262145:NTP262168 ODL262145:ODL262168 ONH262145:ONH262168 OXD262145:OXD262168 PGZ262145:PGZ262168 PQV262145:PQV262168 QAR262145:QAR262168 QKN262145:QKN262168 QUJ262145:QUJ262168 REF262145:REF262168 ROB262145:ROB262168 RXX262145:RXX262168 SHT262145:SHT262168 SRP262145:SRP262168 TBL262145:TBL262168 TLH262145:TLH262168 TVD262145:TVD262168 UEZ262145:UEZ262168 UOV262145:UOV262168 UYR262145:UYR262168 VIN262145:VIN262168 VSJ262145:VSJ262168 WCF262145:WCF262168 WMB262145:WMB262168 WVX262145:WVX262168 JL327681:JL327704 TH327681:TH327704 ADD327681:ADD327704 AMZ327681:AMZ327704 AWV327681:AWV327704 BGR327681:BGR327704 BQN327681:BQN327704 CAJ327681:CAJ327704 CKF327681:CKF327704 CUB327681:CUB327704 DDX327681:DDX327704 DNT327681:DNT327704 DXP327681:DXP327704 EHL327681:EHL327704 ERH327681:ERH327704 FBD327681:FBD327704 FKZ327681:FKZ327704 FUV327681:FUV327704 GER327681:GER327704 GON327681:GON327704 GYJ327681:GYJ327704 HIF327681:HIF327704 HSB327681:HSB327704 IBX327681:IBX327704 ILT327681:ILT327704 IVP327681:IVP327704 JFL327681:JFL327704 JPH327681:JPH327704 JZD327681:JZD327704 KIZ327681:KIZ327704 KSV327681:KSV327704 LCR327681:LCR327704 LMN327681:LMN327704 LWJ327681:LWJ327704 MGF327681:MGF327704 MQB327681:MQB327704 MZX327681:MZX327704 NJT327681:NJT327704 NTP327681:NTP327704 ODL327681:ODL327704 ONH327681:ONH327704 OXD327681:OXD327704 PGZ327681:PGZ327704 PQV327681:PQV327704 QAR327681:QAR327704 QKN327681:QKN327704 QUJ327681:QUJ327704 REF327681:REF327704 ROB327681:ROB327704 RXX327681:RXX327704 SHT327681:SHT327704 SRP327681:SRP327704 TBL327681:TBL327704 TLH327681:TLH327704 TVD327681:TVD327704 UEZ327681:UEZ327704 UOV327681:UOV327704 UYR327681:UYR327704 VIN327681:VIN327704 VSJ327681:VSJ327704 WCF327681:WCF327704 WMB327681:WMB327704 WVX327681:WVX327704 JL393217:JL393240 TH393217:TH393240 ADD393217:ADD393240 AMZ393217:AMZ393240 AWV393217:AWV393240 BGR393217:BGR393240 BQN393217:BQN393240 CAJ393217:CAJ393240 CKF393217:CKF393240 CUB393217:CUB393240 DDX393217:DDX393240 DNT393217:DNT393240 DXP393217:DXP393240 EHL393217:EHL393240 ERH393217:ERH393240 FBD393217:FBD393240 FKZ393217:FKZ393240 FUV393217:FUV393240 GER393217:GER393240 GON393217:GON393240 GYJ393217:GYJ393240 HIF393217:HIF393240 HSB393217:HSB393240 IBX393217:IBX393240 ILT393217:ILT393240 IVP393217:IVP393240 JFL393217:JFL393240 JPH393217:JPH393240 JZD393217:JZD393240 KIZ393217:KIZ393240 KSV393217:KSV393240 LCR393217:LCR393240 LMN393217:LMN393240 LWJ393217:LWJ393240 MGF393217:MGF393240 MQB393217:MQB393240 MZX393217:MZX393240 NJT393217:NJT393240 NTP393217:NTP393240 ODL393217:ODL393240 ONH393217:ONH393240 OXD393217:OXD393240 PGZ393217:PGZ393240 PQV393217:PQV393240 QAR393217:QAR393240 QKN393217:QKN393240 QUJ393217:QUJ393240 REF393217:REF393240 ROB393217:ROB393240 RXX393217:RXX393240 SHT393217:SHT393240 SRP393217:SRP393240 TBL393217:TBL393240 TLH393217:TLH393240 TVD393217:TVD393240 UEZ393217:UEZ393240 UOV393217:UOV393240 UYR393217:UYR393240 VIN393217:VIN393240 VSJ393217:VSJ393240 WCF393217:WCF393240 WMB393217:WMB393240 WVX393217:WVX393240 JL458753:JL458776 TH458753:TH458776 ADD458753:ADD458776 AMZ458753:AMZ458776 AWV458753:AWV458776 BGR458753:BGR458776 BQN458753:BQN458776 CAJ458753:CAJ458776 CKF458753:CKF458776 CUB458753:CUB458776 DDX458753:DDX458776 DNT458753:DNT458776 DXP458753:DXP458776 EHL458753:EHL458776 ERH458753:ERH458776 FBD458753:FBD458776 FKZ458753:FKZ458776 FUV458753:FUV458776 GER458753:GER458776 GON458753:GON458776 GYJ458753:GYJ458776 HIF458753:HIF458776 HSB458753:HSB458776 IBX458753:IBX458776 ILT458753:ILT458776 IVP458753:IVP458776 JFL458753:JFL458776 JPH458753:JPH458776 JZD458753:JZD458776 KIZ458753:KIZ458776 KSV458753:KSV458776 LCR458753:LCR458776 LMN458753:LMN458776 LWJ458753:LWJ458776 MGF458753:MGF458776 MQB458753:MQB458776 MZX458753:MZX458776 NJT458753:NJT458776 NTP458753:NTP458776 ODL458753:ODL458776 ONH458753:ONH458776 OXD458753:OXD458776 PGZ458753:PGZ458776 PQV458753:PQV458776 QAR458753:QAR458776 QKN458753:QKN458776 QUJ458753:QUJ458776 REF458753:REF458776 ROB458753:ROB458776 RXX458753:RXX458776 SHT458753:SHT458776 SRP458753:SRP458776 TBL458753:TBL458776 TLH458753:TLH458776 TVD458753:TVD458776 UEZ458753:UEZ458776 UOV458753:UOV458776 UYR458753:UYR458776 VIN458753:VIN458776 VSJ458753:VSJ458776 WCF458753:WCF458776 WMB458753:WMB458776 WVX458753:WVX458776 JL524289:JL524312 TH524289:TH524312 ADD524289:ADD524312 AMZ524289:AMZ524312 AWV524289:AWV524312 BGR524289:BGR524312 BQN524289:BQN524312 CAJ524289:CAJ524312 CKF524289:CKF524312 CUB524289:CUB524312 DDX524289:DDX524312 DNT524289:DNT524312 DXP524289:DXP524312 EHL524289:EHL524312 ERH524289:ERH524312 FBD524289:FBD524312 FKZ524289:FKZ524312 FUV524289:FUV524312 GER524289:GER524312 GON524289:GON524312 GYJ524289:GYJ524312 HIF524289:HIF524312 HSB524289:HSB524312 IBX524289:IBX524312 ILT524289:ILT524312 IVP524289:IVP524312 JFL524289:JFL524312 JPH524289:JPH524312 JZD524289:JZD524312 KIZ524289:KIZ524312 KSV524289:KSV524312 LCR524289:LCR524312 LMN524289:LMN524312 LWJ524289:LWJ524312 MGF524289:MGF524312 MQB524289:MQB524312 MZX524289:MZX524312 NJT524289:NJT524312 NTP524289:NTP524312 ODL524289:ODL524312 ONH524289:ONH524312 OXD524289:OXD524312 PGZ524289:PGZ524312 PQV524289:PQV524312 QAR524289:QAR524312 QKN524289:QKN524312 QUJ524289:QUJ524312 REF524289:REF524312 ROB524289:ROB524312 RXX524289:RXX524312 SHT524289:SHT524312 SRP524289:SRP524312 TBL524289:TBL524312 TLH524289:TLH524312 TVD524289:TVD524312 UEZ524289:UEZ524312 UOV524289:UOV524312 UYR524289:UYR524312 VIN524289:VIN524312 VSJ524289:VSJ524312 WCF524289:WCF524312 WMB524289:WMB524312 WVX524289:WVX524312 JL589825:JL589848 TH589825:TH589848 ADD589825:ADD589848 AMZ589825:AMZ589848 AWV589825:AWV589848 BGR589825:BGR589848 BQN589825:BQN589848 CAJ589825:CAJ589848 CKF589825:CKF589848 CUB589825:CUB589848 DDX589825:DDX589848 DNT589825:DNT589848 DXP589825:DXP589848 EHL589825:EHL589848 ERH589825:ERH589848 FBD589825:FBD589848 FKZ589825:FKZ589848 FUV589825:FUV589848 GER589825:GER589848 GON589825:GON589848 GYJ589825:GYJ589848 HIF589825:HIF589848 HSB589825:HSB589848 IBX589825:IBX589848 ILT589825:ILT589848 IVP589825:IVP589848 JFL589825:JFL589848 JPH589825:JPH589848 JZD589825:JZD589848 KIZ589825:KIZ589848 KSV589825:KSV589848 LCR589825:LCR589848 LMN589825:LMN589848 LWJ589825:LWJ589848 MGF589825:MGF589848 MQB589825:MQB589848 MZX589825:MZX589848 NJT589825:NJT589848 NTP589825:NTP589848 ODL589825:ODL589848 ONH589825:ONH589848 OXD589825:OXD589848 PGZ589825:PGZ589848 PQV589825:PQV589848 QAR589825:QAR589848 QKN589825:QKN589848 QUJ589825:QUJ589848 REF589825:REF589848 ROB589825:ROB589848 RXX589825:RXX589848 SHT589825:SHT589848 SRP589825:SRP589848 TBL589825:TBL589848 TLH589825:TLH589848 TVD589825:TVD589848 UEZ589825:UEZ589848 UOV589825:UOV589848 UYR589825:UYR589848 VIN589825:VIN589848 VSJ589825:VSJ589848 WCF589825:WCF589848 WMB589825:WMB589848 WVX589825:WVX589848 JL655361:JL655384 TH655361:TH655384 ADD655361:ADD655384 AMZ655361:AMZ655384 AWV655361:AWV655384 BGR655361:BGR655384 BQN655361:BQN655384 CAJ655361:CAJ655384 CKF655361:CKF655384 CUB655361:CUB655384 DDX655361:DDX655384 DNT655361:DNT655384 DXP655361:DXP655384 EHL655361:EHL655384 ERH655361:ERH655384 FBD655361:FBD655384 FKZ655361:FKZ655384 FUV655361:FUV655384 GER655361:GER655384 GON655361:GON655384 GYJ655361:GYJ655384 HIF655361:HIF655384 HSB655361:HSB655384 IBX655361:IBX655384 ILT655361:ILT655384 IVP655361:IVP655384 JFL655361:JFL655384 JPH655361:JPH655384 JZD655361:JZD655384 KIZ655361:KIZ655384 KSV655361:KSV655384 LCR655361:LCR655384 LMN655361:LMN655384 LWJ655361:LWJ655384 MGF655361:MGF655384 MQB655361:MQB655384 MZX655361:MZX655384 NJT655361:NJT655384 NTP655361:NTP655384 ODL655361:ODL655384 ONH655361:ONH655384 OXD655361:OXD655384 PGZ655361:PGZ655384 PQV655361:PQV655384 QAR655361:QAR655384 QKN655361:QKN655384 QUJ655361:QUJ655384 REF655361:REF655384 ROB655361:ROB655384 RXX655361:RXX655384 SHT655361:SHT655384 SRP655361:SRP655384 TBL655361:TBL655384 TLH655361:TLH655384 TVD655361:TVD655384 UEZ655361:UEZ655384 UOV655361:UOV655384 UYR655361:UYR655384 VIN655361:VIN655384 VSJ655361:VSJ655384 WCF655361:WCF655384 WMB655361:WMB655384 WVX655361:WVX655384 JL720897:JL720920 TH720897:TH720920 ADD720897:ADD720920 AMZ720897:AMZ720920 AWV720897:AWV720920 BGR720897:BGR720920 BQN720897:BQN720920 CAJ720897:CAJ720920 CKF720897:CKF720920 CUB720897:CUB720920 DDX720897:DDX720920 DNT720897:DNT720920 DXP720897:DXP720920 EHL720897:EHL720920 ERH720897:ERH720920 FBD720897:FBD720920 FKZ720897:FKZ720920 FUV720897:FUV720920 GER720897:GER720920 GON720897:GON720920 GYJ720897:GYJ720920 HIF720897:HIF720920 HSB720897:HSB720920 IBX720897:IBX720920 ILT720897:ILT720920 IVP720897:IVP720920 JFL720897:JFL720920 JPH720897:JPH720920 JZD720897:JZD720920 KIZ720897:KIZ720920 KSV720897:KSV720920 LCR720897:LCR720920 LMN720897:LMN720920 LWJ720897:LWJ720920 MGF720897:MGF720920 MQB720897:MQB720920 MZX720897:MZX720920 NJT720897:NJT720920 NTP720897:NTP720920 ODL720897:ODL720920 ONH720897:ONH720920 OXD720897:OXD720920 PGZ720897:PGZ720920 PQV720897:PQV720920 QAR720897:QAR720920 QKN720897:QKN720920 QUJ720897:QUJ720920 REF720897:REF720920 ROB720897:ROB720920 RXX720897:RXX720920 SHT720897:SHT720920 SRP720897:SRP720920 TBL720897:TBL720920 TLH720897:TLH720920 TVD720897:TVD720920 UEZ720897:UEZ720920 UOV720897:UOV720920 UYR720897:UYR720920 VIN720897:VIN720920 VSJ720897:VSJ720920 WCF720897:WCF720920 WMB720897:WMB720920 WVX720897:WVX720920 JL786433:JL786456 TH786433:TH786456 ADD786433:ADD786456 AMZ786433:AMZ786456 AWV786433:AWV786456 BGR786433:BGR786456 BQN786433:BQN786456 CAJ786433:CAJ786456 CKF786433:CKF786456 CUB786433:CUB786456 DDX786433:DDX786456 DNT786433:DNT786456 DXP786433:DXP786456 EHL786433:EHL786456 ERH786433:ERH786456 FBD786433:FBD786456 FKZ786433:FKZ786456 FUV786433:FUV786456 GER786433:GER786456 GON786433:GON786456 GYJ786433:GYJ786456 HIF786433:HIF786456 HSB786433:HSB786456 IBX786433:IBX786456 ILT786433:ILT786456 IVP786433:IVP786456 JFL786433:JFL786456 JPH786433:JPH786456 JZD786433:JZD786456 KIZ786433:KIZ786456 KSV786433:KSV786456 LCR786433:LCR786456 LMN786433:LMN786456 LWJ786433:LWJ786456 MGF786433:MGF786456 MQB786433:MQB786456 MZX786433:MZX786456 NJT786433:NJT786456 NTP786433:NTP786456 ODL786433:ODL786456 ONH786433:ONH786456 OXD786433:OXD786456 PGZ786433:PGZ786456 PQV786433:PQV786456 QAR786433:QAR786456 QKN786433:QKN786456 QUJ786433:QUJ786456 REF786433:REF786456 ROB786433:ROB786456 RXX786433:RXX786456 SHT786433:SHT786456 SRP786433:SRP786456 TBL786433:TBL786456 TLH786433:TLH786456 TVD786433:TVD786456 UEZ786433:UEZ786456 UOV786433:UOV786456 UYR786433:UYR786456 VIN786433:VIN786456 VSJ786433:VSJ786456 WCF786433:WCF786456 WMB786433:WMB786456 WVX786433:WVX786456 JL851969:JL851992 TH851969:TH851992 ADD851969:ADD851992 AMZ851969:AMZ851992 AWV851969:AWV851992 BGR851969:BGR851992 BQN851969:BQN851992 CAJ851969:CAJ851992 CKF851969:CKF851992 CUB851969:CUB851992 DDX851969:DDX851992 DNT851969:DNT851992 DXP851969:DXP851992 EHL851969:EHL851992 ERH851969:ERH851992 FBD851969:FBD851992 FKZ851969:FKZ851992 FUV851969:FUV851992 GER851969:GER851992 GON851969:GON851992 GYJ851969:GYJ851992 HIF851969:HIF851992 HSB851969:HSB851992 IBX851969:IBX851992 ILT851969:ILT851992 IVP851969:IVP851992 JFL851969:JFL851992 JPH851969:JPH851992 JZD851969:JZD851992 KIZ851969:KIZ851992 KSV851969:KSV851992 LCR851969:LCR851992 LMN851969:LMN851992 LWJ851969:LWJ851992 MGF851969:MGF851992 MQB851969:MQB851992 MZX851969:MZX851992 NJT851969:NJT851992 NTP851969:NTP851992 ODL851969:ODL851992 ONH851969:ONH851992 OXD851969:OXD851992 PGZ851969:PGZ851992 PQV851969:PQV851992 QAR851969:QAR851992 QKN851969:QKN851992 QUJ851969:QUJ851992 REF851969:REF851992 ROB851969:ROB851992 RXX851969:RXX851992 SHT851969:SHT851992 SRP851969:SRP851992 TBL851969:TBL851992 TLH851969:TLH851992 TVD851969:TVD851992 UEZ851969:UEZ851992 UOV851969:UOV851992 UYR851969:UYR851992 VIN851969:VIN851992 VSJ851969:VSJ851992 WCF851969:WCF851992 WMB851969:WMB851992 WVX851969:WVX851992 JL917505:JL917528 TH917505:TH917528 ADD917505:ADD917528 AMZ917505:AMZ917528 AWV917505:AWV917528 BGR917505:BGR917528 BQN917505:BQN917528 CAJ917505:CAJ917528 CKF917505:CKF917528 CUB917505:CUB917528 DDX917505:DDX917528 DNT917505:DNT917528 DXP917505:DXP917528 EHL917505:EHL917528 ERH917505:ERH917528 FBD917505:FBD917528 FKZ917505:FKZ917528 FUV917505:FUV917528 GER917505:GER917528 GON917505:GON917528 GYJ917505:GYJ917528 HIF917505:HIF917528 HSB917505:HSB917528 IBX917505:IBX917528 ILT917505:ILT917528 IVP917505:IVP917528 JFL917505:JFL917528 JPH917505:JPH917528 JZD917505:JZD917528 KIZ917505:KIZ917528 KSV917505:KSV917528 LCR917505:LCR917528 LMN917505:LMN917528 LWJ917505:LWJ917528 MGF917505:MGF917528 MQB917505:MQB917528 MZX917505:MZX917528 NJT917505:NJT917528 NTP917505:NTP917528 ODL917505:ODL917528 ONH917505:ONH917528 OXD917505:OXD917528 PGZ917505:PGZ917528 PQV917505:PQV917528 QAR917505:QAR917528 QKN917505:QKN917528 QUJ917505:QUJ917528 REF917505:REF917528 ROB917505:ROB917528 RXX917505:RXX917528 SHT917505:SHT917528 SRP917505:SRP917528 TBL917505:TBL917528 TLH917505:TLH917528 TVD917505:TVD917528 UEZ917505:UEZ917528 UOV917505:UOV917528 UYR917505:UYR917528 VIN917505:VIN917528 VSJ917505:VSJ917528 WCF917505:WCF917528 WMB917505:WMB917528 WVX917505:WVX917528 JL983041:JL983064 TH983041:TH983064 ADD983041:ADD983064 AMZ983041:AMZ983064 AWV983041:AWV983064 BGR983041:BGR983064 BQN983041:BQN983064 CAJ983041:CAJ983064 CKF983041:CKF983064 CUB983041:CUB983064 DDX983041:DDX983064 DNT983041:DNT983064 DXP983041:DXP983064 EHL983041:EHL983064 ERH983041:ERH983064 FBD983041:FBD983064 FKZ983041:FKZ983064 FUV983041:FUV983064 GER983041:GER983064 GON983041:GON983064 GYJ983041:GYJ983064 HIF983041:HIF983064 HSB983041:HSB983064 IBX983041:IBX983064 ILT983041:ILT983064 IVP983041:IVP983064 JFL983041:JFL983064 JPH983041:JPH983064 JZD983041:JZD983064 KIZ983041:KIZ983064 KSV983041:KSV983064 LCR983041:LCR983064 LMN983041:LMN983064 LWJ983041:LWJ983064 MGF983041:MGF983064 MQB983041:MQB983064 MZX983041:MZX983064 NJT983041:NJT983064 NTP983041:NTP983064 ODL983041:ODL983064 ONH983041:ONH983064 OXD983041:OXD983064 PGZ983041:PGZ983064 PQV983041:PQV983064 QAR983041:QAR983064 QKN983041:QKN983064 QUJ983041:QUJ983064 REF983041:REF983064 ROB983041:ROB983064 RXX983041:RXX983064 SHT983041:SHT983064 SRP983041:SRP983064 TBL983041:TBL983064 TLH983041:TLH983064 TVD983041:TVD983064 UEZ983041:UEZ983064 UOV983041:UOV983064 UYR983041:UYR983064 VIN983041:VIN983064 VSJ983041:VSJ983064 WCF983041:WCF983064 WMB983041:WMB983064 W11:W25 U11:U25 ACM11:ACM25 AMI11:AMI25 AWE11:AWE25 BGA11:BGA25 BPW11:BPW25 BZS11:BZS25 CJO11:CJO25 CTK11:CTK25 DDG11:DDG25 DNC11:DNC25 DWY11:DWY25 EGU11:EGU25 EQQ11:EQQ25 FAM11:FAM25 FKI11:FKI25 FUE11:FUE25 GEA11:GEA25 GNW11:GNW25 GXS11:GXS25 HHO11:HHO25 HRK11:HRK25 IBG11:IBG25 ILC11:ILC25 IUY11:IUY25 JEU11:JEU25 JOQ11:JOQ25 JYM11:JYM25 KII11:KII25 KSE11:KSE25 LCA11:LCA25 LLW11:LLW25 LVS11:LVS25 MFO11:MFO25 MPK11:MPK25 MZG11:MZG25 NJC11:NJC25 NSY11:NSY25 OCU11:OCU25 OMQ11:OMQ25 OWM11:OWM25 PGI11:PGI25 PQE11:PQE25 QAA11:QAA25 QJW11:QJW25 QTS11:QTS25 RDO11:RDO25 RNK11:RNK25 RXG11:RXG25 SHC11:SHC25 SQY11:SQY25 TAU11:TAU25 TKQ11:TKQ25 TUM11:TUM25 UEI11:UEI25 UOE11:UOE25 UYA11:UYA25 VHW11:VHW25 VRS11:VRS25 WBO11:WBO25 WLK11:WLK25 WVG11:WVG25 IW11:IW25 SS11:SS25 ACO11:ACO25 AMK11:AMK25 AWG11:AWG25 BGC11:BGC25 BPY11:BPY25 BZU11:BZU25 CJQ11:CJQ25 CTM11:CTM25 DDI11:DDI25 DNE11:DNE25 DXA11:DXA25 EGW11:EGW25 EQS11:EQS25 FAO11:FAO25 FKK11:FKK25 FUG11:FUG25 GEC11:GEC25 GNY11:GNY25 GXU11:GXU25 HHQ11:HHQ25 HRM11:HRM25 IBI11:IBI25 ILE11:ILE25 IVA11:IVA25 JEW11:JEW25 JOS11:JOS25 JYO11:JYO25 KIK11:KIK25 KSG11:KSG25 LCC11:LCC25 LLY11:LLY25 LVU11:LVU25 MFQ11:MFQ25 MPM11:MPM25 MZI11:MZI25 NJE11:NJE25 NTA11:NTA25 OCW11:OCW25 OMS11:OMS25 OWO11:OWO25 PGK11:PGK25 PQG11:PQG25 QAC11:QAC25 QJY11:QJY25 QTU11:QTU25 RDQ11:RDQ25 RNM11:RNM25 RXI11:RXI25 SHE11:SHE25 SRA11:SRA25 TAW11:TAW25 TKS11:TKS25 TUO11:TUO25 UEK11:UEK25 UOG11:UOG25 UYC11:UYC25 VHY11:VHY25 VRU11:VRU25 WBQ11:WBQ25 WLM11:WLM25 WVI11:WVI25 SQ11:SQ25 IU11:IU25" xr:uid="{00000000-0002-0000-0300-000000000000}">
      <formula1>"1,2,3,4"</formula1>
    </dataValidation>
    <dataValidation type="list" allowBlank="1" showInputMessage="1" showErrorMessage="1" sqref="T65537:T65560 JI65537:JI65560 TE65537:TE65560 ADA65537:ADA65560 AMW65537:AMW65560 AWS65537:AWS65560 BGO65537:BGO65560 BQK65537:BQK65560 CAG65537:CAG65560 CKC65537:CKC65560 CTY65537:CTY65560 DDU65537:DDU65560 DNQ65537:DNQ65560 DXM65537:DXM65560 EHI65537:EHI65560 ERE65537:ERE65560 FBA65537:FBA65560 FKW65537:FKW65560 FUS65537:FUS65560 GEO65537:GEO65560 GOK65537:GOK65560 GYG65537:GYG65560 HIC65537:HIC65560 HRY65537:HRY65560 IBU65537:IBU65560 ILQ65537:ILQ65560 IVM65537:IVM65560 JFI65537:JFI65560 JPE65537:JPE65560 JZA65537:JZA65560 KIW65537:KIW65560 KSS65537:KSS65560 LCO65537:LCO65560 LMK65537:LMK65560 LWG65537:LWG65560 MGC65537:MGC65560 MPY65537:MPY65560 MZU65537:MZU65560 NJQ65537:NJQ65560 NTM65537:NTM65560 ODI65537:ODI65560 ONE65537:ONE65560 OXA65537:OXA65560 PGW65537:PGW65560 PQS65537:PQS65560 QAO65537:QAO65560 QKK65537:QKK65560 QUG65537:QUG65560 REC65537:REC65560 RNY65537:RNY65560 RXU65537:RXU65560 SHQ65537:SHQ65560 SRM65537:SRM65560 TBI65537:TBI65560 TLE65537:TLE65560 TVA65537:TVA65560 UEW65537:UEW65560 UOS65537:UOS65560 UYO65537:UYO65560 VIK65537:VIK65560 VSG65537:VSG65560 WCC65537:WCC65560 WLY65537:WLY65560 WVU65537:WVU65560 T131073:T131096 JI131073:JI131096 TE131073:TE131096 ADA131073:ADA131096 AMW131073:AMW131096 AWS131073:AWS131096 BGO131073:BGO131096 BQK131073:BQK131096 CAG131073:CAG131096 CKC131073:CKC131096 CTY131073:CTY131096 DDU131073:DDU131096 DNQ131073:DNQ131096 DXM131073:DXM131096 EHI131073:EHI131096 ERE131073:ERE131096 FBA131073:FBA131096 FKW131073:FKW131096 FUS131073:FUS131096 GEO131073:GEO131096 GOK131073:GOK131096 GYG131073:GYG131096 HIC131073:HIC131096 HRY131073:HRY131096 IBU131073:IBU131096 ILQ131073:ILQ131096 IVM131073:IVM131096 JFI131073:JFI131096 JPE131073:JPE131096 JZA131073:JZA131096 KIW131073:KIW131096 KSS131073:KSS131096 LCO131073:LCO131096 LMK131073:LMK131096 LWG131073:LWG131096 MGC131073:MGC131096 MPY131073:MPY131096 MZU131073:MZU131096 NJQ131073:NJQ131096 NTM131073:NTM131096 ODI131073:ODI131096 ONE131073:ONE131096 OXA131073:OXA131096 PGW131073:PGW131096 PQS131073:PQS131096 QAO131073:QAO131096 QKK131073:QKK131096 QUG131073:QUG131096 REC131073:REC131096 RNY131073:RNY131096 RXU131073:RXU131096 SHQ131073:SHQ131096 SRM131073:SRM131096 TBI131073:TBI131096 TLE131073:TLE131096 TVA131073:TVA131096 UEW131073:UEW131096 UOS131073:UOS131096 UYO131073:UYO131096 VIK131073:VIK131096 VSG131073:VSG131096 WCC131073:WCC131096 WLY131073:WLY131096 WVU131073:WVU131096 T196609:T196632 JI196609:JI196632 TE196609:TE196632 ADA196609:ADA196632 AMW196609:AMW196632 AWS196609:AWS196632 BGO196609:BGO196632 BQK196609:BQK196632 CAG196609:CAG196632 CKC196609:CKC196632 CTY196609:CTY196632 DDU196609:DDU196632 DNQ196609:DNQ196632 DXM196609:DXM196632 EHI196609:EHI196632 ERE196609:ERE196632 FBA196609:FBA196632 FKW196609:FKW196632 FUS196609:FUS196632 GEO196609:GEO196632 GOK196609:GOK196632 GYG196609:GYG196632 HIC196609:HIC196632 HRY196609:HRY196632 IBU196609:IBU196632 ILQ196609:ILQ196632 IVM196609:IVM196632 JFI196609:JFI196632 JPE196609:JPE196632 JZA196609:JZA196632 KIW196609:KIW196632 KSS196609:KSS196632 LCO196609:LCO196632 LMK196609:LMK196632 LWG196609:LWG196632 MGC196609:MGC196632 MPY196609:MPY196632 MZU196609:MZU196632 NJQ196609:NJQ196632 NTM196609:NTM196632 ODI196609:ODI196632 ONE196609:ONE196632 OXA196609:OXA196632 PGW196609:PGW196632 PQS196609:PQS196632 QAO196609:QAO196632 QKK196609:QKK196632 QUG196609:QUG196632 REC196609:REC196632 RNY196609:RNY196632 RXU196609:RXU196632 SHQ196609:SHQ196632 SRM196609:SRM196632 TBI196609:TBI196632 TLE196609:TLE196632 TVA196609:TVA196632 UEW196609:UEW196632 UOS196609:UOS196632 UYO196609:UYO196632 VIK196609:VIK196632 VSG196609:VSG196632 WCC196609:WCC196632 WLY196609:WLY196632 WVU196609:WVU196632 T262145:T262168 JI262145:JI262168 TE262145:TE262168 ADA262145:ADA262168 AMW262145:AMW262168 AWS262145:AWS262168 BGO262145:BGO262168 BQK262145:BQK262168 CAG262145:CAG262168 CKC262145:CKC262168 CTY262145:CTY262168 DDU262145:DDU262168 DNQ262145:DNQ262168 DXM262145:DXM262168 EHI262145:EHI262168 ERE262145:ERE262168 FBA262145:FBA262168 FKW262145:FKW262168 FUS262145:FUS262168 GEO262145:GEO262168 GOK262145:GOK262168 GYG262145:GYG262168 HIC262145:HIC262168 HRY262145:HRY262168 IBU262145:IBU262168 ILQ262145:ILQ262168 IVM262145:IVM262168 JFI262145:JFI262168 JPE262145:JPE262168 JZA262145:JZA262168 KIW262145:KIW262168 KSS262145:KSS262168 LCO262145:LCO262168 LMK262145:LMK262168 LWG262145:LWG262168 MGC262145:MGC262168 MPY262145:MPY262168 MZU262145:MZU262168 NJQ262145:NJQ262168 NTM262145:NTM262168 ODI262145:ODI262168 ONE262145:ONE262168 OXA262145:OXA262168 PGW262145:PGW262168 PQS262145:PQS262168 QAO262145:QAO262168 QKK262145:QKK262168 QUG262145:QUG262168 REC262145:REC262168 RNY262145:RNY262168 RXU262145:RXU262168 SHQ262145:SHQ262168 SRM262145:SRM262168 TBI262145:TBI262168 TLE262145:TLE262168 TVA262145:TVA262168 UEW262145:UEW262168 UOS262145:UOS262168 UYO262145:UYO262168 VIK262145:VIK262168 VSG262145:VSG262168 WCC262145:WCC262168 WLY262145:WLY262168 WVU262145:WVU262168 T327681:T327704 JI327681:JI327704 TE327681:TE327704 ADA327681:ADA327704 AMW327681:AMW327704 AWS327681:AWS327704 BGO327681:BGO327704 BQK327681:BQK327704 CAG327681:CAG327704 CKC327681:CKC327704 CTY327681:CTY327704 DDU327681:DDU327704 DNQ327681:DNQ327704 DXM327681:DXM327704 EHI327681:EHI327704 ERE327681:ERE327704 FBA327681:FBA327704 FKW327681:FKW327704 FUS327681:FUS327704 GEO327681:GEO327704 GOK327681:GOK327704 GYG327681:GYG327704 HIC327681:HIC327704 HRY327681:HRY327704 IBU327681:IBU327704 ILQ327681:ILQ327704 IVM327681:IVM327704 JFI327681:JFI327704 JPE327681:JPE327704 JZA327681:JZA327704 KIW327681:KIW327704 KSS327681:KSS327704 LCO327681:LCO327704 LMK327681:LMK327704 LWG327681:LWG327704 MGC327681:MGC327704 MPY327681:MPY327704 MZU327681:MZU327704 NJQ327681:NJQ327704 NTM327681:NTM327704 ODI327681:ODI327704 ONE327681:ONE327704 OXA327681:OXA327704 PGW327681:PGW327704 PQS327681:PQS327704 QAO327681:QAO327704 QKK327681:QKK327704 QUG327681:QUG327704 REC327681:REC327704 RNY327681:RNY327704 RXU327681:RXU327704 SHQ327681:SHQ327704 SRM327681:SRM327704 TBI327681:TBI327704 TLE327681:TLE327704 TVA327681:TVA327704 UEW327681:UEW327704 UOS327681:UOS327704 UYO327681:UYO327704 VIK327681:VIK327704 VSG327681:VSG327704 WCC327681:WCC327704 WLY327681:WLY327704 WVU327681:WVU327704 T393217:T393240 JI393217:JI393240 TE393217:TE393240 ADA393217:ADA393240 AMW393217:AMW393240 AWS393217:AWS393240 BGO393217:BGO393240 BQK393217:BQK393240 CAG393217:CAG393240 CKC393217:CKC393240 CTY393217:CTY393240 DDU393217:DDU393240 DNQ393217:DNQ393240 DXM393217:DXM393240 EHI393217:EHI393240 ERE393217:ERE393240 FBA393217:FBA393240 FKW393217:FKW393240 FUS393217:FUS393240 GEO393217:GEO393240 GOK393217:GOK393240 GYG393217:GYG393240 HIC393217:HIC393240 HRY393217:HRY393240 IBU393217:IBU393240 ILQ393217:ILQ393240 IVM393217:IVM393240 JFI393217:JFI393240 JPE393217:JPE393240 JZA393217:JZA393240 KIW393217:KIW393240 KSS393217:KSS393240 LCO393217:LCO393240 LMK393217:LMK393240 LWG393217:LWG393240 MGC393217:MGC393240 MPY393217:MPY393240 MZU393217:MZU393240 NJQ393217:NJQ393240 NTM393217:NTM393240 ODI393217:ODI393240 ONE393217:ONE393240 OXA393217:OXA393240 PGW393217:PGW393240 PQS393217:PQS393240 QAO393217:QAO393240 QKK393217:QKK393240 QUG393217:QUG393240 REC393217:REC393240 RNY393217:RNY393240 RXU393217:RXU393240 SHQ393217:SHQ393240 SRM393217:SRM393240 TBI393217:TBI393240 TLE393217:TLE393240 TVA393217:TVA393240 UEW393217:UEW393240 UOS393217:UOS393240 UYO393217:UYO393240 VIK393217:VIK393240 VSG393217:VSG393240 WCC393217:WCC393240 WLY393217:WLY393240 WVU393217:WVU393240 T458753:T458776 JI458753:JI458776 TE458753:TE458776 ADA458753:ADA458776 AMW458753:AMW458776 AWS458753:AWS458776 BGO458753:BGO458776 BQK458753:BQK458776 CAG458753:CAG458776 CKC458753:CKC458776 CTY458753:CTY458776 DDU458753:DDU458776 DNQ458753:DNQ458776 DXM458753:DXM458776 EHI458753:EHI458776 ERE458753:ERE458776 FBA458753:FBA458776 FKW458753:FKW458776 FUS458753:FUS458776 GEO458753:GEO458776 GOK458753:GOK458776 GYG458753:GYG458776 HIC458753:HIC458776 HRY458753:HRY458776 IBU458753:IBU458776 ILQ458753:ILQ458776 IVM458753:IVM458776 JFI458753:JFI458776 JPE458753:JPE458776 JZA458753:JZA458776 KIW458753:KIW458776 KSS458753:KSS458776 LCO458753:LCO458776 LMK458753:LMK458776 LWG458753:LWG458776 MGC458753:MGC458776 MPY458753:MPY458776 MZU458753:MZU458776 NJQ458753:NJQ458776 NTM458753:NTM458776 ODI458753:ODI458776 ONE458753:ONE458776 OXA458753:OXA458776 PGW458753:PGW458776 PQS458753:PQS458776 QAO458753:QAO458776 QKK458753:QKK458776 QUG458753:QUG458776 REC458753:REC458776 RNY458753:RNY458776 RXU458753:RXU458776 SHQ458753:SHQ458776 SRM458753:SRM458776 TBI458753:TBI458776 TLE458753:TLE458776 TVA458753:TVA458776 UEW458753:UEW458776 UOS458753:UOS458776 UYO458753:UYO458776 VIK458753:VIK458776 VSG458753:VSG458776 WCC458753:WCC458776 WLY458753:WLY458776 WVU458753:WVU458776 T524289:T524312 JI524289:JI524312 TE524289:TE524312 ADA524289:ADA524312 AMW524289:AMW524312 AWS524289:AWS524312 BGO524289:BGO524312 BQK524289:BQK524312 CAG524289:CAG524312 CKC524289:CKC524312 CTY524289:CTY524312 DDU524289:DDU524312 DNQ524289:DNQ524312 DXM524289:DXM524312 EHI524289:EHI524312 ERE524289:ERE524312 FBA524289:FBA524312 FKW524289:FKW524312 FUS524289:FUS524312 GEO524289:GEO524312 GOK524289:GOK524312 GYG524289:GYG524312 HIC524289:HIC524312 HRY524289:HRY524312 IBU524289:IBU524312 ILQ524289:ILQ524312 IVM524289:IVM524312 JFI524289:JFI524312 JPE524289:JPE524312 JZA524289:JZA524312 KIW524289:KIW524312 KSS524289:KSS524312 LCO524289:LCO524312 LMK524289:LMK524312 LWG524289:LWG524312 MGC524289:MGC524312 MPY524289:MPY524312 MZU524289:MZU524312 NJQ524289:NJQ524312 NTM524289:NTM524312 ODI524289:ODI524312 ONE524289:ONE524312 OXA524289:OXA524312 PGW524289:PGW524312 PQS524289:PQS524312 QAO524289:QAO524312 QKK524289:QKK524312 QUG524289:QUG524312 REC524289:REC524312 RNY524289:RNY524312 RXU524289:RXU524312 SHQ524289:SHQ524312 SRM524289:SRM524312 TBI524289:TBI524312 TLE524289:TLE524312 TVA524289:TVA524312 UEW524289:UEW524312 UOS524289:UOS524312 UYO524289:UYO524312 VIK524289:VIK524312 VSG524289:VSG524312 WCC524289:WCC524312 WLY524289:WLY524312 WVU524289:WVU524312 T589825:T589848 JI589825:JI589848 TE589825:TE589848 ADA589825:ADA589848 AMW589825:AMW589848 AWS589825:AWS589848 BGO589825:BGO589848 BQK589825:BQK589848 CAG589825:CAG589848 CKC589825:CKC589848 CTY589825:CTY589848 DDU589825:DDU589848 DNQ589825:DNQ589848 DXM589825:DXM589848 EHI589825:EHI589848 ERE589825:ERE589848 FBA589825:FBA589848 FKW589825:FKW589848 FUS589825:FUS589848 GEO589825:GEO589848 GOK589825:GOK589848 GYG589825:GYG589848 HIC589825:HIC589848 HRY589825:HRY589848 IBU589825:IBU589848 ILQ589825:ILQ589848 IVM589825:IVM589848 JFI589825:JFI589848 JPE589825:JPE589848 JZA589825:JZA589848 KIW589825:KIW589848 KSS589825:KSS589848 LCO589825:LCO589848 LMK589825:LMK589848 LWG589825:LWG589848 MGC589825:MGC589848 MPY589825:MPY589848 MZU589825:MZU589848 NJQ589825:NJQ589848 NTM589825:NTM589848 ODI589825:ODI589848 ONE589825:ONE589848 OXA589825:OXA589848 PGW589825:PGW589848 PQS589825:PQS589848 QAO589825:QAO589848 QKK589825:QKK589848 QUG589825:QUG589848 REC589825:REC589848 RNY589825:RNY589848 RXU589825:RXU589848 SHQ589825:SHQ589848 SRM589825:SRM589848 TBI589825:TBI589848 TLE589825:TLE589848 TVA589825:TVA589848 UEW589825:UEW589848 UOS589825:UOS589848 UYO589825:UYO589848 VIK589825:VIK589848 VSG589825:VSG589848 WCC589825:WCC589848 WLY589825:WLY589848 WVU589825:WVU589848 T655361:T655384 JI655361:JI655384 TE655361:TE655384 ADA655361:ADA655384 AMW655361:AMW655384 AWS655361:AWS655384 BGO655361:BGO655384 BQK655361:BQK655384 CAG655361:CAG655384 CKC655361:CKC655384 CTY655361:CTY655384 DDU655361:DDU655384 DNQ655361:DNQ655384 DXM655361:DXM655384 EHI655361:EHI655384 ERE655361:ERE655384 FBA655361:FBA655384 FKW655361:FKW655384 FUS655361:FUS655384 GEO655361:GEO655384 GOK655361:GOK655384 GYG655361:GYG655384 HIC655361:HIC655384 HRY655361:HRY655384 IBU655361:IBU655384 ILQ655361:ILQ655384 IVM655361:IVM655384 JFI655361:JFI655384 JPE655361:JPE655384 JZA655361:JZA655384 KIW655361:KIW655384 KSS655361:KSS655384 LCO655361:LCO655384 LMK655361:LMK655384 LWG655361:LWG655384 MGC655361:MGC655384 MPY655361:MPY655384 MZU655361:MZU655384 NJQ655361:NJQ655384 NTM655361:NTM655384 ODI655361:ODI655384 ONE655361:ONE655384 OXA655361:OXA655384 PGW655361:PGW655384 PQS655361:PQS655384 QAO655361:QAO655384 QKK655361:QKK655384 QUG655361:QUG655384 REC655361:REC655384 RNY655361:RNY655384 RXU655361:RXU655384 SHQ655361:SHQ655384 SRM655361:SRM655384 TBI655361:TBI655384 TLE655361:TLE655384 TVA655361:TVA655384 UEW655361:UEW655384 UOS655361:UOS655384 UYO655361:UYO655384 VIK655361:VIK655384 VSG655361:VSG655384 WCC655361:WCC655384 WLY655361:WLY655384 WVU655361:WVU655384 T720897:T720920 JI720897:JI720920 TE720897:TE720920 ADA720897:ADA720920 AMW720897:AMW720920 AWS720897:AWS720920 BGO720897:BGO720920 BQK720897:BQK720920 CAG720897:CAG720920 CKC720897:CKC720920 CTY720897:CTY720920 DDU720897:DDU720920 DNQ720897:DNQ720920 DXM720897:DXM720920 EHI720897:EHI720920 ERE720897:ERE720920 FBA720897:FBA720920 FKW720897:FKW720920 FUS720897:FUS720920 GEO720897:GEO720920 GOK720897:GOK720920 GYG720897:GYG720920 HIC720897:HIC720920 HRY720897:HRY720920 IBU720897:IBU720920 ILQ720897:ILQ720920 IVM720897:IVM720920 JFI720897:JFI720920 JPE720897:JPE720920 JZA720897:JZA720920 KIW720897:KIW720920 KSS720897:KSS720920 LCO720897:LCO720920 LMK720897:LMK720920 LWG720897:LWG720920 MGC720897:MGC720920 MPY720897:MPY720920 MZU720897:MZU720920 NJQ720897:NJQ720920 NTM720897:NTM720920 ODI720897:ODI720920 ONE720897:ONE720920 OXA720897:OXA720920 PGW720897:PGW720920 PQS720897:PQS720920 QAO720897:QAO720920 QKK720897:QKK720920 QUG720897:QUG720920 REC720897:REC720920 RNY720897:RNY720920 RXU720897:RXU720920 SHQ720897:SHQ720920 SRM720897:SRM720920 TBI720897:TBI720920 TLE720897:TLE720920 TVA720897:TVA720920 UEW720897:UEW720920 UOS720897:UOS720920 UYO720897:UYO720920 VIK720897:VIK720920 VSG720897:VSG720920 WCC720897:WCC720920 WLY720897:WLY720920 WVU720897:WVU720920 T786433:T786456 JI786433:JI786456 TE786433:TE786456 ADA786433:ADA786456 AMW786433:AMW786456 AWS786433:AWS786456 BGO786433:BGO786456 BQK786433:BQK786456 CAG786433:CAG786456 CKC786433:CKC786456 CTY786433:CTY786456 DDU786433:DDU786456 DNQ786433:DNQ786456 DXM786433:DXM786456 EHI786433:EHI786456 ERE786433:ERE786456 FBA786433:FBA786456 FKW786433:FKW786456 FUS786433:FUS786456 GEO786433:GEO786456 GOK786433:GOK786456 GYG786433:GYG786456 HIC786433:HIC786456 HRY786433:HRY786456 IBU786433:IBU786456 ILQ786433:ILQ786456 IVM786433:IVM786456 JFI786433:JFI786456 JPE786433:JPE786456 JZA786433:JZA786456 KIW786433:KIW786456 KSS786433:KSS786456 LCO786433:LCO786456 LMK786433:LMK786456 LWG786433:LWG786456 MGC786433:MGC786456 MPY786433:MPY786456 MZU786433:MZU786456 NJQ786433:NJQ786456 NTM786433:NTM786456 ODI786433:ODI786456 ONE786433:ONE786456 OXA786433:OXA786456 PGW786433:PGW786456 PQS786433:PQS786456 QAO786433:QAO786456 QKK786433:QKK786456 QUG786433:QUG786456 REC786433:REC786456 RNY786433:RNY786456 RXU786433:RXU786456 SHQ786433:SHQ786456 SRM786433:SRM786456 TBI786433:TBI786456 TLE786433:TLE786456 TVA786433:TVA786456 UEW786433:UEW786456 UOS786433:UOS786456 UYO786433:UYO786456 VIK786433:VIK786456 VSG786433:VSG786456 WCC786433:WCC786456 WLY786433:WLY786456 WVU786433:WVU786456 T851969:T851992 JI851969:JI851992 TE851969:TE851992 ADA851969:ADA851992 AMW851969:AMW851992 AWS851969:AWS851992 BGO851969:BGO851992 BQK851969:BQK851992 CAG851969:CAG851992 CKC851969:CKC851992 CTY851969:CTY851992 DDU851969:DDU851992 DNQ851969:DNQ851992 DXM851969:DXM851992 EHI851969:EHI851992 ERE851969:ERE851992 FBA851969:FBA851992 FKW851969:FKW851992 FUS851969:FUS851992 GEO851969:GEO851992 GOK851969:GOK851992 GYG851969:GYG851992 HIC851969:HIC851992 HRY851969:HRY851992 IBU851969:IBU851992 ILQ851969:ILQ851992 IVM851969:IVM851992 JFI851969:JFI851992 JPE851969:JPE851992 JZA851969:JZA851992 KIW851969:KIW851992 KSS851969:KSS851992 LCO851969:LCO851992 LMK851969:LMK851992 LWG851969:LWG851992 MGC851969:MGC851992 MPY851969:MPY851992 MZU851969:MZU851992 NJQ851969:NJQ851992 NTM851969:NTM851992 ODI851969:ODI851992 ONE851969:ONE851992 OXA851969:OXA851992 PGW851969:PGW851992 PQS851969:PQS851992 QAO851969:QAO851992 QKK851969:QKK851992 QUG851969:QUG851992 REC851969:REC851992 RNY851969:RNY851992 RXU851969:RXU851992 SHQ851969:SHQ851992 SRM851969:SRM851992 TBI851969:TBI851992 TLE851969:TLE851992 TVA851969:TVA851992 UEW851969:UEW851992 UOS851969:UOS851992 UYO851969:UYO851992 VIK851969:VIK851992 VSG851969:VSG851992 WCC851969:WCC851992 WLY851969:WLY851992 WVU851969:WVU851992 T917505:T917528 JI917505:JI917528 TE917505:TE917528 ADA917505:ADA917528 AMW917505:AMW917528 AWS917505:AWS917528 BGO917505:BGO917528 BQK917505:BQK917528 CAG917505:CAG917528 CKC917505:CKC917528 CTY917505:CTY917528 DDU917505:DDU917528 DNQ917505:DNQ917528 DXM917505:DXM917528 EHI917505:EHI917528 ERE917505:ERE917528 FBA917505:FBA917528 FKW917505:FKW917528 FUS917505:FUS917528 GEO917505:GEO917528 GOK917505:GOK917528 GYG917505:GYG917528 HIC917505:HIC917528 HRY917505:HRY917528 IBU917505:IBU917528 ILQ917505:ILQ917528 IVM917505:IVM917528 JFI917505:JFI917528 JPE917505:JPE917528 JZA917505:JZA917528 KIW917505:KIW917528 KSS917505:KSS917528 LCO917505:LCO917528 LMK917505:LMK917528 LWG917505:LWG917528 MGC917505:MGC917528 MPY917505:MPY917528 MZU917505:MZU917528 NJQ917505:NJQ917528 NTM917505:NTM917528 ODI917505:ODI917528 ONE917505:ONE917528 OXA917505:OXA917528 PGW917505:PGW917528 PQS917505:PQS917528 QAO917505:QAO917528 QKK917505:QKK917528 QUG917505:QUG917528 REC917505:REC917528 RNY917505:RNY917528 RXU917505:RXU917528 SHQ917505:SHQ917528 SRM917505:SRM917528 TBI917505:TBI917528 TLE917505:TLE917528 TVA917505:TVA917528 UEW917505:UEW917528 UOS917505:UOS917528 UYO917505:UYO917528 VIK917505:VIK917528 VSG917505:VSG917528 WCC917505:WCC917528 WLY917505:WLY917528 WVU917505:WVU917528 T983041:T983064 JI983041:JI983064 TE983041:TE983064 ADA983041:ADA983064 AMW983041:AMW983064 AWS983041:AWS983064 BGO983041:BGO983064 BQK983041:BQK983064 CAG983041:CAG983064 CKC983041:CKC983064 CTY983041:CTY983064 DDU983041:DDU983064 DNQ983041:DNQ983064 DXM983041:DXM983064 EHI983041:EHI983064 ERE983041:ERE983064 FBA983041:FBA983064 FKW983041:FKW983064 FUS983041:FUS983064 GEO983041:GEO983064 GOK983041:GOK983064 GYG983041:GYG983064 HIC983041:HIC983064 HRY983041:HRY983064 IBU983041:IBU983064 ILQ983041:ILQ983064 IVM983041:IVM983064 JFI983041:JFI983064 JPE983041:JPE983064 JZA983041:JZA983064 KIW983041:KIW983064 KSS983041:KSS983064 LCO983041:LCO983064 LMK983041:LMK983064 LWG983041:LWG983064 MGC983041:MGC983064 MPY983041:MPY983064 MZU983041:MZU983064 NJQ983041:NJQ983064 NTM983041:NTM983064 ODI983041:ODI983064 ONE983041:ONE983064 OXA983041:OXA983064 PGW983041:PGW983064 PQS983041:PQS983064 QAO983041:QAO983064 QKK983041:QKK983064 QUG983041:QUG983064 REC983041:REC983064 RNY983041:RNY983064 RXU983041:RXU983064 SHQ983041:SHQ983064 SRM983041:SRM983064 TBI983041:TBI983064 TLE983041:TLE983064 TVA983041:TVA983064 UEW983041:UEW983064 UOS983041:UOS983064 UYO983041:UYO983064 VIK983041:VIK983064 VSG983041:VSG983064 WCC983041:WCC983064 WLY983041:WLY983064 WVU983041:WVU983064 T11:T25 SP11:SP25 ACL11:ACL25 AMH11:AMH25 AWD11:AWD25 BFZ11:BFZ25 BPV11:BPV25 BZR11:BZR25 CJN11:CJN25 CTJ11:CTJ25 DDF11:DDF25 DNB11:DNB25 DWX11:DWX25 EGT11:EGT25 EQP11:EQP25 FAL11:FAL25 FKH11:FKH25 FUD11:FUD25 GDZ11:GDZ25 GNV11:GNV25 GXR11:GXR25 HHN11:HHN25 HRJ11:HRJ25 IBF11:IBF25 ILB11:ILB25 IUX11:IUX25 JET11:JET25 JOP11:JOP25 JYL11:JYL25 KIH11:KIH25 KSD11:KSD25 LBZ11:LBZ25 LLV11:LLV25 LVR11:LVR25 MFN11:MFN25 MPJ11:MPJ25 MZF11:MZF25 NJB11:NJB25 NSX11:NSX25 OCT11:OCT25 OMP11:OMP25 OWL11:OWL25 PGH11:PGH25 PQD11:PQD25 PZZ11:PZZ25 QJV11:QJV25 QTR11:QTR25 RDN11:RDN25 RNJ11:RNJ25 RXF11:RXF25 SHB11:SHB25 SQX11:SQX25 TAT11:TAT25 TKP11:TKP25 TUL11:TUL25 UEH11:UEH25 UOD11:UOD25 UXZ11:UXZ25 VHV11:VHV25 VRR11:VRR25 WBN11:WBN25 WLJ11:WLJ25 WVF11:WVF25 IT11:IT25" xr:uid="{00000000-0002-0000-0300-000001000000}">
      <formula1>"Y,N"</formula1>
    </dataValidation>
  </dataValidations>
  <pageMargins left="0" right="0" top="0.39370078740157483" bottom="0.59055118110236227" header="0.51181102362204722" footer="0.39370078740157483"/>
  <pageSetup paperSize="9" scale="82" fitToHeight="0" orientation="landscape" r:id="rId1"/>
  <headerFooter alignWithMargins="0">
    <oddFooter>第 &amp;P 頁，共 &amp;N 頁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FF0000"/>
    <pageSetUpPr fitToPage="1"/>
  </sheetPr>
  <dimension ref="A1:Z30"/>
  <sheetViews>
    <sheetView topLeftCell="N1" zoomScale="97" zoomScaleNormal="97" workbookViewId="0">
      <selection activeCell="X11" sqref="X11"/>
    </sheetView>
  </sheetViews>
  <sheetFormatPr defaultRowHeight="15.5"/>
  <cols>
    <col min="1" max="1" width="7.7265625" style="40" hidden="1" customWidth="1"/>
    <col min="2" max="2" width="11.90625" style="40" hidden="1" customWidth="1"/>
    <col min="3" max="4" width="9.7265625" style="40" hidden="1" customWidth="1"/>
    <col min="5" max="5" width="5.7265625" style="40" hidden="1" customWidth="1"/>
    <col min="6" max="6" width="7.7265625" style="40" hidden="1" customWidth="1"/>
    <col min="7" max="7" width="3.08984375" style="40" hidden="1" customWidth="1"/>
    <col min="8" max="8" width="2.26953125" style="40" hidden="1" customWidth="1"/>
    <col min="9" max="9" width="3.08984375" style="40" hidden="1" customWidth="1"/>
    <col min="10" max="10" width="5.26953125" style="40" hidden="1" customWidth="1"/>
    <col min="11" max="11" width="9.7265625" style="40" hidden="1" customWidth="1"/>
    <col min="12" max="12" width="5.7265625" style="40" hidden="1" customWidth="1"/>
    <col min="13" max="13" width="21.08984375" style="6" customWidth="1"/>
    <col min="14" max="14" width="8.90625" style="6" customWidth="1"/>
    <col min="15" max="15" width="11.36328125" style="6" customWidth="1"/>
    <col min="16" max="16" width="8.90625" style="6" customWidth="1"/>
    <col min="17" max="17" width="8.90625" style="41" customWidth="1"/>
    <col min="18" max="18" width="16.90625" style="6" customWidth="1"/>
    <col min="19" max="19" width="16.90625" style="41" customWidth="1"/>
    <col min="20" max="20" width="10" style="6" customWidth="1"/>
    <col min="21" max="21" width="10" style="41" customWidth="1"/>
    <col min="22" max="22" width="17.7265625" style="6" customWidth="1"/>
    <col min="23" max="23" width="10" style="6" customWidth="1"/>
    <col min="24" max="24" width="17.7265625" style="6" customWidth="1"/>
    <col min="25" max="25" width="10" style="6" customWidth="1"/>
    <col min="26" max="26" width="5.90625" style="6" customWidth="1"/>
    <col min="27" max="261" width="9" style="6"/>
    <col min="262" max="262" width="16.26953125" style="6" customWidth="1"/>
    <col min="263" max="263" width="9" style="6"/>
    <col min="264" max="264" width="11.36328125" style="6" customWidth="1"/>
    <col min="265" max="266" width="9" style="6"/>
    <col min="267" max="267" width="23" style="6" bestFit="1" customWidth="1"/>
    <col min="268" max="268" width="10" style="6" customWidth="1"/>
    <col min="269" max="269" width="6.26953125" style="6" bestFit="1" customWidth="1"/>
    <col min="270" max="270" width="7.26953125" style="6" bestFit="1" customWidth="1"/>
    <col min="271" max="271" width="16.7265625" style="6" customWidth="1"/>
    <col min="272" max="272" width="7.26953125" style="6" bestFit="1" customWidth="1"/>
    <col min="273" max="273" width="16.7265625" style="6" customWidth="1"/>
    <col min="274" max="517" width="9" style="6"/>
    <col min="518" max="518" width="16.26953125" style="6" customWidth="1"/>
    <col min="519" max="519" width="9" style="6"/>
    <col min="520" max="520" width="11.36328125" style="6" customWidth="1"/>
    <col min="521" max="522" width="9" style="6"/>
    <col min="523" max="523" width="23" style="6" bestFit="1" customWidth="1"/>
    <col min="524" max="524" width="10" style="6" customWidth="1"/>
    <col min="525" max="525" width="6.26953125" style="6" bestFit="1" customWidth="1"/>
    <col min="526" max="526" width="7.26953125" style="6" bestFit="1" customWidth="1"/>
    <col min="527" max="527" width="16.7265625" style="6" customWidth="1"/>
    <col min="528" max="528" width="7.26953125" style="6" bestFit="1" customWidth="1"/>
    <col min="529" max="529" width="16.7265625" style="6" customWidth="1"/>
    <col min="530" max="773" width="9" style="6"/>
    <col min="774" max="774" width="16.26953125" style="6" customWidth="1"/>
    <col min="775" max="775" width="9" style="6"/>
    <col min="776" max="776" width="11.36328125" style="6" customWidth="1"/>
    <col min="777" max="778" width="9" style="6"/>
    <col min="779" max="779" width="23" style="6" bestFit="1" customWidth="1"/>
    <col min="780" max="780" width="10" style="6" customWidth="1"/>
    <col min="781" max="781" width="6.26953125" style="6" bestFit="1" customWidth="1"/>
    <col min="782" max="782" width="7.26953125" style="6" bestFit="1" customWidth="1"/>
    <col min="783" max="783" width="16.7265625" style="6" customWidth="1"/>
    <col min="784" max="784" width="7.26953125" style="6" bestFit="1" customWidth="1"/>
    <col min="785" max="785" width="16.7265625" style="6" customWidth="1"/>
    <col min="786" max="1029" width="9" style="6"/>
    <col min="1030" max="1030" width="16.26953125" style="6" customWidth="1"/>
    <col min="1031" max="1031" width="9" style="6"/>
    <col min="1032" max="1032" width="11.36328125" style="6" customWidth="1"/>
    <col min="1033" max="1034" width="9" style="6"/>
    <col min="1035" max="1035" width="23" style="6" bestFit="1" customWidth="1"/>
    <col min="1036" max="1036" width="10" style="6" customWidth="1"/>
    <col min="1037" max="1037" width="6.26953125" style="6" bestFit="1" customWidth="1"/>
    <col min="1038" max="1038" width="7.26953125" style="6" bestFit="1" customWidth="1"/>
    <col min="1039" max="1039" width="16.7265625" style="6" customWidth="1"/>
    <col min="1040" max="1040" width="7.26953125" style="6" bestFit="1" customWidth="1"/>
    <col min="1041" max="1041" width="16.7265625" style="6" customWidth="1"/>
    <col min="1042" max="1285" width="9" style="6"/>
    <col min="1286" max="1286" width="16.26953125" style="6" customWidth="1"/>
    <col min="1287" max="1287" width="9" style="6"/>
    <col min="1288" max="1288" width="11.36328125" style="6" customWidth="1"/>
    <col min="1289" max="1290" width="9" style="6"/>
    <col min="1291" max="1291" width="23" style="6" bestFit="1" customWidth="1"/>
    <col min="1292" max="1292" width="10" style="6" customWidth="1"/>
    <col min="1293" max="1293" width="6.26953125" style="6" bestFit="1" customWidth="1"/>
    <col min="1294" max="1294" width="7.26953125" style="6" bestFit="1" customWidth="1"/>
    <col min="1295" max="1295" width="16.7265625" style="6" customWidth="1"/>
    <col min="1296" max="1296" width="7.26953125" style="6" bestFit="1" customWidth="1"/>
    <col min="1297" max="1297" width="16.7265625" style="6" customWidth="1"/>
    <col min="1298" max="1541" width="9" style="6"/>
    <col min="1542" max="1542" width="16.26953125" style="6" customWidth="1"/>
    <col min="1543" max="1543" width="9" style="6"/>
    <col min="1544" max="1544" width="11.36328125" style="6" customWidth="1"/>
    <col min="1545" max="1546" width="9" style="6"/>
    <col min="1547" max="1547" width="23" style="6" bestFit="1" customWidth="1"/>
    <col min="1548" max="1548" width="10" style="6" customWidth="1"/>
    <col min="1549" max="1549" width="6.26953125" style="6" bestFit="1" customWidth="1"/>
    <col min="1550" max="1550" width="7.26953125" style="6" bestFit="1" customWidth="1"/>
    <col min="1551" max="1551" width="16.7265625" style="6" customWidth="1"/>
    <col min="1552" max="1552" width="7.26953125" style="6" bestFit="1" customWidth="1"/>
    <col min="1553" max="1553" width="16.7265625" style="6" customWidth="1"/>
    <col min="1554" max="1797" width="9" style="6"/>
    <col min="1798" max="1798" width="16.26953125" style="6" customWidth="1"/>
    <col min="1799" max="1799" width="9" style="6"/>
    <col min="1800" max="1800" width="11.36328125" style="6" customWidth="1"/>
    <col min="1801" max="1802" width="9" style="6"/>
    <col min="1803" max="1803" width="23" style="6" bestFit="1" customWidth="1"/>
    <col min="1804" max="1804" width="10" style="6" customWidth="1"/>
    <col min="1805" max="1805" width="6.26953125" style="6" bestFit="1" customWidth="1"/>
    <col min="1806" max="1806" width="7.26953125" style="6" bestFit="1" customWidth="1"/>
    <col min="1807" max="1807" width="16.7265625" style="6" customWidth="1"/>
    <col min="1808" max="1808" width="7.26953125" style="6" bestFit="1" customWidth="1"/>
    <col min="1809" max="1809" width="16.7265625" style="6" customWidth="1"/>
    <col min="1810" max="2053" width="9" style="6"/>
    <col min="2054" max="2054" width="16.26953125" style="6" customWidth="1"/>
    <col min="2055" max="2055" width="9" style="6"/>
    <col min="2056" max="2056" width="11.36328125" style="6" customWidth="1"/>
    <col min="2057" max="2058" width="9" style="6"/>
    <col min="2059" max="2059" width="23" style="6" bestFit="1" customWidth="1"/>
    <col min="2060" max="2060" width="10" style="6" customWidth="1"/>
    <col min="2061" max="2061" width="6.26953125" style="6" bestFit="1" customWidth="1"/>
    <col min="2062" max="2062" width="7.26953125" style="6" bestFit="1" customWidth="1"/>
    <col min="2063" max="2063" width="16.7265625" style="6" customWidth="1"/>
    <col min="2064" max="2064" width="7.26953125" style="6" bestFit="1" customWidth="1"/>
    <col min="2065" max="2065" width="16.7265625" style="6" customWidth="1"/>
    <col min="2066" max="2309" width="9" style="6"/>
    <col min="2310" max="2310" width="16.26953125" style="6" customWidth="1"/>
    <col min="2311" max="2311" width="9" style="6"/>
    <col min="2312" max="2312" width="11.36328125" style="6" customWidth="1"/>
    <col min="2313" max="2314" width="9" style="6"/>
    <col min="2315" max="2315" width="23" style="6" bestFit="1" customWidth="1"/>
    <col min="2316" max="2316" width="10" style="6" customWidth="1"/>
    <col min="2317" max="2317" width="6.26953125" style="6" bestFit="1" customWidth="1"/>
    <col min="2318" max="2318" width="7.26953125" style="6" bestFit="1" customWidth="1"/>
    <col min="2319" max="2319" width="16.7265625" style="6" customWidth="1"/>
    <col min="2320" max="2320" width="7.26953125" style="6" bestFit="1" customWidth="1"/>
    <col min="2321" max="2321" width="16.7265625" style="6" customWidth="1"/>
    <col min="2322" max="2565" width="9" style="6"/>
    <col min="2566" max="2566" width="16.26953125" style="6" customWidth="1"/>
    <col min="2567" max="2567" width="9" style="6"/>
    <col min="2568" max="2568" width="11.36328125" style="6" customWidth="1"/>
    <col min="2569" max="2570" width="9" style="6"/>
    <col min="2571" max="2571" width="23" style="6" bestFit="1" customWidth="1"/>
    <col min="2572" max="2572" width="10" style="6" customWidth="1"/>
    <col min="2573" max="2573" width="6.26953125" style="6" bestFit="1" customWidth="1"/>
    <col min="2574" max="2574" width="7.26953125" style="6" bestFit="1" customWidth="1"/>
    <col min="2575" max="2575" width="16.7265625" style="6" customWidth="1"/>
    <col min="2576" max="2576" width="7.26953125" style="6" bestFit="1" customWidth="1"/>
    <col min="2577" max="2577" width="16.7265625" style="6" customWidth="1"/>
    <col min="2578" max="2821" width="9" style="6"/>
    <col min="2822" max="2822" width="16.26953125" style="6" customWidth="1"/>
    <col min="2823" max="2823" width="9" style="6"/>
    <col min="2824" max="2824" width="11.36328125" style="6" customWidth="1"/>
    <col min="2825" max="2826" width="9" style="6"/>
    <col min="2827" max="2827" width="23" style="6" bestFit="1" customWidth="1"/>
    <col min="2828" max="2828" width="10" style="6" customWidth="1"/>
    <col min="2829" max="2829" width="6.26953125" style="6" bestFit="1" customWidth="1"/>
    <col min="2830" max="2830" width="7.26953125" style="6" bestFit="1" customWidth="1"/>
    <col min="2831" max="2831" width="16.7265625" style="6" customWidth="1"/>
    <col min="2832" max="2832" width="7.26953125" style="6" bestFit="1" customWidth="1"/>
    <col min="2833" max="2833" width="16.7265625" style="6" customWidth="1"/>
    <col min="2834" max="3077" width="9" style="6"/>
    <col min="3078" max="3078" width="16.26953125" style="6" customWidth="1"/>
    <col min="3079" max="3079" width="9" style="6"/>
    <col min="3080" max="3080" width="11.36328125" style="6" customWidth="1"/>
    <col min="3081" max="3082" width="9" style="6"/>
    <col min="3083" max="3083" width="23" style="6" bestFit="1" customWidth="1"/>
    <col min="3084" max="3084" width="10" style="6" customWidth="1"/>
    <col min="3085" max="3085" width="6.26953125" style="6" bestFit="1" customWidth="1"/>
    <col min="3086" max="3086" width="7.26953125" style="6" bestFit="1" customWidth="1"/>
    <col min="3087" max="3087" width="16.7265625" style="6" customWidth="1"/>
    <col min="3088" max="3088" width="7.26953125" style="6" bestFit="1" customWidth="1"/>
    <col min="3089" max="3089" width="16.7265625" style="6" customWidth="1"/>
    <col min="3090" max="3333" width="9" style="6"/>
    <col min="3334" max="3334" width="16.26953125" style="6" customWidth="1"/>
    <col min="3335" max="3335" width="9" style="6"/>
    <col min="3336" max="3336" width="11.36328125" style="6" customWidth="1"/>
    <col min="3337" max="3338" width="9" style="6"/>
    <col min="3339" max="3339" width="23" style="6" bestFit="1" customWidth="1"/>
    <col min="3340" max="3340" width="10" style="6" customWidth="1"/>
    <col min="3341" max="3341" width="6.26953125" style="6" bestFit="1" customWidth="1"/>
    <col min="3342" max="3342" width="7.26953125" style="6" bestFit="1" customWidth="1"/>
    <col min="3343" max="3343" width="16.7265625" style="6" customWidth="1"/>
    <col min="3344" max="3344" width="7.26953125" style="6" bestFit="1" customWidth="1"/>
    <col min="3345" max="3345" width="16.7265625" style="6" customWidth="1"/>
    <col min="3346" max="3589" width="9" style="6"/>
    <col min="3590" max="3590" width="16.26953125" style="6" customWidth="1"/>
    <col min="3591" max="3591" width="9" style="6"/>
    <col min="3592" max="3592" width="11.36328125" style="6" customWidth="1"/>
    <col min="3593" max="3594" width="9" style="6"/>
    <col min="3595" max="3595" width="23" style="6" bestFit="1" customWidth="1"/>
    <col min="3596" max="3596" width="10" style="6" customWidth="1"/>
    <col min="3597" max="3597" width="6.26953125" style="6" bestFit="1" customWidth="1"/>
    <col min="3598" max="3598" width="7.26953125" style="6" bestFit="1" customWidth="1"/>
    <col min="3599" max="3599" width="16.7265625" style="6" customWidth="1"/>
    <col min="3600" max="3600" width="7.26953125" style="6" bestFit="1" customWidth="1"/>
    <col min="3601" max="3601" width="16.7265625" style="6" customWidth="1"/>
    <col min="3602" max="3845" width="9" style="6"/>
    <col min="3846" max="3846" width="16.26953125" style="6" customWidth="1"/>
    <col min="3847" max="3847" width="9" style="6"/>
    <col min="3848" max="3848" width="11.36328125" style="6" customWidth="1"/>
    <col min="3849" max="3850" width="9" style="6"/>
    <col min="3851" max="3851" width="23" style="6" bestFit="1" customWidth="1"/>
    <col min="3852" max="3852" width="10" style="6" customWidth="1"/>
    <col min="3853" max="3853" width="6.26953125" style="6" bestFit="1" customWidth="1"/>
    <col min="3854" max="3854" width="7.26953125" style="6" bestFit="1" customWidth="1"/>
    <col min="3855" max="3855" width="16.7265625" style="6" customWidth="1"/>
    <col min="3856" max="3856" width="7.26953125" style="6" bestFit="1" customWidth="1"/>
    <col min="3857" max="3857" width="16.7265625" style="6" customWidth="1"/>
    <col min="3858" max="4101" width="9" style="6"/>
    <col min="4102" max="4102" width="16.26953125" style="6" customWidth="1"/>
    <col min="4103" max="4103" width="9" style="6"/>
    <col min="4104" max="4104" width="11.36328125" style="6" customWidth="1"/>
    <col min="4105" max="4106" width="9" style="6"/>
    <col min="4107" max="4107" width="23" style="6" bestFit="1" customWidth="1"/>
    <col min="4108" max="4108" width="10" style="6" customWidth="1"/>
    <col min="4109" max="4109" width="6.26953125" style="6" bestFit="1" customWidth="1"/>
    <col min="4110" max="4110" width="7.26953125" style="6" bestFit="1" customWidth="1"/>
    <col min="4111" max="4111" width="16.7265625" style="6" customWidth="1"/>
    <col min="4112" max="4112" width="7.26953125" style="6" bestFit="1" customWidth="1"/>
    <col min="4113" max="4113" width="16.7265625" style="6" customWidth="1"/>
    <col min="4114" max="4357" width="9" style="6"/>
    <col min="4358" max="4358" width="16.26953125" style="6" customWidth="1"/>
    <col min="4359" max="4359" width="9" style="6"/>
    <col min="4360" max="4360" width="11.36328125" style="6" customWidth="1"/>
    <col min="4361" max="4362" width="9" style="6"/>
    <col min="4363" max="4363" width="23" style="6" bestFit="1" customWidth="1"/>
    <col min="4364" max="4364" width="10" style="6" customWidth="1"/>
    <col min="4365" max="4365" width="6.26953125" style="6" bestFit="1" customWidth="1"/>
    <col min="4366" max="4366" width="7.26953125" style="6" bestFit="1" customWidth="1"/>
    <col min="4367" max="4367" width="16.7265625" style="6" customWidth="1"/>
    <col min="4368" max="4368" width="7.26953125" style="6" bestFit="1" customWidth="1"/>
    <col min="4369" max="4369" width="16.7265625" style="6" customWidth="1"/>
    <col min="4370" max="4613" width="9" style="6"/>
    <col min="4614" max="4614" width="16.26953125" style="6" customWidth="1"/>
    <col min="4615" max="4615" width="9" style="6"/>
    <col min="4616" max="4616" width="11.36328125" style="6" customWidth="1"/>
    <col min="4617" max="4618" width="9" style="6"/>
    <col min="4619" max="4619" width="23" style="6" bestFit="1" customWidth="1"/>
    <col min="4620" max="4620" width="10" style="6" customWidth="1"/>
    <col min="4621" max="4621" width="6.26953125" style="6" bestFit="1" customWidth="1"/>
    <col min="4622" max="4622" width="7.26953125" style="6" bestFit="1" customWidth="1"/>
    <col min="4623" max="4623" width="16.7265625" style="6" customWidth="1"/>
    <col min="4624" max="4624" width="7.26953125" style="6" bestFit="1" customWidth="1"/>
    <col min="4625" max="4625" width="16.7265625" style="6" customWidth="1"/>
    <col min="4626" max="4869" width="9" style="6"/>
    <col min="4870" max="4870" width="16.26953125" style="6" customWidth="1"/>
    <col min="4871" max="4871" width="9" style="6"/>
    <col min="4872" max="4872" width="11.36328125" style="6" customWidth="1"/>
    <col min="4873" max="4874" width="9" style="6"/>
    <col min="4875" max="4875" width="23" style="6" bestFit="1" customWidth="1"/>
    <col min="4876" max="4876" width="10" style="6" customWidth="1"/>
    <col min="4877" max="4877" width="6.26953125" style="6" bestFit="1" customWidth="1"/>
    <col min="4878" max="4878" width="7.26953125" style="6" bestFit="1" customWidth="1"/>
    <col min="4879" max="4879" width="16.7265625" style="6" customWidth="1"/>
    <col min="4880" max="4880" width="7.26953125" style="6" bestFit="1" customWidth="1"/>
    <col min="4881" max="4881" width="16.7265625" style="6" customWidth="1"/>
    <col min="4882" max="5125" width="9" style="6"/>
    <col min="5126" max="5126" width="16.26953125" style="6" customWidth="1"/>
    <col min="5127" max="5127" width="9" style="6"/>
    <col min="5128" max="5128" width="11.36328125" style="6" customWidth="1"/>
    <col min="5129" max="5130" width="9" style="6"/>
    <col min="5131" max="5131" width="23" style="6" bestFit="1" customWidth="1"/>
    <col min="5132" max="5132" width="10" style="6" customWidth="1"/>
    <col min="5133" max="5133" width="6.26953125" style="6" bestFit="1" customWidth="1"/>
    <col min="5134" max="5134" width="7.26953125" style="6" bestFit="1" customWidth="1"/>
    <col min="5135" max="5135" width="16.7265625" style="6" customWidth="1"/>
    <col min="5136" max="5136" width="7.26953125" style="6" bestFit="1" customWidth="1"/>
    <col min="5137" max="5137" width="16.7265625" style="6" customWidth="1"/>
    <col min="5138" max="5381" width="9" style="6"/>
    <col min="5382" max="5382" width="16.26953125" style="6" customWidth="1"/>
    <col min="5383" max="5383" width="9" style="6"/>
    <col min="5384" max="5384" width="11.36328125" style="6" customWidth="1"/>
    <col min="5385" max="5386" width="9" style="6"/>
    <col min="5387" max="5387" width="23" style="6" bestFit="1" customWidth="1"/>
    <col min="5388" max="5388" width="10" style="6" customWidth="1"/>
    <col min="5389" max="5389" width="6.26953125" style="6" bestFit="1" customWidth="1"/>
    <col min="5390" max="5390" width="7.26953125" style="6" bestFit="1" customWidth="1"/>
    <col min="5391" max="5391" width="16.7265625" style="6" customWidth="1"/>
    <col min="5392" max="5392" width="7.26953125" style="6" bestFit="1" customWidth="1"/>
    <col min="5393" max="5393" width="16.7265625" style="6" customWidth="1"/>
    <col min="5394" max="5637" width="9" style="6"/>
    <col min="5638" max="5638" width="16.26953125" style="6" customWidth="1"/>
    <col min="5639" max="5639" width="9" style="6"/>
    <col min="5640" max="5640" width="11.36328125" style="6" customWidth="1"/>
    <col min="5641" max="5642" width="9" style="6"/>
    <col min="5643" max="5643" width="23" style="6" bestFit="1" customWidth="1"/>
    <col min="5644" max="5644" width="10" style="6" customWidth="1"/>
    <col min="5645" max="5645" width="6.26953125" style="6" bestFit="1" customWidth="1"/>
    <col min="5646" max="5646" width="7.26953125" style="6" bestFit="1" customWidth="1"/>
    <col min="5647" max="5647" width="16.7265625" style="6" customWidth="1"/>
    <col min="5648" max="5648" width="7.26953125" style="6" bestFit="1" customWidth="1"/>
    <col min="5649" max="5649" width="16.7265625" style="6" customWidth="1"/>
    <col min="5650" max="5893" width="9" style="6"/>
    <col min="5894" max="5894" width="16.26953125" style="6" customWidth="1"/>
    <col min="5895" max="5895" width="9" style="6"/>
    <col min="5896" max="5896" width="11.36328125" style="6" customWidth="1"/>
    <col min="5897" max="5898" width="9" style="6"/>
    <col min="5899" max="5899" width="23" style="6" bestFit="1" customWidth="1"/>
    <col min="5900" max="5900" width="10" style="6" customWidth="1"/>
    <col min="5901" max="5901" width="6.26953125" style="6" bestFit="1" customWidth="1"/>
    <col min="5902" max="5902" width="7.26953125" style="6" bestFit="1" customWidth="1"/>
    <col min="5903" max="5903" width="16.7265625" style="6" customWidth="1"/>
    <col min="5904" max="5904" width="7.26953125" style="6" bestFit="1" customWidth="1"/>
    <col min="5905" max="5905" width="16.7265625" style="6" customWidth="1"/>
    <col min="5906" max="6149" width="9" style="6"/>
    <col min="6150" max="6150" width="16.26953125" style="6" customWidth="1"/>
    <col min="6151" max="6151" width="9" style="6"/>
    <col min="6152" max="6152" width="11.36328125" style="6" customWidth="1"/>
    <col min="6153" max="6154" width="9" style="6"/>
    <col min="6155" max="6155" width="23" style="6" bestFit="1" customWidth="1"/>
    <col min="6156" max="6156" width="10" style="6" customWidth="1"/>
    <col min="6157" max="6157" width="6.26953125" style="6" bestFit="1" customWidth="1"/>
    <col min="6158" max="6158" width="7.26953125" style="6" bestFit="1" customWidth="1"/>
    <col min="6159" max="6159" width="16.7265625" style="6" customWidth="1"/>
    <col min="6160" max="6160" width="7.26953125" style="6" bestFit="1" customWidth="1"/>
    <col min="6161" max="6161" width="16.7265625" style="6" customWidth="1"/>
    <col min="6162" max="6405" width="9" style="6"/>
    <col min="6406" max="6406" width="16.26953125" style="6" customWidth="1"/>
    <col min="6407" max="6407" width="9" style="6"/>
    <col min="6408" max="6408" width="11.36328125" style="6" customWidth="1"/>
    <col min="6409" max="6410" width="9" style="6"/>
    <col min="6411" max="6411" width="23" style="6" bestFit="1" customWidth="1"/>
    <col min="6412" max="6412" width="10" style="6" customWidth="1"/>
    <col min="6413" max="6413" width="6.26953125" style="6" bestFit="1" customWidth="1"/>
    <col min="6414" max="6414" width="7.26953125" style="6" bestFit="1" customWidth="1"/>
    <col min="6415" max="6415" width="16.7265625" style="6" customWidth="1"/>
    <col min="6416" max="6416" width="7.26953125" style="6" bestFit="1" customWidth="1"/>
    <col min="6417" max="6417" width="16.7265625" style="6" customWidth="1"/>
    <col min="6418" max="6661" width="9" style="6"/>
    <col min="6662" max="6662" width="16.26953125" style="6" customWidth="1"/>
    <col min="6663" max="6663" width="9" style="6"/>
    <col min="6664" max="6664" width="11.36328125" style="6" customWidth="1"/>
    <col min="6665" max="6666" width="9" style="6"/>
    <col min="6667" max="6667" width="23" style="6" bestFit="1" customWidth="1"/>
    <col min="6668" max="6668" width="10" style="6" customWidth="1"/>
    <col min="6669" max="6669" width="6.26953125" style="6" bestFit="1" customWidth="1"/>
    <col min="6670" max="6670" width="7.26953125" style="6" bestFit="1" customWidth="1"/>
    <col min="6671" max="6671" width="16.7265625" style="6" customWidth="1"/>
    <col min="6672" max="6672" width="7.26953125" style="6" bestFit="1" customWidth="1"/>
    <col min="6673" max="6673" width="16.7265625" style="6" customWidth="1"/>
    <col min="6674" max="6917" width="9" style="6"/>
    <col min="6918" max="6918" width="16.26953125" style="6" customWidth="1"/>
    <col min="6919" max="6919" width="9" style="6"/>
    <col min="6920" max="6920" width="11.36328125" style="6" customWidth="1"/>
    <col min="6921" max="6922" width="9" style="6"/>
    <col min="6923" max="6923" width="23" style="6" bestFit="1" customWidth="1"/>
    <col min="6924" max="6924" width="10" style="6" customWidth="1"/>
    <col min="6925" max="6925" width="6.26953125" style="6" bestFit="1" customWidth="1"/>
    <col min="6926" max="6926" width="7.26953125" style="6" bestFit="1" customWidth="1"/>
    <col min="6927" max="6927" width="16.7265625" style="6" customWidth="1"/>
    <col min="6928" max="6928" width="7.26953125" style="6" bestFit="1" customWidth="1"/>
    <col min="6929" max="6929" width="16.7265625" style="6" customWidth="1"/>
    <col min="6930" max="7173" width="9" style="6"/>
    <col min="7174" max="7174" width="16.26953125" style="6" customWidth="1"/>
    <col min="7175" max="7175" width="9" style="6"/>
    <col min="7176" max="7176" width="11.36328125" style="6" customWidth="1"/>
    <col min="7177" max="7178" width="9" style="6"/>
    <col min="7179" max="7179" width="23" style="6" bestFit="1" customWidth="1"/>
    <col min="7180" max="7180" width="10" style="6" customWidth="1"/>
    <col min="7181" max="7181" width="6.26953125" style="6" bestFit="1" customWidth="1"/>
    <col min="7182" max="7182" width="7.26953125" style="6" bestFit="1" customWidth="1"/>
    <col min="7183" max="7183" width="16.7265625" style="6" customWidth="1"/>
    <col min="7184" max="7184" width="7.26953125" style="6" bestFit="1" customWidth="1"/>
    <col min="7185" max="7185" width="16.7265625" style="6" customWidth="1"/>
    <col min="7186" max="7429" width="9" style="6"/>
    <col min="7430" max="7430" width="16.26953125" style="6" customWidth="1"/>
    <col min="7431" max="7431" width="9" style="6"/>
    <col min="7432" max="7432" width="11.36328125" style="6" customWidth="1"/>
    <col min="7433" max="7434" width="9" style="6"/>
    <col min="7435" max="7435" width="23" style="6" bestFit="1" customWidth="1"/>
    <col min="7436" max="7436" width="10" style="6" customWidth="1"/>
    <col min="7437" max="7437" width="6.26953125" style="6" bestFit="1" customWidth="1"/>
    <col min="7438" max="7438" width="7.26953125" style="6" bestFit="1" customWidth="1"/>
    <col min="7439" max="7439" width="16.7265625" style="6" customWidth="1"/>
    <col min="7440" max="7440" width="7.26953125" style="6" bestFit="1" customWidth="1"/>
    <col min="7441" max="7441" width="16.7265625" style="6" customWidth="1"/>
    <col min="7442" max="7685" width="9" style="6"/>
    <col min="7686" max="7686" width="16.26953125" style="6" customWidth="1"/>
    <col min="7687" max="7687" width="9" style="6"/>
    <col min="7688" max="7688" width="11.36328125" style="6" customWidth="1"/>
    <col min="7689" max="7690" width="9" style="6"/>
    <col min="7691" max="7691" width="23" style="6" bestFit="1" customWidth="1"/>
    <col min="7692" max="7692" width="10" style="6" customWidth="1"/>
    <col min="7693" max="7693" width="6.26953125" style="6" bestFit="1" customWidth="1"/>
    <col min="7694" max="7694" width="7.26953125" style="6" bestFit="1" customWidth="1"/>
    <col min="7695" max="7695" width="16.7265625" style="6" customWidth="1"/>
    <col min="7696" max="7696" width="7.26953125" style="6" bestFit="1" customWidth="1"/>
    <col min="7697" max="7697" width="16.7265625" style="6" customWidth="1"/>
    <col min="7698" max="7941" width="9" style="6"/>
    <col min="7942" max="7942" width="16.26953125" style="6" customWidth="1"/>
    <col min="7943" max="7943" width="9" style="6"/>
    <col min="7944" max="7944" width="11.36328125" style="6" customWidth="1"/>
    <col min="7945" max="7946" width="9" style="6"/>
    <col min="7947" max="7947" width="23" style="6" bestFit="1" customWidth="1"/>
    <col min="7948" max="7948" width="10" style="6" customWidth="1"/>
    <col min="7949" max="7949" width="6.26953125" style="6" bestFit="1" customWidth="1"/>
    <col min="7950" max="7950" width="7.26953125" style="6" bestFit="1" customWidth="1"/>
    <col min="7951" max="7951" width="16.7265625" style="6" customWidth="1"/>
    <col min="7952" max="7952" width="7.26953125" style="6" bestFit="1" customWidth="1"/>
    <col min="7953" max="7953" width="16.7265625" style="6" customWidth="1"/>
    <col min="7954" max="8197" width="9" style="6"/>
    <col min="8198" max="8198" width="16.26953125" style="6" customWidth="1"/>
    <col min="8199" max="8199" width="9" style="6"/>
    <col min="8200" max="8200" width="11.36328125" style="6" customWidth="1"/>
    <col min="8201" max="8202" width="9" style="6"/>
    <col min="8203" max="8203" width="23" style="6" bestFit="1" customWidth="1"/>
    <col min="8204" max="8204" width="10" style="6" customWidth="1"/>
    <col min="8205" max="8205" width="6.26953125" style="6" bestFit="1" customWidth="1"/>
    <col min="8206" max="8206" width="7.26953125" style="6" bestFit="1" customWidth="1"/>
    <col min="8207" max="8207" width="16.7265625" style="6" customWidth="1"/>
    <col min="8208" max="8208" width="7.26953125" style="6" bestFit="1" customWidth="1"/>
    <col min="8209" max="8209" width="16.7265625" style="6" customWidth="1"/>
    <col min="8210" max="8453" width="9" style="6"/>
    <col min="8454" max="8454" width="16.26953125" style="6" customWidth="1"/>
    <col min="8455" max="8455" width="9" style="6"/>
    <col min="8456" max="8456" width="11.36328125" style="6" customWidth="1"/>
    <col min="8457" max="8458" width="9" style="6"/>
    <col min="8459" max="8459" width="23" style="6" bestFit="1" customWidth="1"/>
    <col min="8460" max="8460" width="10" style="6" customWidth="1"/>
    <col min="8461" max="8461" width="6.26953125" style="6" bestFit="1" customWidth="1"/>
    <col min="8462" max="8462" width="7.26953125" style="6" bestFit="1" customWidth="1"/>
    <col min="8463" max="8463" width="16.7265625" style="6" customWidth="1"/>
    <col min="8464" max="8464" width="7.26953125" style="6" bestFit="1" customWidth="1"/>
    <col min="8465" max="8465" width="16.7265625" style="6" customWidth="1"/>
    <col min="8466" max="8709" width="9" style="6"/>
    <col min="8710" max="8710" width="16.26953125" style="6" customWidth="1"/>
    <col min="8711" max="8711" width="9" style="6"/>
    <col min="8712" max="8712" width="11.36328125" style="6" customWidth="1"/>
    <col min="8713" max="8714" width="9" style="6"/>
    <col min="8715" max="8715" width="23" style="6" bestFit="1" customWidth="1"/>
    <col min="8716" max="8716" width="10" style="6" customWidth="1"/>
    <col min="8717" max="8717" width="6.26953125" style="6" bestFit="1" customWidth="1"/>
    <col min="8718" max="8718" width="7.26953125" style="6" bestFit="1" customWidth="1"/>
    <col min="8719" max="8719" width="16.7265625" style="6" customWidth="1"/>
    <col min="8720" max="8720" width="7.26953125" style="6" bestFit="1" customWidth="1"/>
    <col min="8721" max="8721" width="16.7265625" style="6" customWidth="1"/>
    <col min="8722" max="8965" width="9" style="6"/>
    <col min="8966" max="8966" width="16.26953125" style="6" customWidth="1"/>
    <col min="8967" max="8967" width="9" style="6"/>
    <col min="8968" max="8968" width="11.36328125" style="6" customWidth="1"/>
    <col min="8969" max="8970" width="9" style="6"/>
    <col min="8971" max="8971" width="23" style="6" bestFit="1" customWidth="1"/>
    <col min="8972" max="8972" width="10" style="6" customWidth="1"/>
    <col min="8973" max="8973" width="6.26953125" style="6" bestFit="1" customWidth="1"/>
    <col min="8974" max="8974" width="7.26953125" style="6" bestFit="1" customWidth="1"/>
    <col min="8975" max="8975" width="16.7265625" style="6" customWidth="1"/>
    <col min="8976" max="8976" width="7.26953125" style="6" bestFit="1" customWidth="1"/>
    <col min="8977" max="8977" width="16.7265625" style="6" customWidth="1"/>
    <col min="8978" max="9221" width="9" style="6"/>
    <col min="9222" max="9222" width="16.26953125" style="6" customWidth="1"/>
    <col min="9223" max="9223" width="9" style="6"/>
    <col min="9224" max="9224" width="11.36328125" style="6" customWidth="1"/>
    <col min="9225" max="9226" width="9" style="6"/>
    <col min="9227" max="9227" width="23" style="6" bestFit="1" customWidth="1"/>
    <col min="9228" max="9228" width="10" style="6" customWidth="1"/>
    <col min="9229" max="9229" width="6.26953125" style="6" bestFit="1" customWidth="1"/>
    <col min="9230" max="9230" width="7.26953125" style="6" bestFit="1" customWidth="1"/>
    <col min="9231" max="9231" width="16.7265625" style="6" customWidth="1"/>
    <col min="9232" max="9232" width="7.26953125" style="6" bestFit="1" customWidth="1"/>
    <col min="9233" max="9233" width="16.7265625" style="6" customWidth="1"/>
    <col min="9234" max="9477" width="9" style="6"/>
    <col min="9478" max="9478" width="16.26953125" style="6" customWidth="1"/>
    <col min="9479" max="9479" width="9" style="6"/>
    <col min="9480" max="9480" width="11.36328125" style="6" customWidth="1"/>
    <col min="9481" max="9482" width="9" style="6"/>
    <col min="9483" max="9483" width="23" style="6" bestFit="1" customWidth="1"/>
    <col min="9484" max="9484" width="10" style="6" customWidth="1"/>
    <col min="9485" max="9485" width="6.26953125" style="6" bestFit="1" customWidth="1"/>
    <col min="9486" max="9486" width="7.26953125" style="6" bestFit="1" customWidth="1"/>
    <col min="9487" max="9487" width="16.7265625" style="6" customWidth="1"/>
    <col min="9488" max="9488" width="7.26953125" style="6" bestFit="1" customWidth="1"/>
    <col min="9489" max="9489" width="16.7265625" style="6" customWidth="1"/>
    <col min="9490" max="9733" width="9" style="6"/>
    <col min="9734" max="9734" width="16.26953125" style="6" customWidth="1"/>
    <col min="9735" max="9735" width="9" style="6"/>
    <col min="9736" max="9736" width="11.36328125" style="6" customWidth="1"/>
    <col min="9737" max="9738" width="9" style="6"/>
    <col min="9739" max="9739" width="23" style="6" bestFit="1" customWidth="1"/>
    <col min="9740" max="9740" width="10" style="6" customWidth="1"/>
    <col min="9741" max="9741" width="6.26953125" style="6" bestFit="1" customWidth="1"/>
    <col min="9742" max="9742" width="7.26953125" style="6" bestFit="1" customWidth="1"/>
    <col min="9743" max="9743" width="16.7265625" style="6" customWidth="1"/>
    <col min="9744" max="9744" width="7.26953125" style="6" bestFit="1" customWidth="1"/>
    <col min="9745" max="9745" width="16.7265625" style="6" customWidth="1"/>
    <col min="9746" max="9989" width="9" style="6"/>
    <col min="9990" max="9990" width="16.26953125" style="6" customWidth="1"/>
    <col min="9991" max="9991" width="9" style="6"/>
    <col min="9992" max="9992" width="11.36328125" style="6" customWidth="1"/>
    <col min="9993" max="9994" width="9" style="6"/>
    <col min="9995" max="9995" width="23" style="6" bestFit="1" customWidth="1"/>
    <col min="9996" max="9996" width="10" style="6" customWidth="1"/>
    <col min="9997" max="9997" width="6.26953125" style="6" bestFit="1" customWidth="1"/>
    <col min="9998" max="9998" width="7.26953125" style="6" bestFit="1" customWidth="1"/>
    <col min="9999" max="9999" width="16.7265625" style="6" customWidth="1"/>
    <col min="10000" max="10000" width="7.26953125" style="6" bestFit="1" customWidth="1"/>
    <col min="10001" max="10001" width="16.7265625" style="6" customWidth="1"/>
    <col min="10002" max="10245" width="9" style="6"/>
    <col min="10246" max="10246" width="16.26953125" style="6" customWidth="1"/>
    <col min="10247" max="10247" width="9" style="6"/>
    <col min="10248" max="10248" width="11.36328125" style="6" customWidth="1"/>
    <col min="10249" max="10250" width="9" style="6"/>
    <col min="10251" max="10251" width="23" style="6" bestFit="1" customWidth="1"/>
    <col min="10252" max="10252" width="10" style="6" customWidth="1"/>
    <col min="10253" max="10253" width="6.26953125" style="6" bestFit="1" customWidth="1"/>
    <col min="10254" max="10254" width="7.26953125" style="6" bestFit="1" customWidth="1"/>
    <col min="10255" max="10255" width="16.7265625" style="6" customWidth="1"/>
    <col min="10256" max="10256" width="7.26953125" style="6" bestFit="1" customWidth="1"/>
    <col min="10257" max="10257" width="16.7265625" style="6" customWidth="1"/>
    <col min="10258" max="10501" width="9" style="6"/>
    <col min="10502" max="10502" width="16.26953125" style="6" customWidth="1"/>
    <col min="10503" max="10503" width="9" style="6"/>
    <col min="10504" max="10504" width="11.36328125" style="6" customWidth="1"/>
    <col min="10505" max="10506" width="9" style="6"/>
    <col min="10507" max="10507" width="23" style="6" bestFit="1" customWidth="1"/>
    <col min="10508" max="10508" width="10" style="6" customWidth="1"/>
    <col min="10509" max="10509" width="6.26953125" style="6" bestFit="1" customWidth="1"/>
    <col min="10510" max="10510" width="7.26953125" style="6" bestFit="1" customWidth="1"/>
    <col min="10511" max="10511" width="16.7265625" style="6" customWidth="1"/>
    <col min="10512" max="10512" width="7.26953125" style="6" bestFit="1" customWidth="1"/>
    <col min="10513" max="10513" width="16.7265625" style="6" customWidth="1"/>
    <col min="10514" max="10757" width="9" style="6"/>
    <col min="10758" max="10758" width="16.26953125" style="6" customWidth="1"/>
    <col min="10759" max="10759" width="9" style="6"/>
    <col min="10760" max="10760" width="11.36328125" style="6" customWidth="1"/>
    <col min="10761" max="10762" width="9" style="6"/>
    <col min="10763" max="10763" width="23" style="6" bestFit="1" customWidth="1"/>
    <col min="10764" max="10764" width="10" style="6" customWidth="1"/>
    <col min="10765" max="10765" width="6.26953125" style="6" bestFit="1" customWidth="1"/>
    <col min="10766" max="10766" width="7.26953125" style="6" bestFit="1" customWidth="1"/>
    <col min="10767" max="10767" width="16.7265625" style="6" customWidth="1"/>
    <col min="10768" max="10768" width="7.26953125" style="6" bestFit="1" customWidth="1"/>
    <col min="10769" max="10769" width="16.7265625" style="6" customWidth="1"/>
    <col min="10770" max="11013" width="9" style="6"/>
    <col min="11014" max="11014" width="16.26953125" style="6" customWidth="1"/>
    <col min="11015" max="11015" width="9" style="6"/>
    <col min="11016" max="11016" width="11.36328125" style="6" customWidth="1"/>
    <col min="11017" max="11018" width="9" style="6"/>
    <col min="11019" max="11019" width="23" style="6" bestFit="1" customWidth="1"/>
    <col min="11020" max="11020" width="10" style="6" customWidth="1"/>
    <col min="11021" max="11021" width="6.26953125" style="6" bestFit="1" customWidth="1"/>
    <col min="11022" max="11022" width="7.26953125" style="6" bestFit="1" customWidth="1"/>
    <col min="11023" max="11023" width="16.7265625" style="6" customWidth="1"/>
    <col min="11024" max="11024" width="7.26953125" style="6" bestFit="1" customWidth="1"/>
    <col min="11025" max="11025" width="16.7265625" style="6" customWidth="1"/>
    <col min="11026" max="11269" width="9" style="6"/>
    <col min="11270" max="11270" width="16.26953125" style="6" customWidth="1"/>
    <col min="11271" max="11271" width="9" style="6"/>
    <col min="11272" max="11272" width="11.36328125" style="6" customWidth="1"/>
    <col min="11273" max="11274" width="9" style="6"/>
    <col min="11275" max="11275" width="23" style="6" bestFit="1" customWidth="1"/>
    <col min="11276" max="11276" width="10" style="6" customWidth="1"/>
    <col min="11277" max="11277" width="6.26953125" style="6" bestFit="1" customWidth="1"/>
    <col min="11278" max="11278" width="7.26953125" style="6" bestFit="1" customWidth="1"/>
    <col min="11279" max="11279" width="16.7265625" style="6" customWidth="1"/>
    <col min="11280" max="11280" width="7.26953125" style="6" bestFit="1" customWidth="1"/>
    <col min="11281" max="11281" width="16.7265625" style="6" customWidth="1"/>
    <col min="11282" max="11525" width="9" style="6"/>
    <col min="11526" max="11526" width="16.26953125" style="6" customWidth="1"/>
    <col min="11527" max="11527" width="9" style="6"/>
    <col min="11528" max="11528" width="11.36328125" style="6" customWidth="1"/>
    <col min="11529" max="11530" width="9" style="6"/>
    <col min="11531" max="11531" width="23" style="6" bestFit="1" customWidth="1"/>
    <col min="11532" max="11532" width="10" style="6" customWidth="1"/>
    <col min="11533" max="11533" width="6.26953125" style="6" bestFit="1" customWidth="1"/>
    <col min="11534" max="11534" width="7.26953125" style="6" bestFit="1" customWidth="1"/>
    <col min="11535" max="11535" width="16.7265625" style="6" customWidth="1"/>
    <col min="11536" max="11536" width="7.26953125" style="6" bestFit="1" customWidth="1"/>
    <col min="11537" max="11537" width="16.7265625" style="6" customWidth="1"/>
    <col min="11538" max="11781" width="9" style="6"/>
    <col min="11782" max="11782" width="16.26953125" style="6" customWidth="1"/>
    <col min="11783" max="11783" width="9" style="6"/>
    <col min="11784" max="11784" width="11.36328125" style="6" customWidth="1"/>
    <col min="11785" max="11786" width="9" style="6"/>
    <col min="11787" max="11787" width="23" style="6" bestFit="1" customWidth="1"/>
    <col min="11788" max="11788" width="10" style="6" customWidth="1"/>
    <col min="11789" max="11789" width="6.26953125" style="6" bestFit="1" customWidth="1"/>
    <col min="11790" max="11790" width="7.26953125" style="6" bestFit="1" customWidth="1"/>
    <col min="11791" max="11791" width="16.7265625" style="6" customWidth="1"/>
    <col min="11792" max="11792" width="7.26953125" style="6" bestFit="1" customWidth="1"/>
    <col min="11793" max="11793" width="16.7265625" style="6" customWidth="1"/>
    <col min="11794" max="12037" width="9" style="6"/>
    <col min="12038" max="12038" width="16.26953125" style="6" customWidth="1"/>
    <col min="12039" max="12039" width="9" style="6"/>
    <col min="12040" max="12040" width="11.36328125" style="6" customWidth="1"/>
    <col min="12041" max="12042" width="9" style="6"/>
    <col min="12043" max="12043" width="23" style="6" bestFit="1" customWidth="1"/>
    <col min="12044" max="12044" width="10" style="6" customWidth="1"/>
    <col min="12045" max="12045" width="6.26953125" style="6" bestFit="1" customWidth="1"/>
    <col min="12046" max="12046" width="7.26953125" style="6" bestFit="1" customWidth="1"/>
    <col min="12047" max="12047" width="16.7265625" style="6" customWidth="1"/>
    <col min="12048" max="12048" width="7.26953125" style="6" bestFit="1" customWidth="1"/>
    <col min="12049" max="12049" width="16.7265625" style="6" customWidth="1"/>
    <col min="12050" max="12293" width="9" style="6"/>
    <col min="12294" max="12294" width="16.26953125" style="6" customWidth="1"/>
    <col min="12295" max="12295" width="9" style="6"/>
    <col min="12296" max="12296" width="11.36328125" style="6" customWidth="1"/>
    <col min="12297" max="12298" width="9" style="6"/>
    <col min="12299" max="12299" width="23" style="6" bestFit="1" customWidth="1"/>
    <col min="12300" max="12300" width="10" style="6" customWidth="1"/>
    <col min="12301" max="12301" width="6.26953125" style="6" bestFit="1" customWidth="1"/>
    <col min="12302" max="12302" width="7.26953125" style="6" bestFit="1" customWidth="1"/>
    <col min="12303" max="12303" width="16.7265625" style="6" customWidth="1"/>
    <col min="12304" max="12304" width="7.26953125" style="6" bestFit="1" customWidth="1"/>
    <col min="12305" max="12305" width="16.7265625" style="6" customWidth="1"/>
    <col min="12306" max="12549" width="9" style="6"/>
    <col min="12550" max="12550" width="16.26953125" style="6" customWidth="1"/>
    <col min="12551" max="12551" width="9" style="6"/>
    <col min="12552" max="12552" width="11.36328125" style="6" customWidth="1"/>
    <col min="12553" max="12554" width="9" style="6"/>
    <col min="12555" max="12555" width="23" style="6" bestFit="1" customWidth="1"/>
    <col min="12556" max="12556" width="10" style="6" customWidth="1"/>
    <col min="12557" max="12557" width="6.26953125" style="6" bestFit="1" customWidth="1"/>
    <col min="12558" max="12558" width="7.26953125" style="6" bestFit="1" customWidth="1"/>
    <col min="12559" max="12559" width="16.7265625" style="6" customWidth="1"/>
    <col min="12560" max="12560" width="7.26953125" style="6" bestFit="1" customWidth="1"/>
    <col min="12561" max="12561" width="16.7265625" style="6" customWidth="1"/>
    <col min="12562" max="12805" width="9" style="6"/>
    <col min="12806" max="12806" width="16.26953125" style="6" customWidth="1"/>
    <col min="12807" max="12807" width="9" style="6"/>
    <col min="12808" max="12808" width="11.36328125" style="6" customWidth="1"/>
    <col min="12809" max="12810" width="9" style="6"/>
    <col min="12811" max="12811" width="23" style="6" bestFit="1" customWidth="1"/>
    <col min="12812" max="12812" width="10" style="6" customWidth="1"/>
    <col min="12813" max="12813" width="6.26953125" style="6" bestFit="1" customWidth="1"/>
    <col min="12814" max="12814" width="7.26953125" style="6" bestFit="1" customWidth="1"/>
    <col min="12815" max="12815" width="16.7265625" style="6" customWidth="1"/>
    <col min="12816" max="12816" width="7.26953125" style="6" bestFit="1" customWidth="1"/>
    <col min="12817" max="12817" width="16.7265625" style="6" customWidth="1"/>
    <col min="12818" max="13061" width="9" style="6"/>
    <col min="13062" max="13062" width="16.26953125" style="6" customWidth="1"/>
    <col min="13063" max="13063" width="9" style="6"/>
    <col min="13064" max="13064" width="11.36328125" style="6" customWidth="1"/>
    <col min="13065" max="13066" width="9" style="6"/>
    <col min="13067" max="13067" width="23" style="6" bestFit="1" customWidth="1"/>
    <col min="13068" max="13068" width="10" style="6" customWidth="1"/>
    <col min="13069" max="13069" width="6.26953125" style="6" bestFit="1" customWidth="1"/>
    <col min="13070" max="13070" width="7.26953125" style="6" bestFit="1" customWidth="1"/>
    <col min="13071" max="13071" width="16.7265625" style="6" customWidth="1"/>
    <col min="13072" max="13072" width="7.26953125" style="6" bestFit="1" customWidth="1"/>
    <col min="13073" max="13073" width="16.7265625" style="6" customWidth="1"/>
    <col min="13074" max="13317" width="9" style="6"/>
    <col min="13318" max="13318" width="16.26953125" style="6" customWidth="1"/>
    <col min="13319" max="13319" width="9" style="6"/>
    <col min="13320" max="13320" width="11.36328125" style="6" customWidth="1"/>
    <col min="13321" max="13322" width="9" style="6"/>
    <col min="13323" max="13323" width="23" style="6" bestFit="1" customWidth="1"/>
    <col min="13324" max="13324" width="10" style="6" customWidth="1"/>
    <col min="13325" max="13325" width="6.26953125" style="6" bestFit="1" customWidth="1"/>
    <col min="13326" max="13326" width="7.26953125" style="6" bestFit="1" customWidth="1"/>
    <col min="13327" max="13327" width="16.7265625" style="6" customWidth="1"/>
    <col min="13328" max="13328" width="7.26953125" style="6" bestFit="1" customWidth="1"/>
    <col min="13329" max="13329" width="16.7265625" style="6" customWidth="1"/>
    <col min="13330" max="13573" width="9" style="6"/>
    <col min="13574" max="13574" width="16.26953125" style="6" customWidth="1"/>
    <col min="13575" max="13575" width="9" style="6"/>
    <col min="13576" max="13576" width="11.36328125" style="6" customWidth="1"/>
    <col min="13577" max="13578" width="9" style="6"/>
    <col min="13579" max="13579" width="23" style="6" bestFit="1" customWidth="1"/>
    <col min="13580" max="13580" width="10" style="6" customWidth="1"/>
    <col min="13581" max="13581" width="6.26953125" style="6" bestFit="1" customWidth="1"/>
    <col min="13582" max="13582" width="7.26953125" style="6" bestFit="1" customWidth="1"/>
    <col min="13583" max="13583" width="16.7265625" style="6" customWidth="1"/>
    <col min="13584" max="13584" width="7.26953125" style="6" bestFit="1" customWidth="1"/>
    <col min="13585" max="13585" width="16.7265625" style="6" customWidth="1"/>
    <col min="13586" max="13829" width="9" style="6"/>
    <col min="13830" max="13830" width="16.26953125" style="6" customWidth="1"/>
    <col min="13831" max="13831" width="9" style="6"/>
    <col min="13832" max="13832" width="11.36328125" style="6" customWidth="1"/>
    <col min="13833" max="13834" width="9" style="6"/>
    <col min="13835" max="13835" width="23" style="6" bestFit="1" customWidth="1"/>
    <col min="13836" max="13836" width="10" style="6" customWidth="1"/>
    <col min="13837" max="13837" width="6.26953125" style="6" bestFit="1" customWidth="1"/>
    <col min="13838" max="13838" width="7.26953125" style="6" bestFit="1" customWidth="1"/>
    <col min="13839" max="13839" width="16.7265625" style="6" customWidth="1"/>
    <col min="13840" max="13840" width="7.26953125" style="6" bestFit="1" customWidth="1"/>
    <col min="13841" max="13841" width="16.7265625" style="6" customWidth="1"/>
    <col min="13842" max="14085" width="9" style="6"/>
    <col min="14086" max="14086" width="16.26953125" style="6" customWidth="1"/>
    <col min="14087" max="14087" width="9" style="6"/>
    <col min="14088" max="14088" width="11.36328125" style="6" customWidth="1"/>
    <col min="14089" max="14090" width="9" style="6"/>
    <col min="14091" max="14091" width="23" style="6" bestFit="1" customWidth="1"/>
    <col min="14092" max="14092" width="10" style="6" customWidth="1"/>
    <col min="14093" max="14093" width="6.26953125" style="6" bestFit="1" customWidth="1"/>
    <col min="14094" max="14094" width="7.26953125" style="6" bestFit="1" customWidth="1"/>
    <col min="14095" max="14095" width="16.7265625" style="6" customWidth="1"/>
    <col min="14096" max="14096" width="7.26953125" style="6" bestFit="1" customWidth="1"/>
    <col min="14097" max="14097" width="16.7265625" style="6" customWidth="1"/>
    <col min="14098" max="14341" width="9" style="6"/>
    <col min="14342" max="14342" width="16.26953125" style="6" customWidth="1"/>
    <col min="14343" max="14343" width="9" style="6"/>
    <col min="14344" max="14344" width="11.36328125" style="6" customWidth="1"/>
    <col min="14345" max="14346" width="9" style="6"/>
    <col min="14347" max="14347" width="23" style="6" bestFit="1" customWidth="1"/>
    <col min="14348" max="14348" width="10" style="6" customWidth="1"/>
    <col min="14349" max="14349" width="6.26953125" style="6" bestFit="1" customWidth="1"/>
    <col min="14350" max="14350" width="7.26953125" style="6" bestFit="1" customWidth="1"/>
    <col min="14351" max="14351" width="16.7265625" style="6" customWidth="1"/>
    <col min="14352" max="14352" width="7.26953125" style="6" bestFit="1" customWidth="1"/>
    <col min="14353" max="14353" width="16.7265625" style="6" customWidth="1"/>
    <col min="14354" max="14597" width="9" style="6"/>
    <col min="14598" max="14598" width="16.26953125" style="6" customWidth="1"/>
    <col min="14599" max="14599" width="9" style="6"/>
    <col min="14600" max="14600" width="11.36328125" style="6" customWidth="1"/>
    <col min="14601" max="14602" width="9" style="6"/>
    <col min="14603" max="14603" width="23" style="6" bestFit="1" customWidth="1"/>
    <col min="14604" max="14604" width="10" style="6" customWidth="1"/>
    <col min="14605" max="14605" width="6.26953125" style="6" bestFit="1" customWidth="1"/>
    <col min="14606" max="14606" width="7.26953125" style="6" bestFit="1" customWidth="1"/>
    <col min="14607" max="14607" width="16.7265625" style="6" customWidth="1"/>
    <col min="14608" max="14608" width="7.26953125" style="6" bestFit="1" customWidth="1"/>
    <col min="14609" max="14609" width="16.7265625" style="6" customWidth="1"/>
    <col min="14610" max="14853" width="9" style="6"/>
    <col min="14854" max="14854" width="16.26953125" style="6" customWidth="1"/>
    <col min="14855" max="14855" width="9" style="6"/>
    <col min="14856" max="14856" width="11.36328125" style="6" customWidth="1"/>
    <col min="14857" max="14858" width="9" style="6"/>
    <col min="14859" max="14859" width="23" style="6" bestFit="1" customWidth="1"/>
    <col min="14860" max="14860" width="10" style="6" customWidth="1"/>
    <col min="14861" max="14861" width="6.26953125" style="6" bestFit="1" customWidth="1"/>
    <col min="14862" max="14862" width="7.26953125" style="6" bestFit="1" customWidth="1"/>
    <col min="14863" max="14863" width="16.7265625" style="6" customWidth="1"/>
    <col min="14864" max="14864" width="7.26953125" style="6" bestFit="1" customWidth="1"/>
    <col min="14865" max="14865" width="16.7265625" style="6" customWidth="1"/>
    <col min="14866" max="15109" width="9" style="6"/>
    <col min="15110" max="15110" width="16.26953125" style="6" customWidth="1"/>
    <col min="15111" max="15111" width="9" style="6"/>
    <col min="15112" max="15112" width="11.36328125" style="6" customWidth="1"/>
    <col min="15113" max="15114" width="9" style="6"/>
    <col min="15115" max="15115" width="23" style="6" bestFit="1" customWidth="1"/>
    <col min="15116" max="15116" width="10" style="6" customWidth="1"/>
    <col min="15117" max="15117" width="6.26953125" style="6" bestFit="1" customWidth="1"/>
    <col min="15118" max="15118" width="7.26953125" style="6" bestFit="1" customWidth="1"/>
    <col min="15119" max="15119" width="16.7265625" style="6" customWidth="1"/>
    <col min="15120" max="15120" width="7.26953125" style="6" bestFit="1" customWidth="1"/>
    <col min="15121" max="15121" width="16.7265625" style="6" customWidth="1"/>
    <col min="15122" max="15365" width="9" style="6"/>
    <col min="15366" max="15366" width="16.26953125" style="6" customWidth="1"/>
    <col min="15367" max="15367" width="9" style="6"/>
    <col min="15368" max="15368" width="11.36328125" style="6" customWidth="1"/>
    <col min="15369" max="15370" width="9" style="6"/>
    <col min="15371" max="15371" width="23" style="6" bestFit="1" customWidth="1"/>
    <col min="15372" max="15372" width="10" style="6" customWidth="1"/>
    <col min="15373" max="15373" width="6.26953125" style="6" bestFit="1" customWidth="1"/>
    <col min="15374" max="15374" width="7.26953125" style="6" bestFit="1" customWidth="1"/>
    <col min="15375" max="15375" width="16.7265625" style="6" customWidth="1"/>
    <col min="15376" max="15376" width="7.26953125" style="6" bestFit="1" customWidth="1"/>
    <col min="15377" max="15377" width="16.7265625" style="6" customWidth="1"/>
    <col min="15378" max="15621" width="9" style="6"/>
    <col min="15622" max="15622" width="16.26953125" style="6" customWidth="1"/>
    <col min="15623" max="15623" width="9" style="6"/>
    <col min="15624" max="15624" width="11.36328125" style="6" customWidth="1"/>
    <col min="15625" max="15626" width="9" style="6"/>
    <col min="15627" max="15627" width="23" style="6" bestFit="1" customWidth="1"/>
    <col min="15628" max="15628" width="10" style="6" customWidth="1"/>
    <col min="15629" max="15629" width="6.26953125" style="6" bestFit="1" customWidth="1"/>
    <col min="15630" max="15630" width="7.26953125" style="6" bestFit="1" customWidth="1"/>
    <col min="15631" max="15631" width="16.7265625" style="6" customWidth="1"/>
    <col min="15632" max="15632" width="7.26953125" style="6" bestFit="1" customWidth="1"/>
    <col min="15633" max="15633" width="16.7265625" style="6" customWidth="1"/>
    <col min="15634" max="15877" width="9" style="6"/>
    <col min="15878" max="15878" width="16.26953125" style="6" customWidth="1"/>
    <col min="15879" max="15879" width="9" style="6"/>
    <col min="15880" max="15880" width="11.36328125" style="6" customWidth="1"/>
    <col min="15881" max="15882" width="9" style="6"/>
    <col min="15883" max="15883" width="23" style="6" bestFit="1" customWidth="1"/>
    <col min="15884" max="15884" width="10" style="6" customWidth="1"/>
    <col min="15885" max="15885" width="6.26953125" style="6" bestFit="1" customWidth="1"/>
    <col min="15886" max="15886" width="7.26953125" style="6" bestFit="1" customWidth="1"/>
    <col min="15887" max="15887" width="16.7265625" style="6" customWidth="1"/>
    <col min="15888" max="15888" width="7.26953125" style="6" bestFit="1" customWidth="1"/>
    <col min="15889" max="15889" width="16.7265625" style="6" customWidth="1"/>
    <col min="15890" max="16133" width="9" style="6"/>
    <col min="16134" max="16134" width="16.26953125" style="6" customWidth="1"/>
    <col min="16135" max="16135" width="9" style="6"/>
    <col min="16136" max="16136" width="11.36328125" style="6" customWidth="1"/>
    <col min="16137" max="16138" width="9" style="6"/>
    <col min="16139" max="16139" width="23" style="6" bestFit="1" customWidth="1"/>
    <col min="16140" max="16140" width="10" style="6" customWidth="1"/>
    <col min="16141" max="16141" width="6.26953125" style="6" bestFit="1" customWidth="1"/>
    <col min="16142" max="16142" width="7.26953125" style="6" bestFit="1" customWidth="1"/>
    <col min="16143" max="16143" width="16.7265625" style="6" customWidth="1"/>
    <col min="16144" max="16144" width="7.26953125" style="6" bestFit="1" customWidth="1"/>
    <col min="16145" max="16145" width="16.7265625" style="6" customWidth="1"/>
    <col min="16146" max="16384" width="9" style="6"/>
  </cols>
  <sheetData>
    <row r="1" spans="1:26" s="21" customFormat="1" ht="23.25" customHeight="1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108" t="str">
        <f>資訊清單資訊!B3 &amp;資訊清單資訊!B7 &amp;資訊清單資訊!B5</f>
        <v>石油與天然氣輸儲查核與檢測雲端平台文件類(DC)資訊資產風險評鑑</v>
      </c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</row>
    <row r="2" spans="1:26">
      <c r="M2" s="42" t="s">
        <v>9</v>
      </c>
      <c r="N2" s="130" t="str">
        <f>資訊清單資訊!B7</f>
        <v>文件類(DC)</v>
      </c>
      <c r="O2" s="131"/>
      <c r="P2" s="132"/>
      <c r="Q2" s="54"/>
      <c r="R2" s="34" t="s">
        <v>11</v>
      </c>
      <c r="S2" s="19">
        <f>IF(ISNA(VLOOKUP($N$3,ALL_LIST,16,FALSE)), "",VLOOKUP($N$3,ALL_LIST,16,FALSE))</f>
        <v>2</v>
      </c>
    </row>
    <row r="3" spans="1:26" ht="31.75" customHeight="1">
      <c r="M3" s="45" t="s">
        <v>5</v>
      </c>
      <c r="N3" s="133" t="s">
        <v>158</v>
      </c>
      <c r="O3" s="134"/>
      <c r="P3" s="135"/>
      <c r="R3" s="33" t="s">
        <v>72</v>
      </c>
      <c r="S3" s="20">
        <f>IF(ISNA(VLOOKUP($N$3,ALL_LIST,8,FALSE)), "",VLOOKUP($N$3,ALL_LIST,8,FALSE))</f>
        <v>2</v>
      </c>
    </row>
    <row r="4" spans="1:26">
      <c r="M4" s="43" t="s">
        <v>10</v>
      </c>
      <c r="N4" s="136" t="str">
        <f>IF(ISNA(VLOOKUP($N$3,ALL_LIST,3,FALSE)), "",VLOOKUP($N$3,ALL_LIST,3,FALSE))</f>
        <v>契約書影本</v>
      </c>
      <c r="O4" s="137"/>
      <c r="P4" s="138"/>
      <c r="Q4" s="54"/>
      <c r="R4" s="33" t="s">
        <v>73</v>
      </c>
      <c r="S4" s="20">
        <f>IF(ISNA(VLOOKUP($N$3,ALL_LIST,10,FALSE)), "",VLOOKUP($N$3,ALL_LIST,10,FALSE))</f>
        <v>2</v>
      </c>
    </row>
    <row r="5" spans="1:26">
      <c r="M5" s="42" t="s">
        <v>6</v>
      </c>
      <c r="N5" s="139" t="str">
        <f>IF(ISNA(VLOOKUP($N$3,ALL_LIST,17,FALSE)), "",VLOOKUP($N$3,ALL_LIST,17,FALSE))</f>
        <v>賴斐瓔 </v>
      </c>
      <c r="O5" s="140"/>
      <c r="P5" s="141"/>
      <c r="Q5" s="54"/>
      <c r="R5" s="33" t="s">
        <v>74</v>
      </c>
      <c r="S5" s="20">
        <f>IF(ISNA(VLOOKUP($N$3,ALL_LIST,12,FALSE)), " ",VLOOKUP($N$3,ALL_LIST,12,FALSE))</f>
        <v>2</v>
      </c>
    </row>
    <row r="6" spans="1:26">
      <c r="M6" s="44" t="s">
        <v>7</v>
      </c>
      <c r="N6" s="142" t="s">
        <v>174</v>
      </c>
      <c r="O6" s="143"/>
      <c r="P6" s="144"/>
      <c r="R6" s="33" t="s">
        <v>75</v>
      </c>
      <c r="S6" s="20" t="str">
        <f>IF(ISNA(VLOOKUP($N$3,ALL_LIST,14,FALSE)), "",VLOOKUP($N$3,ALL_LIST,14,FALSE))</f>
        <v>NA</v>
      </c>
    </row>
    <row r="7" spans="1:26">
      <c r="M7" s="44" t="s">
        <v>8</v>
      </c>
      <c r="N7" s="121" t="s">
        <v>168</v>
      </c>
      <c r="O7" s="122"/>
      <c r="P7" s="123"/>
      <c r="Q7" s="54"/>
      <c r="R7" s="35" t="s">
        <v>12</v>
      </c>
      <c r="S7" s="26">
        <f>MAX(Y11:Y25)</f>
        <v>6</v>
      </c>
    </row>
    <row r="10" spans="1:26" s="22" customFormat="1" ht="16">
      <c r="A10" s="36" t="s">
        <v>13</v>
      </c>
      <c r="B10" s="36" t="s">
        <v>2</v>
      </c>
      <c r="C10" s="36" t="s">
        <v>15</v>
      </c>
      <c r="D10" s="36" t="s">
        <v>16</v>
      </c>
      <c r="E10" s="36" t="s">
        <v>3</v>
      </c>
      <c r="F10" s="36" t="s">
        <v>17</v>
      </c>
      <c r="G10" s="37" t="s">
        <v>18</v>
      </c>
      <c r="H10" s="37" t="s">
        <v>19</v>
      </c>
      <c r="I10" s="37" t="s">
        <v>20</v>
      </c>
      <c r="J10" s="37" t="s">
        <v>21</v>
      </c>
      <c r="K10" s="38" t="s">
        <v>22</v>
      </c>
      <c r="L10" s="39" t="s">
        <v>31</v>
      </c>
      <c r="M10" s="146" t="s">
        <v>23</v>
      </c>
      <c r="N10" s="147"/>
      <c r="O10" s="148"/>
      <c r="P10" s="146" t="s">
        <v>4</v>
      </c>
      <c r="Q10" s="147"/>
      <c r="R10" s="147"/>
      <c r="S10" s="148"/>
      <c r="T10" s="32" t="s">
        <v>24</v>
      </c>
      <c r="U10" s="32" t="s">
        <v>25</v>
      </c>
      <c r="V10" s="32" t="s">
        <v>26</v>
      </c>
      <c r="W10" s="32" t="s">
        <v>27</v>
      </c>
      <c r="X10" s="32" t="s">
        <v>26</v>
      </c>
      <c r="Y10" s="32" t="s">
        <v>28</v>
      </c>
      <c r="Z10" s="32" t="s">
        <v>29</v>
      </c>
    </row>
    <row r="11" spans="1:26" ht="31">
      <c r="A11" s="55" t="str">
        <f>$N$3</f>
        <v>材1-1-DC-02</v>
      </c>
      <c r="B11" s="56">
        <f t="shared" ref="B11:B25" si="0">VLOOKUP($N$3,ALL_LIST,2,FALSE)</f>
        <v>0</v>
      </c>
      <c r="C11" s="56" t="str">
        <f t="shared" ref="C11:C25" si="1">VLOOKUP($N$3,ALL_LIST,3,FALSE)</f>
        <v>契約書影本</v>
      </c>
      <c r="D11" s="56" t="str">
        <f t="shared" ref="D11:D25" si="2">VLOOKUP($N$3,ALL_LIST,4,FALSE)</f>
        <v>契約書影本</v>
      </c>
      <c r="E11" s="56">
        <f t="shared" ref="E11:E25" si="3">VLOOKUP($N$3,ALL_LIST,6,FALSE)</f>
        <v>1</v>
      </c>
      <c r="F11" s="56" t="str">
        <f t="shared" ref="F11:F25" si="4">VLOOKUP($N$3,ALL_LIST,7,FALSE)</f>
        <v>吳榮正</v>
      </c>
      <c r="G11" s="56">
        <f t="shared" ref="G11:G25" si="5">VLOOKUP($N$3,ALL_LIST,8,FALSE)</f>
        <v>2</v>
      </c>
      <c r="H11" s="56">
        <f t="shared" ref="H11:H25" si="6">VLOOKUP($N$3,ALL_LIST,10,FALSE)</f>
        <v>2</v>
      </c>
      <c r="I11" s="56">
        <f t="shared" ref="I11:I25" si="7">VLOOKUP($N$3,ALL_LIST,12,FALSE)</f>
        <v>2</v>
      </c>
      <c r="J11" s="56" t="str">
        <f t="shared" ref="J11:J25" si="8">VLOOKUP($N$3,ALL_LIST,14,FALSE)</f>
        <v>NA</v>
      </c>
      <c r="K11" s="57">
        <f t="shared" ref="K11:K25" si="9">VLOOKUP($N$3,ALL_LIST,16,FALSE)</f>
        <v>2</v>
      </c>
      <c r="L11" s="57">
        <f t="shared" ref="L11:L25" si="10">$S$7</f>
        <v>6</v>
      </c>
      <c r="M11" s="124" t="s">
        <v>127</v>
      </c>
      <c r="N11" s="124"/>
      <c r="O11" s="124"/>
      <c r="P11" s="116" t="s">
        <v>110</v>
      </c>
      <c r="Q11" s="110"/>
      <c r="R11" s="110"/>
      <c r="S11" s="110"/>
      <c r="T11" s="58" t="s">
        <v>111</v>
      </c>
      <c r="U11" s="58">
        <v>1</v>
      </c>
      <c r="V11" s="69" t="s">
        <v>166</v>
      </c>
      <c r="W11" s="58">
        <v>3</v>
      </c>
      <c r="X11" s="158" t="s">
        <v>167</v>
      </c>
      <c r="Y11" s="59">
        <f>IF((T11="N"),"不適用",IF(COUNTA(U11,W11)&lt;2,"評鑑中",$S$2*U11*W11))</f>
        <v>6</v>
      </c>
      <c r="Z11" s="63"/>
    </row>
    <row r="12" spans="1:26" ht="31">
      <c r="A12" s="55" t="str">
        <f t="shared" ref="A12:A25" si="11">$N$3</f>
        <v>材1-1-DC-02</v>
      </c>
      <c r="B12" s="56">
        <f t="shared" si="0"/>
        <v>0</v>
      </c>
      <c r="C12" s="56" t="str">
        <f t="shared" si="1"/>
        <v>契約書影本</v>
      </c>
      <c r="D12" s="56" t="str">
        <f t="shared" si="2"/>
        <v>契約書影本</v>
      </c>
      <c r="E12" s="56">
        <f t="shared" si="3"/>
        <v>1</v>
      </c>
      <c r="F12" s="56" t="str">
        <f t="shared" si="4"/>
        <v>吳榮正</v>
      </c>
      <c r="G12" s="56">
        <f t="shared" si="5"/>
        <v>2</v>
      </c>
      <c r="H12" s="56">
        <f t="shared" si="6"/>
        <v>2</v>
      </c>
      <c r="I12" s="56">
        <f t="shared" si="7"/>
        <v>2</v>
      </c>
      <c r="J12" s="56" t="str">
        <f t="shared" si="8"/>
        <v>NA</v>
      </c>
      <c r="K12" s="57">
        <f t="shared" si="9"/>
        <v>2</v>
      </c>
      <c r="L12" s="57">
        <f t="shared" si="10"/>
        <v>6</v>
      </c>
      <c r="M12" s="125" t="s">
        <v>112</v>
      </c>
      <c r="N12" s="126"/>
      <c r="O12" s="127"/>
      <c r="P12" s="128" t="s">
        <v>113</v>
      </c>
      <c r="Q12" s="129"/>
      <c r="R12" s="129"/>
      <c r="S12" s="129"/>
      <c r="T12" s="58" t="s">
        <v>111</v>
      </c>
      <c r="U12" s="58">
        <v>1</v>
      </c>
      <c r="V12" s="69" t="s">
        <v>166</v>
      </c>
      <c r="W12" s="58">
        <v>3</v>
      </c>
      <c r="X12" s="58"/>
      <c r="Y12" s="59">
        <f t="shared" ref="Y12:Y25" si="12">IF((T12="N"),"不適用",IF(COUNTA(U12,W12)&lt;2,"評鑑中",$S$2*U12*W12))</f>
        <v>6</v>
      </c>
      <c r="Z12" s="63"/>
    </row>
    <row r="13" spans="1:26" ht="31">
      <c r="A13" s="55" t="str">
        <f t="shared" si="11"/>
        <v>材1-1-DC-02</v>
      </c>
      <c r="B13" s="56">
        <f t="shared" si="0"/>
        <v>0</v>
      </c>
      <c r="C13" s="56" t="str">
        <f t="shared" si="1"/>
        <v>契約書影本</v>
      </c>
      <c r="D13" s="56" t="str">
        <f t="shared" si="2"/>
        <v>契約書影本</v>
      </c>
      <c r="E13" s="56">
        <f t="shared" si="3"/>
        <v>1</v>
      </c>
      <c r="F13" s="56" t="str">
        <f t="shared" si="4"/>
        <v>吳榮正</v>
      </c>
      <c r="G13" s="56">
        <f t="shared" si="5"/>
        <v>2</v>
      </c>
      <c r="H13" s="56">
        <f t="shared" si="6"/>
        <v>2</v>
      </c>
      <c r="I13" s="56">
        <f t="shared" si="7"/>
        <v>2</v>
      </c>
      <c r="J13" s="56" t="str">
        <f t="shared" si="8"/>
        <v>NA</v>
      </c>
      <c r="K13" s="57">
        <f t="shared" si="9"/>
        <v>2</v>
      </c>
      <c r="L13" s="57">
        <f t="shared" si="10"/>
        <v>6</v>
      </c>
      <c r="M13" s="125" t="s">
        <v>112</v>
      </c>
      <c r="N13" s="126"/>
      <c r="O13" s="127"/>
      <c r="P13" s="116" t="s">
        <v>114</v>
      </c>
      <c r="Q13" s="110"/>
      <c r="R13" s="110"/>
      <c r="S13" s="110"/>
      <c r="T13" s="58" t="s">
        <v>115</v>
      </c>
      <c r="U13" s="58">
        <v>1</v>
      </c>
      <c r="V13" s="69" t="s">
        <v>166</v>
      </c>
      <c r="W13" s="58">
        <v>3</v>
      </c>
      <c r="X13" s="58"/>
      <c r="Y13" s="59">
        <f t="shared" si="12"/>
        <v>6</v>
      </c>
      <c r="Z13" s="63"/>
    </row>
    <row r="14" spans="1:26" ht="31">
      <c r="A14" s="55" t="str">
        <f t="shared" si="11"/>
        <v>材1-1-DC-02</v>
      </c>
      <c r="B14" s="56">
        <f t="shared" si="0"/>
        <v>0</v>
      </c>
      <c r="C14" s="56" t="str">
        <f t="shared" si="1"/>
        <v>契約書影本</v>
      </c>
      <c r="D14" s="56" t="str">
        <f t="shared" si="2"/>
        <v>契約書影本</v>
      </c>
      <c r="E14" s="56">
        <f t="shared" si="3"/>
        <v>1</v>
      </c>
      <c r="F14" s="56" t="str">
        <f t="shared" si="4"/>
        <v>吳榮正</v>
      </c>
      <c r="G14" s="56">
        <f t="shared" si="5"/>
        <v>2</v>
      </c>
      <c r="H14" s="56">
        <f t="shared" si="6"/>
        <v>2</v>
      </c>
      <c r="I14" s="56">
        <f t="shared" si="7"/>
        <v>2</v>
      </c>
      <c r="J14" s="56" t="str">
        <f t="shared" si="8"/>
        <v>NA</v>
      </c>
      <c r="K14" s="57">
        <f t="shared" si="9"/>
        <v>2</v>
      </c>
      <c r="L14" s="57">
        <f t="shared" si="10"/>
        <v>6</v>
      </c>
      <c r="M14" s="125" t="s">
        <v>112</v>
      </c>
      <c r="N14" s="126"/>
      <c r="O14" s="127"/>
      <c r="P14" s="128" t="s">
        <v>116</v>
      </c>
      <c r="Q14" s="129"/>
      <c r="R14" s="129"/>
      <c r="S14" s="129"/>
      <c r="T14" s="58" t="s">
        <v>115</v>
      </c>
      <c r="U14" s="58">
        <v>1</v>
      </c>
      <c r="V14" s="69" t="s">
        <v>166</v>
      </c>
      <c r="W14" s="58">
        <v>3</v>
      </c>
      <c r="X14" s="58"/>
      <c r="Y14" s="59">
        <f t="shared" si="12"/>
        <v>6</v>
      </c>
      <c r="Z14" s="63"/>
    </row>
    <row r="15" spans="1:26" ht="31">
      <c r="A15" s="55" t="str">
        <f t="shared" si="11"/>
        <v>材1-1-DC-02</v>
      </c>
      <c r="B15" s="56">
        <f t="shared" si="0"/>
        <v>0</v>
      </c>
      <c r="C15" s="56" t="str">
        <f t="shared" si="1"/>
        <v>契約書影本</v>
      </c>
      <c r="D15" s="56" t="str">
        <f t="shared" si="2"/>
        <v>契約書影本</v>
      </c>
      <c r="E15" s="56">
        <f t="shared" si="3"/>
        <v>1</v>
      </c>
      <c r="F15" s="56" t="str">
        <f t="shared" si="4"/>
        <v>吳榮正</v>
      </c>
      <c r="G15" s="56">
        <f t="shared" si="5"/>
        <v>2</v>
      </c>
      <c r="H15" s="56">
        <f t="shared" si="6"/>
        <v>2</v>
      </c>
      <c r="I15" s="56">
        <f t="shared" si="7"/>
        <v>2</v>
      </c>
      <c r="J15" s="56" t="str">
        <f t="shared" si="8"/>
        <v>NA</v>
      </c>
      <c r="K15" s="57">
        <f t="shared" si="9"/>
        <v>2</v>
      </c>
      <c r="L15" s="57">
        <f t="shared" si="10"/>
        <v>6</v>
      </c>
      <c r="M15" s="125" t="s">
        <v>112</v>
      </c>
      <c r="N15" s="126"/>
      <c r="O15" s="127"/>
      <c r="P15" s="149" t="s">
        <v>117</v>
      </c>
      <c r="Q15" s="150"/>
      <c r="R15" s="150"/>
      <c r="S15" s="150"/>
      <c r="T15" s="58" t="s">
        <v>115</v>
      </c>
      <c r="U15" s="58">
        <v>1</v>
      </c>
      <c r="V15" s="69" t="s">
        <v>166</v>
      </c>
      <c r="W15" s="58">
        <v>3</v>
      </c>
      <c r="X15" s="58"/>
      <c r="Y15" s="59">
        <f t="shared" si="12"/>
        <v>6</v>
      </c>
      <c r="Z15" s="63"/>
    </row>
    <row r="16" spans="1:26" ht="31">
      <c r="A16" s="55" t="str">
        <f t="shared" si="11"/>
        <v>材1-1-DC-02</v>
      </c>
      <c r="B16" s="56">
        <f t="shared" si="0"/>
        <v>0</v>
      </c>
      <c r="C16" s="56" t="str">
        <f t="shared" si="1"/>
        <v>契約書影本</v>
      </c>
      <c r="D16" s="56" t="str">
        <f t="shared" si="2"/>
        <v>契約書影本</v>
      </c>
      <c r="E16" s="56">
        <f t="shared" si="3"/>
        <v>1</v>
      </c>
      <c r="F16" s="56" t="str">
        <f t="shared" si="4"/>
        <v>吳榮正</v>
      </c>
      <c r="G16" s="56">
        <f t="shared" si="5"/>
        <v>2</v>
      </c>
      <c r="H16" s="56">
        <f t="shared" si="6"/>
        <v>2</v>
      </c>
      <c r="I16" s="56">
        <f t="shared" si="7"/>
        <v>2</v>
      </c>
      <c r="J16" s="56" t="str">
        <f t="shared" si="8"/>
        <v>NA</v>
      </c>
      <c r="K16" s="57">
        <f t="shared" si="9"/>
        <v>2</v>
      </c>
      <c r="L16" s="57">
        <f t="shared" si="10"/>
        <v>6</v>
      </c>
      <c r="M16" s="151" t="s">
        <v>112</v>
      </c>
      <c r="N16" s="152"/>
      <c r="O16" s="153"/>
      <c r="P16" s="116" t="s">
        <v>118</v>
      </c>
      <c r="Q16" s="110"/>
      <c r="R16" s="110"/>
      <c r="S16" s="110"/>
      <c r="T16" s="58" t="s">
        <v>115</v>
      </c>
      <c r="U16" s="58">
        <v>1</v>
      </c>
      <c r="V16" s="63" t="s">
        <v>163</v>
      </c>
      <c r="W16" s="58">
        <v>1</v>
      </c>
      <c r="X16" s="58"/>
      <c r="Y16" s="59">
        <f t="shared" si="12"/>
        <v>2</v>
      </c>
      <c r="Z16" s="63"/>
    </row>
    <row r="17" spans="1:26" ht="31">
      <c r="A17" s="55" t="str">
        <f t="shared" si="11"/>
        <v>材1-1-DC-02</v>
      </c>
      <c r="B17" s="56">
        <f t="shared" si="0"/>
        <v>0</v>
      </c>
      <c r="C17" s="56" t="str">
        <f t="shared" si="1"/>
        <v>契約書影本</v>
      </c>
      <c r="D17" s="56" t="str">
        <f t="shared" si="2"/>
        <v>契約書影本</v>
      </c>
      <c r="E17" s="56">
        <f t="shared" si="3"/>
        <v>1</v>
      </c>
      <c r="F17" s="56" t="str">
        <f t="shared" si="4"/>
        <v>吳榮正</v>
      </c>
      <c r="G17" s="56">
        <f t="shared" si="5"/>
        <v>2</v>
      </c>
      <c r="H17" s="56">
        <f t="shared" si="6"/>
        <v>2</v>
      </c>
      <c r="I17" s="56">
        <f t="shared" si="7"/>
        <v>2</v>
      </c>
      <c r="J17" s="56" t="str">
        <f t="shared" si="8"/>
        <v>NA</v>
      </c>
      <c r="K17" s="57">
        <f t="shared" si="9"/>
        <v>2</v>
      </c>
      <c r="L17" s="57">
        <f t="shared" si="10"/>
        <v>6</v>
      </c>
      <c r="M17" s="109" t="s">
        <v>128</v>
      </c>
      <c r="N17" s="109"/>
      <c r="O17" s="109"/>
      <c r="P17" s="110" t="s">
        <v>118</v>
      </c>
      <c r="Q17" s="110"/>
      <c r="R17" s="110"/>
      <c r="S17" s="110"/>
      <c r="T17" s="58" t="s">
        <v>115</v>
      </c>
      <c r="U17" s="58">
        <v>1</v>
      </c>
      <c r="V17" s="63" t="s">
        <v>163</v>
      </c>
      <c r="W17" s="58">
        <v>1</v>
      </c>
      <c r="X17" s="63"/>
      <c r="Y17" s="59">
        <f t="shared" si="12"/>
        <v>2</v>
      </c>
      <c r="Z17" s="63"/>
    </row>
    <row r="18" spans="1:26" ht="31">
      <c r="A18" s="55" t="str">
        <f t="shared" si="11"/>
        <v>材1-1-DC-02</v>
      </c>
      <c r="B18" s="56">
        <f t="shared" si="0"/>
        <v>0</v>
      </c>
      <c r="C18" s="56" t="str">
        <f t="shared" si="1"/>
        <v>契約書影本</v>
      </c>
      <c r="D18" s="56" t="str">
        <f t="shared" si="2"/>
        <v>契約書影本</v>
      </c>
      <c r="E18" s="56">
        <f t="shared" si="3"/>
        <v>1</v>
      </c>
      <c r="F18" s="56" t="str">
        <f t="shared" si="4"/>
        <v>吳榮正</v>
      </c>
      <c r="G18" s="56">
        <f t="shared" si="5"/>
        <v>2</v>
      </c>
      <c r="H18" s="56">
        <f t="shared" si="6"/>
        <v>2</v>
      </c>
      <c r="I18" s="56">
        <f t="shared" si="7"/>
        <v>2</v>
      </c>
      <c r="J18" s="56" t="str">
        <f t="shared" si="8"/>
        <v>NA</v>
      </c>
      <c r="K18" s="57">
        <f t="shared" si="9"/>
        <v>2</v>
      </c>
      <c r="L18" s="57">
        <f t="shared" si="10"/>
        <v>6</v>
      </c>
      <c r="M18" s="120" t="s">
        <v>129</v>
      </c>
      <c r="N18" s="120"/>
      <c r="O18" s="120"/>
      <c r="P18" s="110" t="s">
        <v>118</v>
      </c>
      <c r="Q18" s="110"/>
      <c r="R18" s="110"/>
      <c r="S18" s="110"/>
      <c r="T18" s="58" t="s">
        <v>115</v>
      </c>
      <c r="U18" s="58">
        <v>1</v>
      </c>
      <c r="V18" s="63" t="s">
        <v>163</v>
      </c>
      <c r="W18" s="58">
        <v>1</v>
      </c>
      <c r="X18" s="63"/>
      <c r="Y18" s="59">
        <f t="shared" si="12"/>
        <v>2</v>
      </c>
      <c r="Z18" s="63"/>
    </row>
    <row r="19" spans="1:26" ht="31">
      <c r="A19" s="55" t="str">
        <f t="shared" si="11"/>
        <v>材1-1-DC-02</v>
      </c>
      <c r="B19" s="56">
        <f t="shared" si="0"/>
        <v>0</v>
      </c>
      <c r="C19" s="56" t="str">
        <f t="shared" si="1"/>
        <v>契約書影本</v>
      </c>
      <c r="D19" s="56" t="str">
        <f t="shared" si="2"/>
        <v>契約書影本</v>
      </c>
      <c r="E19" s="56">
        <f t="shared" si="3"/>
        <v>1</v>
      </c>
      <c r="F19" s="56" t="str">
        <f t="shared" si="4"/>
        <v>吳榮正</v>
      </c>
      <c r="G19" s="56">
        <f t="shared" si="5"/>
        <v>2</v>
      </c>
      <c r="H19" s="56">
        <f t="shared" si="6"/>
        <v>2</v>
      </c>
      <c r="I19" s="56">
        <f t="shared" si="7"/>
        <v>2</v>
      </c>
      <c r="J19" s="56" t="str">
        <f t="shared" si="8"/>
        <v>NA</v>
      </c>
      <c r="K19" s="57">
        <f t="shared" si="9"/>
        <v>2</v>
      </c>
      <c r="L19" s="57">
        <f t="shared" si="10"/>
        <v>6</v>
      </c>
      <c r="M19" s="120" t="s">
        <v>130</v>
      </c>
      <c r="N19" s="120"/>
      <c r="O19" s="120"/>
      <c r="P19" s="120" t="s">
        <v>119</v>
      </c>
      <c r="Q19" s="120"/>
      <c r="R19" s="120"/>
      <c r="S19" s="120"/>
      <c r="T19" s="58" t="s">
        <v>115</v>
      </c>
      <c r="U19" s="58">
        <v>1</v>
      </c>
      <c r="V19" s="69" t="s">
        <v>166</v>
      </c>
      <c r="W19" s="58">
        <v>1</v>
      </c>
      <c r="X19" s="63"/>
      <c r="Y19" s="59">
        <f t="shared" si="12"/>
        <v>2</v>
      </c>
      <c r="Z19" s="63"/>
    </row>
    <row r="20" spans="1:26" ht="31">
      <c r="A20" s="55" t="str">
        <f t="shared" si="11"/>
        <v>材1-1-DC-02</v>
      </c>
      <c r="B20" s="56">
        <f t="shared" si="0"/>
        <v>0</v>
      </c>
      <c r="C20" s="56" t="str">
        <f t="shared" si="1"/>
        <v>契約書影本</v>
      </c>
      <c r="D20" s="56" t="str">
        <f t="shared" si="2"/>
        <v>契約書影本</v>
      </c>
      <c r="E20" s="56">
        <f t="shared" si="3"/>
        <v>1</v>
      </c>
      <c r="F20" s="56" t="str">
        <f t="shared" si="4"/>
        <v>吳榮正</v>
      </c>
      <c r="G20" s="56">
        <f t="shared" si="5"/>
        <v>2</v>
      </c>
      <c r="H20" s="56">
        <f t="shared" si="6"/>
        <v>2</v>
      </c>
      <c r="I20" s="56">
        <f t="shared" si="7"/>
        <v>2</v>
      </c>
      <c r="J20" s="56" t="str">
        <f t="shared" si="8"/>
        <v>NA</v>
      </c>
      <c r="K20" s="57">
        <f t="shared" si="9"/>
        <v>2</v>
      </c>
      <c r="L20" s="57">
        <f t="shared" si="10"/>
        <v>6</v>
      </c>
      <c r="M20" s="112" t="s">
        <v>131</v>
      </c>
      <c r="N20" s="112"/>
      <c r="O20" s="112"/>
      <c r="P20" s="110" t="s">
        <v>120</v>
      </c>
      <c r="Q20" s="110"/>
      <c r="R20" s="110"/>
      <c r="S20" s="110"/>
      <c r="T20" s="58" t="s">
        <v>115</v>
      </c>
      <c r="U20" s="58">
        <v>1</v>
      </c>
      <c r="V20" s="69" t="s">
        <v>166</v>
      </c>
      <c r="W20" s="58">
        <v>3</v>
      </c>
      <c r="X20" s="58"/>
      <c r="Y20" s="59">
        <f>IF((T20="N"),"不適用",IF(COUNTA(U20,W20)&lt;2,"評鑑中",$S$2*U20*W20))</f>
        <v>6</v>
      </c>
      <c r="Z20" s="63"/>
    </row>
    <row r="21" spans="1:26" ht="31">
      <c r="A21" s="55" t="str">
        <f t="shared" si="11"/>
        <v>材1-1-DC-02</v>
      </c>
      <c r="B21" s="56">
        <f t="shared" si="0"/>
        <v>0</v>
      </c>
      <c r="C21" s="56" t="str">
        <f t="shared" si="1"/>
        <v>契約書影本</v>
      </c>
      <c r="D21" s="56" t="str">
        <f t="shared" si="2"/>
        <v>契約書影本</v>
      </c>
      <c r="E21" s="56">
        <f t="shared" si="3"/>
        <v>1</v>
      </c>
      <c r="F21" s="56" t="str">
        <f t="shared" si="4"/>
        <v>吳榮正</v>
      </c>
      <c r="G21" s="56">
        <f t="shared" si="5"/>
        <v>2</v>
      </c>
      <c r="H21" s="56">
        <f t="shared" si="6"/>
        <v>2</v>
      </c>
      <c r="I21" s="56">
        <f t="shared" si="7"/>
        <v>2</v>
      </c>
      <c r="J21" s="56" t="str">
        <f t="shared" si="8"/>
        <v>NA</v>
      </c>
      <c r="K21" s="57">
        <f t="shared" si="9"/>
        <v>2</v>
      </c>
      <c r="L21" s="57">
        <f t="shared" si="10"/>
        <v>6</v>
      </c>
      <c r="M21" s="113" t="s">
        <v>132</v>
      </c>
      <c r="N21" s="114"/>
      <c r="O21" s="115"/>
      <c r="P21" s="116" t="s">
        <v>121</v>
      </c>
      <c r="Q21" s="110"/>
      <c r="R21" s="110"/>
      <c r="S21" s="110"/>
      <c r="T21" s="58" t="s">
        <v>115</v>
      </c>
      <c r="U21" s="58">
        <v>1</v>
      </c>
      <c r="V21" s="69" t="s">
        <v>166</v>
      </c>
      <c r="W21" s="58">
        <v>3</v>
      </c>
      <c r="X21" s="58"/>
      <c r="Y21" s="59">
        <f t="shared" si="12"/>
        <v>6</v>
      </c>
      <c r="Z21" s="63"/>
    </row>
    <row r="22" spans="1:26" ht="46.5">
      <c r="A22" s="55" t="str">
        <f t="shared" si="11"/>
        <v>材1-1-DC-02</v>
      </c>
      <c r="B22" s="56">
        <f t="shared" si="0"/>
        <v>0</v>
      </c>
      <c r="C22" s="56" t="str">
        <f t="shared" si="1"/>
        <v>契約書影本</v>
      </c>
      <c r="D22" s="56" t="str">
        <f t="shared" si="2"/>
        <v>契約書影本</v>
      </c>
      <c r="E22" s="56">
        <f t="shared" si="3"/>
        <v>1</v>
      </c>
      <c r="F22" s="56" t="str">
        <f t="shared" si="4"/>
        <v>吳榮正</v>
      </c>
      <c r="G22" s="56">
        <f t="shared" si="5"/>
        <v>2</v>
      </c>
      <c r="H22" s="56">
        <f t="shared" si="6"/>
        <v>2</v>
      </c>
      <c r="I22" s="56">
        <f t="shared" si="7"/>
        <v>2</v>
      </c>
      <c r="J22" s="56" t="str">
        <f t="shared" si="8"/>
        <v>NA</v>
      </c>
      <c r="K22" s="57">
        <f t="shared" si="9"/>
        <v>2</v>
      </c>
      <c r="L22" s="57">
        <f t="shared" si="10"/>
        <v>6</v>
      </c>
      <c r="M22" s="117" t="s">
        <v>122</v>
      </c>
      <c r="N22" s="118"/>
      <c r="O22" s="119"/>
      <c r="P22" s="116" t="s">
        <v>123</v>
      </c>
      <c r="Q22" s="110"/>
      <c r="R22" s="110"/>
      <c r="S22" s="110"/>
      <c r="T22" s="58" t="s">
        <v>115</v>
      </c>
      <c r="U22" s="58">
        <v>1</v>
      </c>
      <c r="V22" s="69" t="s">
        <v>165</v>
      </c>
      <c r="W22" s="58">
        <v>3</v>
      </c>
      <c r="X22" s="58"/>
      <c r="Y22" s="59">
        <f t="shared" si="12"/>
        <v>6</v>
      </c>
      <c r="Z22" s="63"/>
    </row>
    <row r="23" spans="1:26" ht="31">
      <c r="A23" s="55" t="str">
        <f t="shared" si="11"/>
        <v>材1-1-DC-02</v>
      </c>
      <c r="B23" s="56">
        <f t="shared" si="0"/>
        <v>0</v>
      </c>
      <c r="C23" s="56" t="str">
        <f t="shared" si="1"/>
        <v>契約書影本</v>
      </c>
      <c r="D23" s="56" t="str">
        <f t="shared" si="2"/>
        <v>契約書影本</v>
      </c>
      <c r="E23" s="56">
        <f t="shared" si="3"/>
        <v>1</v>
      </c>
      <c r="F23" s="56" t="str">
        <f t="shared" si="4"/>
        <v>吳榮正</v>
      </c>
      <c r="G23" s="56">
        <f t="shared" si="5"/>
        <v>2</v>
      </c>
      <c r="H23" s="56">
        <f t="shared" si="6"/>
        <v>2</v>
      </c>
      <c r="I23" s="56">
        <f t="shared" si="7"/>
        <v>2</v>
      </c>
      <c r="J23" s="56" t="str">
        <f t="shared" si="8"/>
        <v>NA</v>
      </c>
      <c r="K23" s="57">
        <f t="shared" si="9"/>
        <v>2</v>
      </c>
      <c r="L23" s="57">
        <f t="shared" si="10"/>
        <v>6</v>
      </c>
      <c r="M23" s="109" t="s">
        <v>133</v>
      </c>
      <c r="N23" s="109"/>
      <c r="O23" s="109"/>
      <c r="P23" s="110" t="s">
        <v>124</v>
      </c>
      <c r="Q23" s="110"/>
      <c r="R23" s="110"/>
      <c r="S23" s="110"/>
      <c r="T23" s="58" t="s">
        <v>115</v>
      </c>
      <c r="U23" s="58">
        <v>1</v>
      </c>
      <c r="V23" s="69" t="s">
        <v>166</v>
      </c>
      <c r="W23" s="58">
        <v>1</v>
      </c>
      <c r="X23" s="58"/>
      <c r="Y23" s="59">
        <f t="shared" si="12"/>
        <v>2</v>
      </c>
      <c r="Z23" s="63"/>
    </row>
    <row r="24" spans="1:26" ht="31">
      <c r="A24" s="55" t="str">
        <f t="shared" si="11"/>
        <v>材1-1-DC-02</v>
      </c>
      <c r="B24" s="56">
        <f t="shared" ref="B24" si="13">VLOOKUP($N$3,ALL_LIST,2,FALSE)</f>
        <v>0</v>
      </c>
      <c r="C24" s="56" t="str">
        <f t="shared" ref="C24" si="14">VLOOKUP($N$3,ALL_LIST,3,FALSE)</f>
        <v>契約書影本</v>
      </c>
      <c r="D24" s="56" t="str">
        <f t="shared" ref="D24" si="15">VLOOKUP($N$3,ALL_LIST,4,FALSE)</f>
        <v>契約書影本</v>
      </c>
      <c r="E24" s="56">
        <f t="shared" ref="E24" si="16">VLOOKUP($N$3,ALL_LIST,6,FALSE)</f>
        <v>1</v>
      </c>
      <c r="F24" s="56" t="str">
        <f t="shared" ref="F24" si="17">VLOOKUP($N$3,ALL_LIST,7,FALSE)</f>
        <v>吳榮正</v>
      </c>
      <c r="G24" s="56">
        <f t="shared" ref="G24" si="18">VLOOKUP($N$3,ALL_LIST,8,FALSE)</f>
        <v>2</v>
      </c>
      <c r="H24" s="56">
        <f t="shared" ref="H24" si="19">VLOOKUP($N$3,ALL_LIST,10,FALSE)</f>
        <v>2</v>
      </c>
      <c r="I24" s="56">
        <f t="shared" ref="I24" si="20">VLOOKUP($N$3,ALL_LIST,12,FALSE)</f>
        <v>2</v>
      </c>
      <c r="J24" s="56" t="str">
        <f t="shared" ref="J24" si="21">VLOOKUP($N$3,ALL_LIST,14,FALSE)</f>
        <v>NA</v>
      </c>
      <c r="K24" s="57">
        <f t="shared" ref="K24" si="22">VLOOKUP($N$3,ALL_LIST,16,FALSE)</f>
        <v>2</v>
      </c>
      <c r="L24" s="57">
        <f t="shared" si="10"/>
        <v>6</v>
      </c>
      <c r="M24" s="145" t="s">
        <v>169</v>
      </c>
      <c r="N24" s="120"/>
      <c r="O24" s="120"/>
      <c r="P24" s="110" t="s">
        <v>170</v>
      </c>
      <c r="Q24" s="110"/>
      <c r="R24" s="110"/>
      <c r="S24" s="110"/>
      <c r="T24" s="58" t="s">
        <v>111</v>
      </c>
      <c r="U24" s="58">
        <v>1</v>
      </c>
      <c r="V24" s="69" t="s">
        <v>171</v>
      </c>
      <c r="W24" s="58">
        <v>2</v>
      </c>
      <c r="X24" s="69" t="s">
        <v>172</v>
      </c>
      <c r="Y24" s="59">
        <f t="shared" si="12"/>
        <v>4</v>
      </c>
      <c r="Z24" s="63"/>
    </row>
    <row r="25" spans="1:26" ht="16" thickBot="1">
      <c r="A25" s="60" t="str">
        <f t="shared" si="11"/>
        <v>材1-1-DC-02</v>
      </c>
      <c r="B25" s="61">
        <f t="shared" si="0"/>
        <v>0</v>
      </c>
      <c r="C25" s="61" t="str">
        <f t="shared" si="1"/>
        <v>契約書影本</v>
      </c>
      <c r="D25" s="61" t="str">
        <f t="shared" si="2"/>
        <v>契約書影本</v>
      </c>
      <c r="E25" s="61">
        <f t="shared" si="3"/>
        <v>1</v>
      </c>
      <c r="F25" s="61" t="str">
        <f t="shared" si="4"/>
        <v>吳榮正</v>
      </c>
      <c r="G25" s="61">
        <f t="shared" si="5"/>
        <v>2</v>
      </c>
      <c r="H25" s="61">
        <f t="shared" si="6"/>
        <v>2</v>
      </c>
      <c r="I25" s="61">
        <f t="shared" si="7"/>
        <v>2</v>
      </c>
      <c r="J25" s="61" t="str">
        <f t="shared" si="8"/>
        <v>NA</v>
      </c>
      <c r="K25" s="62">
        <f t="shared" si="9"/>
        <v>2</v>
      </c>
      <c r="L25" s="62">
        <f t="shared" si="10"/>
        <v>6</v>
      </c>
      <c r="M25" s="111" t="s">
        <v>125</v>
      </c>
      <c r="N25" s="111"/>
      <c r="O25" s="111"/>
      <c r="P25" s="111" t="s">
        <v>126</v>
      </c>
      <c r="Q25" s="111"/>
      <c r="R25" s="111"/>
      <c r="S25" s="111"/>
      <c r="T25" s="58" t="s">
        <v>135</v>
      </c>
      <c r="U25" s="58"/>
      <c r="V25" s="69"/>
      <c r="W25" s="58"/>
      <c r="X25" s="69"/>
      <c r="Y25" s="64" t="str">
        <f t="shared" si="12"/>
        <v>不適用</v>
      </c>
      <c r="Z25" s="65"/>
    </row>
    <row r="30" spans="1:26">
      <c r="M30" s="7"/>
    </row>
  </sheetData>
  <sheetProtection formatCells="0" formatColumns="0" formatRows="0" insertColumns="0" insertRows="0" insertHyperlinks="0" deleteColumns="0" deleteRows="0" sort="0" autoFilter="0" pivotTables="0"/>
  <autoFilter ref="M10:Z10" xr:uid="{00000000-0009-0000-0000-000004000000}">
    <filterColumn colId="0" showButton="0"/>
    <filterColumn colId="1" showButton="0"/>
    <filterColumn colId="3" showButton="0"/>
    <filterColumn colId="4" showButton="0"/>
    <filterColumn colId="5" showButton="0"/>
  </autoFilter>
  <mergeCells count="39">
    <mergeCell ref="M22:O22"/>
    <mergeCell ref="P22:S22"/>
    <mergeCell ref="M23:O23"/>
    <mergeCell ref="P23:S23"/>
    <mergeCell ref="M25:O25"/>
    <mergeCell ref="P25:S25"/>
    <mergeCell ref="M24:O24"/>
    <mergeCell ref="P24:S24"/>
    <mergeCell ref="M19:O19"/>
    <mergeCell ref="P19:S19"/>
    <mergeCell ref="M20:O20"/>
    <mergeCell ref="P20:S20"/>
    <mergeCell ref="M21:O21"/>
    <mergeCell ref="P21:S21"/>
    <mergeCell ref="M16:O16"/>
    <mergeCell ref="P16:S16"/>
    <mergeCell ref="M17:O17"/>
    <mergeCell ref="P17:S17"/>
    <mergeCell ref="M18:O18"/>
    <mergeCell ref="P18:S18"/>
    <mergeCell ref="M13:O13"/>
    <mergeCell ref="P13:S13"/>
    <mergeCell ref="M14:O14"/>
    <mergeCell ref="P14:S14"/>
    <mergeCell ref="M15:O15"/>
    <mergeCell ref="P15:S15"/>
    <mergeCell ref="M12:O12"/>
    <mergeCell ref="P12:S12"/>
    <mergeCell ref="M1:Z1"/>
    <mergeCell ref="N2:P2"/>
    <mergeCell ref="N3:P3"/>
    <mergeCell ref="N4:P4"/>
    <mergeCell ref="N5:P5"/>
    <mergeCell ref="N6:P6"/>
    <mergeCell ref="N7:P7"/>
    <mergeCell ref="M10:O10"/>
    <mergeCell ref="P10:S10"/>
    <mergeCell ref="M11:O11"/>
    <mergeCell ref="P11:S11"/>
  </mergeCells>
  <phoneticPr fontId="1" type="noConversion"/>
  <dataValidations count="2">
    <dataValidation type="list" allowBlank="1" showInputMessage="1" showErrorMessage="1" sqref="T65537:T65560 JI65537:JI65560 TE65537:TE65560 ADA65537:ADA65560 AMW65537:AMW65560 AWS65537:AWS65560 BGO65537:BGO65560 BQK65537:BQK65560 CAG65537:CAG65560 CKC65537:CKC65560 CTY65537:CTY65560 DDU65537:DDU65560 DNQ65537:DNQ65560 DXM65537:DXM65560 EHI65537:EHI65560 ERE65537:ERE65560 FBA65537:FBA65560 FKW65537:FKW65560 FUS65537:FUS65560 GEO65537:GEO65560 GOK65537:GOK65560 GYG65537:GYG65560 HIC65537:HIC65560 HRY65537:HRY65560 IBU65537:IBU65560 ILQ65537:ILQ65560 IVM65537:IVM65560 JFI65537:JFI65560 JPE65537:JPE65560 JZA65537:JZA65560 KIW65537:KIW65560 KSS65537:KSS65560 LCO65537:LCO65560 LMK65537:LMK65560 LWG65537:LWG65560 MGC65537:MGC65560 MPY65537:MPY65560 MZU65537:MZU65560 NJQ65537:NJQ65560 NTM65537:NTM65560 ODI65537:ODI65560 ONE65537:ONE65560 OXA65537:OXA65560 PGW65537:PGW65560 PQS65537:PQS65560 QAO65537:QAO65560 QKK65537:QKK65560 QUG65537:QUG65560 REC65537:REC65560 RNY65537:RNY65560 RXU65537:RXU65560 SHQ65537:SHQ65560 SRM65537:SRM65560 TBI65537:TBI65560 TLE65537:TLE65560 TVA65537:TVA65560 UEW65537:UEW65560 UOS65537:UOS65560 UYO65537:UYO65560 VIK65537:VIK65560 VSG65537:VSG65560 WCC65537:WCC65560 WLY65537:WLY65560 WVU65537:WVU65560 T131073:T131096 JI131073:JI131096 TE131073:TE131096 ADA131073:ADA131096 AMW131073:AMW131096 AWS131073:AWS131096 BGO131073:BGO131096 BQK131073:BQK131096 CAG131073:CAG131096 CKC131073:CKC131096 CTY131073:CTY131096 DDU131073:DDU131096 DNQ131073:DNQ131096 DXM131073:DXM131096 EHI131073:EHI131096 ERE131073:ERE131096 FBA131073:FBA131096 FKW131073:FKW131096 FUS131073:FUS131096 GEO131073:GEO131096 GOK131073:GOK131096 GYG131073:GYG131096 HIC131073:HIC131096 HRY131073:HRY131096 IBU131073:IBU131096 ILQ131073:ILQ131096 IVM131073:IVM131096 JFI131073:JFI131096 JPE131073:JPE131096 JZA131073:JZA131096 KIW131073:KIW131096 KSS131073:KSS131096 LCO131073:LCO131096 LMK131073:LMK131096 LWG131073:LWG131096 MGC131073:MGC131096 MPY131073:MPY131096 MZU131073:MZU131096 NJQ131073:NJQ131096 NTM131073:NTM131096 ODI131073:ODI131096 ONE131073:ONE131096 OXA131073:OXA131096 PGW131073:PGW131096 PQS131073:PQS131096 QAO131073:QAO131096 QKK131073:QKK131096 QUG131073:QUG131096 REC131073:REC131096 RNY131073:RNY131096 RXU131073:RXU131096 SHQ131073:SHQ131096 SRM131073:SRM131096 TBI131073:TBI131096 TLE131073:TLE131096 TVA131073:TVA131096 UEW131073:UEW131096 UOS131073:UOS131096 UYO131073:UYO131096 VIK131073:VIK131096 VSG131073:VSG131096 WCC131073:WCC131096 WLY131073:WLY131096 WVU131073:WVU131096 T196609:T196632 JI196609:JI196632 TE196609:TE196632 ADA196609:ADA196632 AMW196609:AMW196632 AWS196609:AWS196632 BGO196609:BGO196632 BQK196609:BQK196632 CAG196609:CAG196632 CKC196609:CKC196632 CTY196609:CTY196632 DDU196609:DDU196632 DNQ196609:DNQ196632 DXM196609:DXM196632 EHI196609:EHI196632 ERE196609:ERE196632 FBA196609:FBA196632 FKW196609:FKW196632 FUS196609:FUS196632 GEO196609:GEO196632 GOK196609:GOK196632 GYG196609:GYG196632 HIC196609:HIC196632 HRY196609:HRY196632 IBU196609:IBU196632 ILQ196609:ILQ196632 IVM196609:IVM196632 JFI196609:JFI196632 JPE196609:JPE196632 JZA196609:JZA196632 KIW196609:KIW196632 KSS196609:KSS196632 LCO196609:LCO196632 LMK196609:LMK196632 LWG196609:LWG196632 MGC196609:MGC196632 MPY196609:MPY196632 MZU196609:MZU196632 NJQ196609:NJQ196632 NTM196609:NTM196632 ODI196609:ODI196632 ONE196609:ONE196632 OXA196609:OXA196632 PGW196609:PGW196632 PQS196609:PQS196632 QAO196609:QAO196632 QKK196609:QKK196632 QUG196609:QUG196632 REC196609:REC196632 RNY196609:RNY196632 RXU196609:RXU196632 SHQ196609:SHQ196632 SRM196609:SRM196632 TBI196609:TBI196632 TLE196609:TLE196632 TVA196609:TVA196632 UEW196609:UEW196632 UOS196609:UOS196632 UYO196609:UYO196632 VIK196609:VIK196632 VSG196609:VSG196632 WCC196609:WCC196632 WLY196609:WLY196632 WVU196609:WVU196632 T262145:T262168 JI262145:JI262168 TE262145:TE262168 ADA262145:ADA262168 AMW262145:AMW262168 AWS262145:AWS262168 BGO262145:BGO262168 BQK262145:BQK262168 CAG262145:CAG262168 CKC262145:CKC262168 CTY262145:CTY262168 DDU262145:DDU262168 DNQ262145:DNQ262168 DXM262145:DXM262168 EHI262145:EHI262168 ERE262145:ERE262168 FBA262145:FBA262168 FKW262145:FKW262168 FUS262145:FUS262168 GEO262145:GEO262168 GOK262145:GOK262168 GYG262145:GYG262168 HIC262145:HIC262168 HRY262145:HRY262168 IBU262145:IBU262168 ILQ262145:ILQ262168 IVM262145:IVM262168 JFI262145:JFI262168 JPE262145:JPE262168 JZA262145:JZA262168 KIW262145:KIW262168 KSS262145:KSS262168 LCO262145:LCO262168 LMK262145:LMK262168 LWG262145:LWG262168 MGC262145:MGC262168 MPY262145:MPY262168 MZU262145:MZU262168 NJQ262145:NJQ262168 NTM262145:NTM262168 ODI262145:ODI262168 ONE262145:ONE262168 OXA262145:OXA262168 PGW262145:PGW262168 PQS262145:PQS262168 QAO262145:QAO262168 QKK262145:QKK262168 QUG262145:QUG262168 REC262145:REC262168 RNY262145:RNY262168 RXU262145:RXU262168 SHQ262145:SHQ262168 SRM262145:SRM262168 TBI262145:TBI262168 TLE262145:TLE262168 TVA262145:TVA262168 UEW262145:UEW262168 UOS262145:UOS262168 UYO262145:UYO262168 VIK262145:VIK262168 VSG262145:VSG262168 WCC262145:WCC262168 WLY262145:WLY262168 WVU262145:WVU262168 T327681:T327704 JI327681:JI327704 TE327681:TE327704 ADA327681:ADA327704 AMW327681:AMW327704 AWS327681:AWS327704 BGO327681:BGO327704 BQK327681:BQK327704 CAG327681:CAG327704 CKC327681:CKC327704 CTY327681:CTY327704 DDU327681:DDU327704 DNQ327681:DNQ327704 DXM327681:DXM327704 EHI327681:EHI327704 ERE327681:ERE327704 FBA327681:FBA327704 FKW327681:FKW327704 FUS327681:FUS327704 GEO327681:GEO327704 GOK327681:GOK327704 GYG327681:GYG327704 HIC327681:HIC327704 HRY327681:HRY327704 IBU327681:IBU327704 ILQ327681:ILQ327704 IVM327681:IVM327704 JFI327681:JFI327704 JPE327681:JPE327704 JZA327681:JZA327704 KIW327681:KIW327704 KSS327681:KSS327704 LCO327681:LCO327704 LMK327681:LMK327704 LWG327681:LWG327704 MGC327681:MGC327704 MPY327681:MPY327704 MZU327681:MZU327704 NJQ327681:NJQ327704 NTM327681:NTM327704 ODI327681:ODI327704 ONE327681:ONE327704 OXA327681:OXA327704 PGW327681:PGW327704 PQS327681:PQS327704 QAO327681:QAO327704 QKK327681:QKK327704 QUG327681:QUG327704 REC327681:REC327704 RNY327681:RNY327704 RXU327681:RXU327704 SHQ327681:SHQ327704 SRM327681:SRM327704 TBI327681:TBI327704 TLE327681:TLE327704 TVA327681:TVA327704 UEW327681:UEW327704 UOS327681:UOS327704 UYO327681:UYO327704 VIK327681:VIK327704 VSG327681:VSG327704 WCC327681:WCC327704 WLY327681:WLY327704 WVU327681:WVU327704 T393217:T393240 JI393217:JI393240 TE393217:TE393240 ADA393217:ADA393240 AMW393217:AMW393240 AWS393217:AWS393240 BGO393217:BGO393240 BQK393217:BQK393240 CAG393217:CAG393240 CKC393217:CKC393240 CTY393217:CTY393240 DDU393217:DDU393240 DNQ393217:DNQ393240 DXM393217:DXM393240 EHI393217:EHI393240 ERE393217:ERE393240 FBA393217:FBA393240 FKW393217:FKW393240 FUS393217:FUS393240 GEO393217:GEO393240 GOK393217:GOK393240 GYG393217:GYG393240 HIC393217:HIC393240 HRY393217:HRY393240 IBU393217:IBU393240 ILQ393217:ILQ393240 IVM393217:IVM393240 JFI393217:JFI393240 JPE393217:JPE393240 JZA393217:JZA393240 KIW393217:KIW393240 KSS393217:KSS393240 LCO393217:LCO393240 LMK393217:LMK393240 LWG393217:LWG393240 MGC393217:MGC393240 MPY393217:MPY393240 MZU393217:MZU393240 NJQ393217:NJQ393240 NTM393217:NTM393240 ODI393217:ODI393240 ONE393217:ONE393240 OXA393217:OXA393240 PGW393217:PGW393240 PQS393217:PQS393240 QAO393217:QAO393240 QKK393217:QKK393240 QUG393217:QUG393240 REC393217:REC393240 RNY393217:RNY393240 RXU393217:RXU393240 SHQ393217:SHQ393240 SRM393217:SRM393240 TBI393217:TBI393240 TLE393217:TLE393240 TVA393217:TVA393240 UEW393217:UEW393240 UOS393217:UOS393240 UYO393217:UYO393240 VIK393217:VIK393240 VSG393217:VSG393240 WCC393217:WCC393240 WLY393217:WLY393240 WVU393217:WVU393240 T458753:T458776 JI458753:JI458776 TE458753:TE458776 ADA458753:ADA458776 AMW458753:AMW458776 AWS458753:AWS458776 BGO458753:BGO458776 BQK458753:BQK458776 CAG458753:CAG458776 CKC458753:CKC458776 CTY458753:CTY458776 DDU458753:DDU458776 DNQ458753:DNQ458776 DXM458753:DXM458776 EHI458753:EHI458776 ERE458753:ERE458776 FBA458753:FBA458776 FKW458753:FKW458776 FUS458753:FUS458776 GEO458753:GEO458776 GOK458753:GOK458776 GYG458753:GYG458776 HIC458753:HIC458776 HRY458753:HRY458776 IBU458753:IBU458776 ILQ458753:ILQ458776 IVM458753:IVM458776 JFI458753:JFI458776 JPE458753:JPE458776 JZA458753:JZA458776 KIW458753:KIW458776 KSS458753:KSS458776 LCO458753:LCO458776 LMK458753:LMK458776 LWG458753:LWG458776 MGC458753:MGC458776 MPY458753:MPY458776 MZU458753:MZU458776 NJQ458753:NJQ458776 NTM458753:NTM458776 ODI458753:ODI458776 ONE458753:ONE458776 OXA458753:OXA458776 PGW458753:PGW458776 PQS458753:PQS458776 QAO458753:QAO458776 QKK458753:QKK458776 QUG458753:QUG458776 REC458753:REC458776 RNY458753:RNY458776 RXU458753:RXU458776 SHQ458753:SHQ458776 SRM458753:SRM458776 TBI458753:TBI458776 TLE458753:TLE458776 TVA458753:TVA458776 UEW458753:UEW458776 UOS458753:UOS458776 UYO458753:UYO458776 VIK458753:VIK458776 VSG458753:VSG458776 WCC458753:WCC458776 WLY458753:WLY458776 WVU458753:WVU458776 T524289:T524312 JI524289:JI524312 TE524289:TE524312 ADA524289:ADA524312 AMW524289:AMW524312 AWS524289:AWS524312 BGO524289:BGO524312 BQK524289:BQK524312 CAG524289:CAG524312 CKC524289:CKC524312 CTY524289:CTY524312 DDU524289:DDU524312 DNQ524289:DNQ524312 DXM524289:DXM524312 EHI524289:EHI524312 ERE524289:ERE524312 FBA524289:FBA524312 FKW524289:FKW524312 FUS524289:FUS524312 GEO524289:GEO524312 GOK524289:GOK524312 GYG524289:GYG524312 HIC524289:HIC524312 HRY524289:HRY524312 IBU524289:IBU524312 ILQ524289:ILQ524312 IVM524289:IVM524312 JFI524289:JFI524312 JPE524289:JPE524312 JZA524289:JZA524312 KIW524289:KIW524312 KSS524289:KSS524312 LCO524289:LCO524312 LMK524289:LMK524312 LWG524289:LWG524312 MGC524289:MGC524312 MPY524289:MPY524312 MZU524289:MZU524312 NJQ524289:NJQ524312 NTM524289:NTM524312 ODI524289:ODI524312 ONE524289:ONE524312 OXA524289:OXA524312 PGW524289:PGW524312 PQS524289:PQS524312 QAO524289:QAO524312 QKK524289:QKK524312 QUG524289:QUG524312 REC524289:REC524312 RNY524289:RNY524312 RXU524289:RXU524312 SHQ524289:SHQ524312 SRM524289:SRM524312 TBI524289:TBI524312 TLE524289:TLE524312 TVA524289:TVA524312 UEW524289:UEW524312 UOS524289:UOS524312 UYO524289:UYO524312 VIK524289:VIK524312 VSG524289:VSG524312 WCC524289:WCC524312 WLY524289:WLY524312 WVU524289:WVU524312 T589825:T589848 JI589825:JI589848 TE589825:TE589848 ADA589825:ADA589848 AMW589825:AMW589848 AWS589825:AWS589848 BGO589825:BGO589848 BQK589825:BQK589848 CAG589825:CAG589848 CKC589825:CKC589848 CTY589825:CTY589848 DDU589825:DDU589848 DNQ589825:DNQ589848 DXM589825:DXM589848 EHI589825:EHI589848 ERE589825:ERE589848 FBA589825:FBA589848 FKW589825:FKW589848 FUS589825:FUS589848 GEO589825:GEO589848 GOK589825:GOK589848 GYG589825:GYG589848 HIC589825:HIC589848 HRY589825:HRY589848 IBU589825:IBU589848 ILQ589825:ILQ589848 IVM589825:IVM589848 JFI589825:JFI589848 JPE589825:JPE589848 JZA589825:JZA589848 KIW589825:KIW589848 KSS589825:KSS589848 LCO589825:LCO589848 LMK589825:LMK589848 LWG589825:LWG589848 MGC589825:MGC589848 MPY589825:MPY589848 MZU589825:MZU589848 NJQ589825:NJQ589848 NTM589825:NTM589848 ODI589825:ODI589848 ONE589825:ONE589848 OXA589825:OXA589848 PGW589825:PGW589848 PQS589825:PQS589848 QAO589825:QAO589848 QKK589825:QKK589848 QUG589825:QUG589848 REC589825:REC589848 RNY589825:RNY589848 RXU589825:RXU589848 SHQ589825:SHQ589848 SRM589825:SRM589848 TBI589825:TBI589848 TLE589825:TLE589848 TVA589825:TVA589848 UEW589825:UEW589848 UOS589825:UOS589848 UYO589825:UYO589848 VIK589825:VIK589848 VSG589825:VSG589848 WCC589825:WCC589848 WLY589825:WLY589848 WVU589825:WVU589848 T655361:T655384 JI655361:JI655384 TE655361:TE655384 ADA655361:ADA655384 AMW655361:AMW655384 AWS655361:AWS655384 BGO655361:BGO655384 BQK655361:BQK655384 CAG655361:CAG655384 CKC655361:CKC655384 CTY655361:CTY655384 DDU655361:DDU655384 DNQ655361:DNQ655384 DXM655361:DXM655384 EHI655361:EHI655384 ERE655361:ERE655384 FBA655361:FBA655384 FKW655361:FKW655384 FUS655361:FUS655384 GEO655361:GEO655384 GOK655361:GOK655384 GYG655361:GYG655384 HIC655361:HIC655384 HRY655361:HRY655384 IBU655361:IBU655384 ILQ655361:ILQ655384 IVM655361:IVM655384 JFI655361:JFI655384 JPE655361:JPE655384 JZA655361:JZA655384 KIW655361:KIW655384 KSS655361:KSS655384 LCO655361:LCO655384 LMK655361:LMK655384 LWG655361:LWG655384 MGC655361:MGC655384 MPY655361:MPY655384 MZU655361:MZU655384 NJQ655361:NJQ655384 NTM655361:NTM655384 ODI655361:ODI655384 ONE655361:ONE655384 OXA655361:OXA655384 PGW655361:PGW655384 PQS655361:PQS655384 QAO655361:QAO655384 QKK655361:QKK655384 QUG655361:QUG655384 REC655361:REC655384 RNY655361:RNY655384 RXU655361:RXU655384 SHQ655361:SHQ655384 SRM655361:SRM655384 TBI655361:TBI655384 TLE655361:TLE655384 TVA655361:TVA655384 UEW655361:UEW655384 UOS655361:UOS655384 UYO655361:UYO655384 VIK655361:VIK655384 VSG655361:VSG655384 WCC655361:WCC655384 WLY655361:WLY655384 WVU655361:WVU655384 T720897:T720920 JI720897:JI720920 TE720897:TE720920 ADA720897:ADA720920 AMW720897:AMW720920 AWS720897:AWS720920 BGO720897:BGO720920 BQK720897:BQK720920 CAG720897:CAG720920 CKC720897:CKC720920 CTY720897:CTY720920 DDU720897:DDU720920 DNQ720897:DNQ720920 DXM720897:DXM720920 EHI720897:EHI720920 ERE720897:ERE720920 FBA720897:FBA720920 FKW720897:FKW720920 FUS720897:FUS720920 GEO720897:GEO720920 GOK720897:GOK720920 GYG720897:GYG720920 HIC720897:HIC720920 HRY720897:HRY720920 IBU720897:IBU720920 ILQ720897:ILQ720920 IVM720897:IVM720920 JFI720897:JFI720920 JPE720897:JPE720920 JZA720897:JZA720920 KIW720897:KIW720920 KSS720897:KSS720920 LCO720897:LCO720920 LMK720897:LMK720920 LWG720897:LWG720920 MGC720897:MGC720920 MPY720897:MPY720920 MZU720897:MZU720920 NJQ720897:NJQ720920 NTM720897:NTM720920 ODI720897:ODI720920 ONE720897:ONE720920 OXA720897:OXA720920 PGW720897:PGW720920 PQS720897:PQS720920 QAO720897:QAO720920 QKK720897:QKK720920 QUG720897:QUG720920 REC720897:REC720920 RNY720897:RNY720920 RXU720897:RXU720920 SHQ720897:SHQ720920 SRM720897:SRM720920 TBI720897:TBI720920 TLE720897:TLE720920 TVA720897:TVA720920 UEW720897:UEW720920 UOS720897:UOS720920 UYO720897:UYO720920 VIK720897:VIK720920 VSG720897:VSG720920 WCC720897:WCC720920 WLY720897:WLY720920 WVU720897:WVU720920 T786433:T786456 JI786433:JI786456 TE786433:TE786456 ADA786433:ADA786456 AMW786433:AMW786456 AWS786433:AWS786456 BGO786433:BGO786456 BQK786433:BQK786456 CAG786433:CAG786456 CKC786433:CKC786456 CTY786433:CTY786456 DDU786433:DDU786456 DNQ786433:DNQ786456 DXM786433:DXM786456 EHI786433:EHI786456 ERE786433:ERE786456 FBA786433:FBA786456 FKW786433:FKW786456 FUS786433:FUS786456 GEO786433:GEO786456 GOK786433:GOK786456 GYG786433:GYG786456 HIC786433:HIC786456 HRY786433:HRY786456 IBU786433:IBU786456 ILQ786433:ILQ786456 IVM786433:IVM786456 JFI786433:JFI786456 JPE786433:JPE786456 JZA786433:JZA786456 KIW786433:KIW786456 KSS786433:KSS786456 LCO786433:LCO786456 LMK786433:LMK786456 LWG786433:LWG786456 MGC786433:MGC786456 MPY786433:MPY786456 MZU786433:MZU786456 NJQ786433:NJQ786456 NTM786433:NTM786456 ODI786433:ODI786456 ONE786433:ONE786456 OXA786433:OXA786456 PGW786433:PGW786456 PQS786433:PQS786456 QAO786433:QAO786456 QKK786433:QKK786456 QUG786433:QUG786456 REC786433:REC786456 RNY786433:RNY786456 RXU786433:RXU786456 SHQ786433:SHQ786456 SRM786433:SRM786456 TBI786433:TBI786456 TLE786433:TLE786456 TVA786433:TVA786456 UEW786433:UEW786456 UOS786433:UOS786456 UYO786433:UYO786456 VIK786433:VIK786456 VSG786433:VSG786456 WCC786433:WCC786456 WLY786433:WLY786456 WVU786433:WVU786456 T851969:T851992 JI851969:JI851992 TE851969:TE851992 ADA851969:ADA851992 AMW851969:AMW851992 AWS851969:AWS851992 BGO851969:BGO851992 BQK851969:BQK851992 CAG851969:CAG851992 CKC851969:CKC851992 CTY851969:CTY851992 DDU851969:DDU851992 DNQ851969:DNQ851992 DXM851969:DXM851992 EHI851969:EHI851992 ERE851969:ERE851992 FBA851969:FBA851992 FKW851969:FKW851992 FUS851969:FUS851992 GEO851969:GEO851992 GOK851969:GOK851992 GYG851969:GYG851992 HIC851969:HIC851992 HRY851969:HRY851992 IBU851969:IBU851992 ILQ851969:ILQ851992 IVM851969:IVM851992 JFI851969:JFI851992 JPE851969:JPE851992 JZA851969:JZA851992 KIW851969:KIW851992 KSS851969:KSS851992 LCO851969:LCO851992 LMK851969:LMK851992 LWG851969:LWG851992 MGC851969:MGC851992 MPY851969:MPY851992 MZU851969:MZU851992 NJQ851969:NJQ851992 NTM851969:NTM851992 ODI851969:ODI851992 ONE851969:ONE851992 OXA851969:OXA851992 PGW851969:PGW851992 PQS851969:PQS851992 QAO851969:QAO851992 QKK851969:QKK851992 QUG851969:QUG851992 REC851969:REC851992 RNY851969:RNY851992 RXU851969:RXU851992 SHQ851969:SHQ851992 SRM851969:SRM851992 TBI851969:TBI851992 TLE851969:TLE851992 TVA851969:TVA851992 UEW851969:UEW851992 UOS851969:UOS851992 UYO851969:UYO851992 VIK851969:VIK851992 VSG851969:VSG851992 WCC851969:WCC851992 WLY851969:WLY851992 WVU851969:WVU851992 T917505:T917528 JI917505:JI917528 TE917505:TE917528 ADA917505:ADA917528 AMW917505:AMW917528 AWS917505:AWS917528 BGO917505:BGO917528 BQK917505:BQK917528 CAG917505:CAG917528 CKC917505:CKC917528 CTY917505:CTY917528 DDU917505:DDU917528 DNQ917505:DNQ917528 DXM917505:DXM917528 EHI917505:EHI917528 ERE917505:ERE917528 FBA917505:FBA917528 FKW917505:FKW917528 FUS917505:FUS917528 GEO917505:GEO917528 GOK917505:GOK917528 GYG917505:GYG917528 HIC917505:HIC917528 HRY917505:HRY917528 IBU917505:IBU917528 ILQ917505:ILQ917528 IVM917505:IVM917528 JFI917505:JFI917528 JPE917505:JPE917528 JZA917505:JZA917528 KIW917505:KIW917528 KSS917505:KSS917528 LCO917505:LCO917528 LMK917505:LMK917528 LWG917505:LWG917528 MGC917505:MGC917528 MPY917505:MPY917528 MZU917505:MZU917528 NJQ917505:NJQ917528 NTM917505:NTM917528 ODI917505:ODI917528 ONE917505:ONE917528 OXA917505:OXA917528 PGW917505:PGW917528 PQS917505:PQS917528 QAO917505:QAO917528 QKK917505:QKK917528 QUG917505:QUG917528 REC917505:REC917528 RNY917505:RNY917528 RXU917505:RXU917528 SHQ917505:SHQ917528 SRM917505:SRM917528 TBI917505:TBI917528 TLE917505:TLE917528 TVA917505:TVA917528 UEW917505:UEW917528 UOS917505:UOS917528 UYO917505:UYO917528 VIK917505:VIK917528 VSG917505:VSG917528 WCC917505:WCC917528 WLY917505:WLY917528 WVU917505:WVU917528 T983041:T983064 JI983041:JI983064 TE983041:TE983064 ADA983041:ADA983064 AMW983041:AMW983064 AWS983041:AWS983064 BGO983041:BGO983064 BQK983041:BQK983064 CAG983041:CAG983064 CKC983041:CKC983064 CTY983041:CTY983064 DDU983041:DDU983064 DNQ983041:DNQ983064 DXM983041:DXM983064 EHI983041:EHI983064 ERE983041:ERE983064 FBA983041:FBA983064 FKW983041:FKW983064 FUS983041:FUS983064 GEO983041:GEO983064 GOK983041:GOK983064 GYG983041:GYG983064 HIC983041:HIC983064 HRY983041:HRY983064 IBU983041:IBU983064 ILQ983041:ILQ983064 IVM983041:IVM983064 JFI983041:JFI983064 JPE983041:JPE983064 JZA983041:JZA983064 KIW983041:KIW983064 KSS983041:KSS983064 LCO983041:LCO983064 LMK983041:LMK983064 LWG983041:LWG983064 MGC983041:MGC983064 MPY983041:MPY983064 MZU983041:MZU983064 NJQ983041:NJQ983064 NTM983041:NTM983064 ODI983041:ODI983064 ONE983041:ONE983064 OXA983041:OXA983064 PGW983041:PGW983064 PQS983041:PQS983064 QAO983041:QAO983064 QKK983041:QKK983064 QUG983041:QUG983064 REC983041:REC983064 RNY983041:RNY983064 RXU983041:RXU983064 SHQ983041:SHQ983064 SRM983041:SRM983064 TBI983041:TBI983064 TLE983041:TLE983064 TVA983041:TVA983064 UEW983041:UEW983064 UOS983041:UOS983064 UYO983041:UYO983064 VIK983041:VIK983064 VSG983041:VSG983064 WCC983041:WCC983064 WLY983041:WLY983064 WVU983041:WVU983064 T11:T25 SP11:SP25 ACL11:ACL25 AMH11:AMH25 AWD11:AWD25 BFZ11:BFZ25 BPV11:BPV25 BZR11:BZR25 CJN11:CJN25 CTJ11:CTJ25 DDF11:DDF25 DNB11:DNB25 DWX11:DWX25 EGT11:EGT25 EQP11:EQP25 FAL11:FAL25 FKH11:FKH25 FUD11:FUD25 GDZ11:GDZ25 GNV11:GNV25 GXR11:GXR25 HHN11:HHN25 HRJ11:HRJ25 IBF11:IBF25 ILB11:ILB25 IUX11:IUX25 JET11:JET25 JOP11:JOP25 JYL11:JYL25 KIH11:KIH25 KSD11:KSD25 LBZ11:LBZ25 LLV11:LLV25 LVR11:LVR25 MFN11:MFN25 MPJ11:MPJ25 MZF11:MZF25 NJB11:NJB25 NSX11:NSX25 OCT11:OCT25 OMP11:OMP25 OWL11:OWL25 PGH11:PGH25 PQD11:PQD25 PZZ11:PZZ25 QJV11:QJV25 QTR11:QTR25 RDN11:RDN25 RNJ11:RNJ25 RXF11:RXF25 SHB11:SHB25 SQX11:SQX25 TAT11:TAT25 TKP11:TKP25 TUL11:TUL25 UEH11:UEH25 UOD11:UOD25 UXZ11:UXZ25 VHV11:VHV25 VRR11:VRR25 WBN11:WBN25 WLJ11:WLJ25 WVF11:WVF25 IT11:IT25" xr:uid="{00000000-0002-0000-0400-000000000000}">
      <formula1>"Y,N"</formula1>
    </dataValidation>
    <dataValidation type="list" allowBlank="1" showInputMessage="1" showErrorMessage="1" sqref="WVX983041:WVX983064 JH5:JH7 TD5:TD7 ACZ5:ACZ7 AMV5:AMV7 AWR5:AWR7 BGN5:BGN7 BQJ5:BQJ7 CAF5:CAF7 CKB5:CKB7 CTX5:CTX7 DDT5:DDT7 DNP5:DNP7 DXL5:DXL7 EHH5:EHH7 ERD5:ERD7 FAZ5:FAZ7 FKV5:FKV7 FUR5:FUR7 GEN5:GEN7 GOJ5:GOJ7 GYF5:GYF7 HIB5:HIB7 HRX5:HRX7 IBT5:IBT7 ILP5:ILP7 IVL5:IVL7 JFH5:JFH7 JPD5:JPD7 JYZ5:JYZ7 KIV5:KIV7 KSR5:KSR7 LCN5:LCN7 LMJ5:LMJ7 LWF5:LWF7 MGB5:MGB7 MPX5:MPX7 MZT5:MZT7 NJP5:NJP7 NTL5:NTL7 ODH5:ODH7 OND5:OND7 OWZ5:OWZ7 PGV5:PGV7 PQR5:PQR7 QAN5:QAN7 QKJ5:QKJ7 QUF5:QUF7 REB5:REB7 RNX5:RNX7 RXT5:RXT7 SHP5:SHP7 SRL5:SRL7 TBH5:TBH7 TLD5:TLD7 TUZ5:TUZ7 UEV5:UEV7 UOR5:UOR7 UYN5:UYN7 VIJ5:VIJ7 VSF5:VSF7 WCB5:WCB7 WLX5:WLX7 WVT5:WVT7 S65531:S65533 JH65531:JH65533 TD65531:TD65533 ACZ65531:ACZ65533 AMV65531:AMV65533 AWR65531:AWR65533 BGN65531:BGN65533 BQJ65531:BQJ65533 CAF65531:CAF65533 CKB65531:CKB65533 CTX65531:CTX65533 DDT65531:DDT65533 DNP65531:DNP65533 DXL65531:DXL65533 EHH65531:EHH65533 ERD65531:ERD65533 FAZ65531:FAZ65533 FKV65531:FKV65533 FUR65531:FUR65533 GEN65531:GEN65533 GOJ65531:GOJ65533 GYF65531:GYF65533 HIB65531:HIB65533 HRX65531:HRX65533 IBT65531:IBT65533 ILP65531:ILP65533 IVL65531:IVL65533 JFH65531:JFH65533 JPD65531:JPD65533 JYZ65531:JYZ65533 KIV65531:KIV65533 KSR65531:KSR65533 LCN65531:LCN65533 LMJ65531:LMJ65533 LWF65531:LWF65533 MGB65531:MGB65533 MPX65531:MPX65533 MZT65531:MZT65533 NJP65531:NJP65533 NTL65531:NTL65533 ODH65531:ODH65533 OND65531:OND65533 OWZ65531:OWZ65533 PGV65531:PGV65533 PQR65531:PQR65533 QAN65531:QAN65533 QKJ65531:QKJ65533 QUF65531:QUF65533 REB65531:REB65533 RNX65531:RNX65533 RXT65531:RXT65533 SHP65531:SHP65533 SRL65531:SRL65533 TBH65531:TBH65533 TLD65531:TLD65533 TUZ65531:TUZ65533 UEV65531:UEV65533 UOR65531:UOR65533 UYN65531:UYN65533 VIJ65531:VIJ65533 VSF65531:VSF65533 WCB65531:WCB65533 WLX65531:WLX65533 WVT65531:WVT65533 S131067:S131069 JH131067:JH131069 TD131067:TD131069 ACZ131067:ACZ131069 AMV131067:AMV131069 AWR131067:AWR131069 BGN131067:BGN131069 BQJ131067:BQJ131069 CAF131067:CAF131069 CKB131067:CKB131069 CTX131067:CTX131069 DDT131067:DDT131069 DNP131067:DNP131069 DXL131067:DXL131069 EHH131067:EHH131069 ERD131067:ERD131069 FAZ131067:FAZ131069 FKV131067:FKV131069 FUR131067:FUR131069 GEN131067:GEN131069 GOJ131067:GOJ131069 GYF131067:GYF131069 HIB131067:HIB131069 HRX131067:HRX131069 IBT131067:IBT131069 ILP131067:ILP131069 IVL131067:IVL131069 JFH131067:JFH131069 JPD131067:JPD131069 JYZ131067:JYZ131069 KIV131067:KIV131069 KSR131067:KSR131069 LCN131067:LCN131069 LMJ131067:LMJ131069 LWF131067:LWF131069 MGB131067:MGB131069 MPX131067:MPX131069 MZT131067:MZT131069 NJP131067:NJP131069 NTL131067:NTL131069 ODH131067:ODH131069 OND131067:OND131069 OWZ131067:OWZ131069 PGV131067:PGV131069 PQR131067:PQR131069 QAN131067:QAN131069 QKJ131067:QKJ131069 QUF131067:QUF131069 REB131067:REB131069 RNX131067:RNX131069 RXT131067:RXT131069 SHP131067:SHP131069 SRL131067:SRL131069 TBH131067:TBH131069 TLD131067:TLD131069 TUZ131067:TUZ131069 UEV131067:UEV131069 UOR131067:UOR131069 UYN131067:UYN131069 VIJ131067:VIJ131069 VSF131067:VSF131069 WCB131067:WCB131069 WLX131067:WLX131069 WVT131067:WVT131069 S196603:S196605 JH196603:JH196605 TD196603:TD196605 ACZ196603:ACZ196605 AMV196603:AMV196605 AWR196603:AWR196605 BGN196603:BGN196605 BQJ196603:BQJ196605 CAF196603:CAF196605 CKB196603:CKB196605 CTX196603:CTX196605 DDT196603:DDT196605 DNP196603:DNP196605 DXL196603:DXL196605 EHH196603:EHH196605 ERD196603:ERD196605 FAZ196603:FAZ196605 FKV196603:FKV196605 FUR196603:FUR196605 GEN196603:GEN196605 GOJ196603:GOJ196605 GYF196603:GYF196605 HIB196603:HIB196605 HRX196603:HRX196605 IBT196603:IBT196605 ILP196603:ILP196605 IVL196603:IVL196605 JFH196603:JFH196605 JPD196603:JPD196605 JYZ196603:JYZ196605 KIV196603:KIV196605 KSR196603:KSR196605 LCN196603:LCN196605 LMJ196603:LMJ196605 LWF196603:LWF196605 MGB196603:MGB196605 MPX196603:MPX196605 MZT196603:MZT196605 NJP196603:NJP196605 NTL196603:NTL196605 ODH196603:ODH196605 OND196603:OND196605 OWZ196603:OWZ196605 PGV196603:PGV196605 PQR196603:PQR196605 QAN196603:QAN196605 QKJ196603:QKJ196605 QUF196603:QUF196605 REB196603:REB196605 RNX196603:RNX196605 RXT196603:RXT196605 SHP196603:SHP196605 SRL196603:SRL196605 TBH196603:TBH196605 TLD196603:TLD196605 TUZ196603:TUZ196605 UEV196603:UEV196605 UOR196603:UOR196605 UYN196603:UYN196605 VIJ196603:VIJ196605 VSF196603:VSF196605 WCB196603:WCB196605 WLX196603:WLX196605 WVT196603:WVT196605 S262139:S262141 JH262139:JH262141 TD262139:TD262141 ACZ262139:ACZ262141 AMV262139:AMV262141 AWR262139:AWR262141 BGN262139:BGN262141 BQJ262139:BQJ262141 CAF262139:CAF262141 CKB262139:CKB262141 CTX262139:CTX262141 DDT262139:DDT262141 DNP262139:DNP262141 DXL262139:DXL262141 EHH262139:EHH262141 ERD262139:ERD262141 FAZ262139:FAZ262141 FKV262139:FKV262141 FUR262139:FUR262141 GEN262139:GEN262141 GOJ262139:GOJ262141 GYF262139:GYF262141 HIB262139:HIB262141 HRX262139:HRX262141 IBT262139:IBT262141 ILP262139:ILP262141 IVL262139:IVL262141 JFH262139:JFH262141 JPD262139:JPD262141 JYZ262139:JYZ262141 KIV262139:KIV262141 KSR262139:KSR262141 LCN262139:LCN262141 LMJ262139:LMJ262141 LWF262139:LWF262141 MGB262139:MGB262141 MPX262139:MPX262141 MZT262139:MZT262141 NJP262139:NJP262141 NTL262139:NTL262141 ODH262139:ODH262141 OND262139:OND262141 OWZ262139:OWZ262141 PGV262139:PGV262141 PQR262139:PQR262141 QAN262139:QAN262141 QKJ262139:QKJ262141 QUF262139:QUF262141 REB262139:REB262141 RNX262139:RNX262141 RXT262139:RXT262141 SHP262139:SHP262141 SRL262139:SRL262141 TBH262139:TBH262141 TLD262139:TLD262141 TUZ262139:TUZ262141 UEV262139:UEV262141 UOR262139:UOR262141 UYN262139:UYN262141 VIJ262139:VIJ262141 VSF262139:VSF262141 WCB262139:WCB262141 WLX262139:WLX262141 WVT262139:WVT262141 S327675:S327677 JH327675:JH327677 TD327675:TD327677 ACZ327675:ACZ327677 AMV327675:AMV327677 AWR327675:AWR327677 BGN327675:BGN327677 BQJ327675:BQJ327677 CAF327675:CAF327677 CKB327675:CKB327677 CTX327675:CTX327677 DDT327675:DDT327677 DNP327675:DNP327677 DXL327675:DXL327677 EHH327675:EHH327677 ERD327675:ERD327677 FAZ327675:FAZ327677 FKV327675:FKV327677 FUR327675:FUR327677 GEN327675:GEN327677 GOJ327675:GOJ327677 GYF327675:GYF327677 HIB327675:HIB327677 HRX327675:HRX327677 IBT327675:IBT327677 ILP327675:ILP327677 IVL327675:IVL327677 JFH327675:JFH327677 JPD327675:JPD327677 JYZ327675:JYZ327677 KIV327675:KIV327677 KSR327675:KSR327677 LCN327675:LCN327677 LMJ327675:LMJ327677 LWF327675:LWF327677 MGB327675:MGB327677 MPX327675:MPX327677 MZT327675:MZT327677 NJP327675:NJP327677 NTL327675:NTL327677 ODH327675:ODH327677 OND327675:OND327677 OWZ327675:OWZ327677 PGV327675:PGV327677 PQR327675:PQR327677 QAN327675:QAN327677 QKJ327675:QKJ327677 QUF327675:QUF327677 REB327675:REB327677 RNX327675:RNX327677 RXT327675:RXT327677 SHP327675:SHP327677 SRL327675:SRL327677 TBH327675:TBH327677 TLD327675:TLD327677 TUZ327675:TUZ327677 UEV327675:UEV327677 UOR327675:UOR327677 UYN327675:UYN327677 VIJ327675:VIJ327677 VSF327675:VSF327677 WCB327675:WCB327677 WLX327675:WLX327677 WVT327675:WVT327677 S393211:S393213 JH393211:JH393213 TD393211:TD393213 ACZ393211:ACZ393213 AMV393211:AMV393213 AWR393211:AWR393213 BGN393211:BGN393213 BQJ393211:BQJ393213 CAF393211:CAF393213 CKB393211:CKB393213 CTX393211:CTX393213 DDT393211:DDT393213 DNP393211:DNP393213 DXL393211:DXL393213 EHH393211:EHH393213 ERD393211:ERD393213 FAZ393211:FAZ393213 FKV393211:FKV393213 FUR393211:FUR393213 GEN393211:GEN393213 GOJ393211:GOJ393213 GYF393211:GYF393213 HIB393211:HIB393213 HRX393211:HRX393213 IBT393211:IBT393213 ILP393211:ILP393213 IVL393211:IVL393213 JFH393211:JFH393213 JPD393211:JPD393213 JYZ393211:JYZ393213 KIV393211:KIV393213 KSR393211:KSR393213 LCN393211:LCN393213 LMJ393211:LMJ393213 LWF393211:LWF393213 MGB393211:MGB393213 MPX393211:MPX393213 MZT393211:MZT393213 NJP393211:NJP393213 NTL393211:NTL393213 ODH393211:ODH393213 OND393211:OND393213 OWZ393211:OWZ393213 PGV393211:PGV393213 PQR393211:PQR393213 QAN393211:QAN393213 QKJ393211:QKJ393213 QUF393211:QUF393213 REB393211:REB393213 RNX393211:RNX393213 RXT393211:RXT393213 SHP393211:SHP393213 SRL393211:SRL393213 TBH393211:TBH393213 TLD393211:TLD393213 TUZ393211:TUZ393213 UEV393211:UEV393213 UOR393211:UOR393213 UYN393211:UYN393213 VIJ393211:VIJ393213 VSF393211:VSF393213 WCB393211:WCB393213 WLX393211:WLX393213 WVT393211:WVT393213 S458747:S458749 JH458747:JH458749 TD458747:TD458749 ACZ458747:ACZ458749 AMV458747:AMV458749 AWR458747:AWR458749 BGN458747:BGN458749 BQJ458747:BQJ458749 CAF458747:CAF458749 CKB458747:CKB458749 CTX458747:CTX458749 DDT458747:DDT458749 DNP458747:DNP458749 DXL458747:DXL458749 EHH458747:EHH458749 ERD458747:ERD458749 FAZ458747:FAZ458749 FKV458747:FKV458749 FUR458747:FUR458749 GEN458747:GEN458749 GOJ458747:GOJ458749 GYF458747:GYF458749 HIB458747:HIB458749 HRX458747:HRX458749 IBT458747:IBT458749 ILP458747:ILP458749 IVL458747:IVL458749 JFH458747:JFH458749 JPD458747:JPD458749 JYZ458747:JYZ458749 KIV458747:KIV458749 KSR458747:KSR458749 LCN458747:LCN458749 LMJ458747:LMJ458749 LWF458747:LWF458749 MGB458747:MGB458749 MPX458747:MPX458749 MZT458747:MZT458749 NJP458747:NJP458749 NTL458747:NTL458749 ODH458747:ODH458749 OND458747:OND458749 OWZ458747:OWZ458749 PGV458747:PGV458749 PQR458747:PQR458749 QAN458747:QAN458749 QKJ458747:QKJ458749 QUF458747:QUF458749 REB458747:REB458749 RNX458747:RNX458749 RXT458747:RXT458749 SHP458747:SHP458749 SRL458747:SRL458749 TBH458747:TBH458749 TLD458747:TLD458749 TUZ458747:TUZ458749 UEV458747:UEV458749 UOR458747:UOR458749 UYN458747:UYN458749 VIJ458747:VIJ458749 VSF458747:VSF458749 WCB458747:WCB458749 WLX458747:WLX458749 WVT458747:WVT458749 S524283:S524285 JH524283:JH524285 TD524283:TD524285 ACZ524283:ACZ524285 AMV524283:AMV524285 AWR524283:AWR524285 BGN524283:BGN524285 BQJ524283:BQJ524285 CAF524283:CAF524285 CKB524283:CKB524285 CTX524283:CTX524285 DDT524283:DDT524285 DNP524283:DNP524285 DXL524283:DXL524285 EHH524283:EHH524285 ERD524283:ERD524285 FAZ524283:FAZ524285 FKV524283:FKV524285 FUR524283:FUR524285 GEN524283:GEN524285 GOJ524283:GOJ524285 GYF524283:GYF524285 HIB524283:HIB524285 HRX524283:HRX524285 IBT524283:IBT524285 ILP524283:ILP524285 IVL524283:IVL524285 JFH524283:JFH524285 JPD524283:JPD524285 JYZ524283:JYZ524285 KIV524283:KIV524285 KSR524283:KSR524285 LCN524283:LCN524285 LMJ524283:LMJ524285 LWF524283:LWF524285 MGB524283:MGB524285 MPX524283:MPX524285 MZT524283:MZT524285 NJP524283:NJP524285 NTL524283:NTL524285 ODH524283:ODH524285 OND524283:OND524285 OWZ524283:OWZ524285 PGV524283:PGV524285 PQR524283:PQR524285 QAN524283:QAN524285 QKJ524283:QKJ524285 QUF524283:QUF524285 REB524283:REB524285 RNX524283:RNX524285 RXT524283:RXT524285 SHP524283:SHP524285 SRL524283:SRL524285 TBH524283:TBH524285 TLD524283:TLD524285 TUZ524283:TUZ524285 UEV524283:UEV524285 UOR524283:UOR524285 UYN524283:UYN524285 VIJ524283:VIJ524285 VSF524283:VSF524285 WCB524283:WCB524285 WLX524283:WLX524285 WVT524283:WVT524285 S589819:S589821 JH589819:JH589821 TD589819:TD589821 ACZ589819:ACZ589821 AMV589819:AMV589821 AWR589819:AWR589821 BGN589819:BGN589821 BQJ589819:BQJ589821 CAF589819:CAF589821 CKB589819:CKB589821 CTX589819:CTX589821 DDT589819:DDT589821 DNP589819:DNP589821 DXL589819:DXL589821 EHH589819:EHH589821 ERD589819:ERD589821 FAZ589819:FAZ589821 FKV589819:FKV589821 FUR589819:FUR589821 GEN589819:GEN589821 GOJ589819:GOJ589821 GYF589819:GYF589821 HIB589819:HIB589821 HRX589819:HRX589821 IBT589819:IBT589821 ILP589819:ILP589821 IVL589819:IVL589821 JFH589819:JFH589821 JPD589819:JPD589821 JYZ589819:JYZ589821 KIV589819:KIV589821 KSR589819:KSR589821 LCN589819:LCN589821 LMJ589819:LMJ589821 LWF589819:LWF589821 MGB589819:MGB589821 MPX589819:MPX589821 MZT589819:MZT589821 NJP589819:NJP589821 NTL589819:NTL589821 ODH589819:ODH589821 OND589819:OND589821 OWZ589819:OWZ589821 PGV589819:PGV589821 PQR589819:PQR589821 QAN589819:QAN589821 QKJ589819:QKJ589821 QUF589819:QUF589821 REB589819:REB589821 RNX589819:RNX589821 RXT589819:RXT589821 SHP589819:SHP589821 SRL589819:SRL589821 TBH589819:TBH589821 TLD589819:TLD589821 TUZ589819:TUZ589821 UEV589819:UEV589821 UOR589819:UOR589821 UYN589819:UYN589821 VIJ589819:VIJ589821 VSF589819:VSF589821 WCB589819:WCB589821 WLX589819:WLX589821 WVT589819:WVT589821 S655355:S655357 JH655355:JH655357 TD655355:TD655357 ACZ655355:ACZ655357 AMV655355:AMV655357 AWR655355:AWR655357 BGN655355:BGN655357 BQJ655355:BQJ655357 CAF655355:CAF655357 CKB655355:CKB655357 CTX655355:CTX655357 DDT655355:DDT655357 DNP655355:DNP655357 DXL655355:DXL655357 EHH655355:EHH655357 ERD655355:ERD655357 FAZ655355:FAZ655357 FKV655355:FKV655357 FUR655355:FUR655357 GEN655355:GEN655357 GOJ655355:GOJ655357 GYF655355:GYF655357 HIB655355:HIB655357 HRX655355:HRX655357 IBT655355:IBT655357 ILP655355:ILP655357 IVL655355:IVL655357 JFH655355:JFH655357 JPD655355:JPD655357 JYZ655355:JYZ655357 KIV655355:KIV655357 KSR655355:KSR655357 LCN655355:LCN655357 LMJ655355:LMJ655357 LWF655355:LWF655357 MGB655355:MGB655357 MPX655355:MPX655357 MZT655355:MZT655357 NJP655355:NJP655357 NTL655355:NTL655357 ODH655355:ODH655357 OND655355:OND655357 OWZ655355:OWZ655357 PGV655355:PGV655357 PQR655355:PQR655357 QAN655355:QAN655357 QKJ655355:QKJ655357 QUF655355:QUF655357 REB655355:REB655357 RNX655355:RNX655357 RXT655355:RXT655357 SHP655355:SHP655357 SRL655355:SRL655357 TBH655355:TBH655357 TLD655355:TLD655357 TUZ655355:TUZ655357 UEV655355:UEV655357 UOR655355:UOR655357 UYN655355:UYN655357 VIJ655355:VIJ655357 VSF655355:VSF655357 WCB655355:WCB655357 WLX655355:WLX655357 WVT655355:WVT655357 S720891:S720893 JH720891:JH720893 TD720891:TD720893 ACZ720891:ACZ720893 AMV720891:AMV720893 AWR720891:AWR720893 BGN720891:BGN720893 BQJ720891:BQJ720893 CAF720891:CAF720893 CKB720891:CKB720893 CTX720891:CTX720893 DDT720891:DDT720893 DNP720891:DNP720893 DXL720891:DXL720893 EHH720891:EHH720893 ERD720891:ERD720893 FAZ720891:FAZ720893 FKV720891:FKV720893 FUR720891:FUR720893 GEN720891:GEN720893 GOJ720891:GOJ720893 GYF720891:GYF720893 HIB720891:HIB720893 HRX720891:HRX720893 IBT720891:IBT720893 ILP720891:ILP720893 IVL720891:IVL720893 JFH720891:JFH720893 JPD720891:JPD720893 JYZ720891:JYZ720893 KIV720891:KIV720893 KSR720891:KSR720893 LCN720891:LCN720893 LMJ720891:LMJ720893 LWF720891:LWF720893 MGB720891:MGB720893 MPX720891:MPX720893 MZT720891:MZT720893 NJP720891:NJP720893 NTL720891:NTL720893 ODH720891:ODH720893 OND720891:OND720893 OWZ720891:OWZ720893 PGV720891:PGV720893 PQR720891:PQR720893 QAN720891:QAN720893 QKJ720891:QKJ720893 QUF720891:QUF720893 REB720891:REB720893 RNX720891:RNX720893 RXT720891:RXT720893 SHP720891:SHP720893 SRL720891:SRL720893 TBH720891:TBH720893 TLD720891:TLD720893 TUZ720891:TUZ720893 UEV720891:UEV720893 UOR720891:UOR720893 UYN720891:UYN720893 VIJ720891:VIJ720893 VSF720891:VSF720893 WCB720891:WCB720893 WLX720891:WLX720893 WVT720891:WVT720893 S786427:S786429 JH786427:JH786429 TD786427:TD786429 ACZ786427:ACZ786429 AMV786427:AMV786429 AWR786427:AWR786429 BGN786427:BGN786429 BQJ786427:BQJ786429 CAF786427:CAF786429 CKB786427:CKB786429 CTX786427:CTX786429 DDT786427:DDT786429 DNP786427:DNP786429 DXL786427:DXL786429 EHH786427:EHH786429 ERD786427:ERD786429 FAZ786427:FAZ786429 FKV786427:FKV786429 FUR786427:FUR786429 GEN786427:GEN786429 GOJ786427:GOJ786429 GYF786427:GYF786429 HIB786427:HIB786429 HRX786427:HRX786429 IBT786427:IBT786429 ILP786427:ILP786429 IVL786427:IVL786429 JFH786427:JFH786429 JPD786427:JPD786429 JYZ786427:JYZ786429 KIV786427:KIV786429 KSR786427:KSR786429 LCN786427:LCN786429 LMJ786427:LMJ786429 LWF786427:LWF786429 MGB786427:MGB786429 MPX786427:MPX786429 MZT786427:MZT786429 NJP786427:NJP786429 NTL786427:NTL786429 ODH786427:ODH786429 OND786427:OND786429 OWZ786427:OWZ786429 PGV786427:PGV786429 PQR786427:PQR786429 QAN786427:QAN786429 QKJ786427:QKJ786429 QUF786427:QUF786429 REB786427:REB786429 RNX786427:RNX786429 RXT786427:RXT786429 SHP786427:SHP786429 SRL786427:SRL786429 TBH786427:TBH786429 TLD786427:TLD786429 TUZ786427:TUZ786429 UEV786427:UEV786429 UOR786427:UOR786429 UYN786427:UYN786429 VIJ786427:VIJ786429 VSF786427:VSF786429 WCB786427:WCB786429 WLX786427:WLX786429 WVT786427:WVT786429 S851963:S851965 JH851963:JH851965 TD851963:TD851965 ACZ851963:ACZ851965 AMV851963:AMV851965 AWR851963:AWR851965 BGN851963:BGN851965 BQJ851963:BQJ851965 CAF851963:CAF851965 CKB851963:CKB851965 CTX851963:CTX851965 DDT851963:DDT851965 DNP851963:DNP851965 DXL851963:DXL851965 EHH851963:EHH851965 ERD851963:ERD851965 FAZ851963:FAZ851965 FKV851963:FKV851965 FUR851963:FUR851965 GEN851963:GEN851965 GOJ851963:GOJ851965 GYF851963:GYF851965 HIB851963:HIB851965 HRX851963:HRX851965 IBT851963:IBT851965 ILP851963:ILP851965 IVL851963:IVL851965 JFH851963:JFH851965 JPD851963:JPD851965 JYZ851963:JYZ851965 KIV851963:KIV851965 KSR851963:KSR851965 LCN851963:LCN851965 LMJ851963:LMJ851965 LWF851963:LWF851965 MGB851963:MGB851965 MPX851963:MPX851965 MZT851963:MZT851965 NJP851963:NJP851965 NTL851963:NTL851965 ODH851963:ODH851965 OND851963:OND851965 OWZ851963:OWZ851965 PGV851963:PGV851965 PQR851963:PQR851965 QAN851963:QAN851965 QKJ851963:QKJ851965 QUF851963:QUF851965 REB851963:REB851965 RNX851963:RNX851965 RXT851963:RXT851965 SHP851963:SHP851965 SRL851963:SRL851965 TBH851963:TBH851965 TLD851963:TLD851965 TUZ851963:TUZ851965 UEV851963:UEV851965 UOR851963:UOR851965 UYN851963:UYN851965 VIJ851963:VIJ851965 VSF851963:VSF851965 WCB851963:WCB851965 WLX851963:WLX851965 WVT851963:WVT851965 S917499:S917501 JH917499:JH917501 TD917499:TD917501 ACZ917499:ACZ917501 AMV917499:AMV917501 AWR917499:AWR917501 BGN917499:BGN917501 BQJ917499:BQJ917501 CAF917499:CAF917501 CKB917499:CKB917501 CTX917499:CTX917501 DDT917499:DDT917501 DNP917499:DNP917501 DXL917499:DXL917501 EHH917499:EHH917501 ERD917499:ERD917501 FAZ917499:FAZ917501 FKV917499:FKV917501 FUR917499:FUR917501 GEN917499:GEN917501 GOJ917499:GOJ917501 GYF917499:GYF917501 HIB917499:HIB917501 HRX917499:HRX917501 IBT917499:IBT917501 ILP917499:ILP917501 IVL917499:IVL917501 JFH917499:JFH917501 JPD917499:JPD917501 JYZ917499:JYZ917501 KIV917499:KIV917501 KSR917499:KSR917501 LCN917499:LCN917501 LMJ917499:LMJ917501 LWF917499:LWF917501 MGB917499:MGB917501 MPX917499:MPX917501 MZT917499:MZT917501 NJP917499:NJP917501 NTL917499:NTL917501 ODH917499:ODH917501 OND917499:OND917501 OWZ917499:OWZ917501 PGV917499:PGV917501 PQR917499:PQR917501 QAN917499:QAN917501 QKJ917499:QKJ917501 QUF917499:QUF917501 REB917499:REB917501 RNX917499:RNX917501 RXT917499:RXT917501 SHP917499:SHP917501 SRL917499:SRL917501 TBH917499:TBH917501 TLD917499:TLD917501 TUZ917499:TUZ917501 UEV917499:UEV917501 UOR917499:UOR917501 UYN917499:UYN917501 VIJ917499:VIJ917501 VSF917499:VSF917501 WCB917499:WCB917501 WLX917499:WLX917501 WVT917499:WVT917501 S983035:S983037 JH983035:JH983037 TD983035:TD983037 ACZ983035:ACZ983037 AMV983035:AMV983037 AWR983035:AWR983037 BGN983035:BGN983037 BQJ983035:BQJ983037 CAF983035:CAF983037 CKB983035:CKB983037 CTX983035:CTX983037 DDT983035:DDT983037 DNP983035:DNP983037 DXL983035:DXL983037 EHH983035:EHH983037 ERD983035:ERD983037 FAZ983035:FAZ983037 FKV983035:FKV983037 FUR983035:FUR983037 GEN983035:GEN983037 GOJ983035:GOJ983037 GYF983035:GYF983037 HIB983035:HIB983037 HRX983035:HRX983037 IBT983035:IBT983037 ILP983035:ILP983037 IVL983035:IVL983037 JFH983035:JFH983037 JPD983035:JPD983037 JYZ983035:JYZ983037 KIV983035:KIV983037 KSR983035:KSR983037 LCN983035:LCN983037 LMJ983035:LMJ983037 LWF983035:LWF983037 MGB983035:MGB983037 MPX983035:MPX983037 MZT983035:MZT983037 NJP983035:NJP983037 NTL983035:NTL983037 ODH983035:ODH983037 OND983035:OND983037 OWZ983035:OWZ983037 PGV983035:PGV983037 PQR983035:PQR983037 QAN983035:QAN983037 QKJ983035:QKJ983037 QUF983035:QUF983037 REB983035:REB983037 RNX983035:RNX983037 RXT983035:RXT983037 SHP983035:SHP983037 SRL983035:SRL983037 TBH983035:TBH983037 TLD983035:TLD983037 TUZ983035:TUZ983037 UEV983035:UEV983037 UOR983035:UOR983037 UYN983035:UYN983037 VIJ983035:VIJ983037 VSF983035:VSF983037 WCB983035:WCB983037 WLX983035:WLX983037 WVT983035:WVT983037 U65537:U65560 JJ65537:JJ65560 TF65537:TF65560 ADB65537:ADB65560 AMX65537:AMX65560 AWT65537:AWT65560 BGP65537:BGP65560 BQL65537:BQL65560 CAH65537:CAH65560 CKD65537:CKD65560 CTZ65537:CTZ65560 DDV65537:DDV65560 DNR65537:DNR65560 DXN65537:DXN65560 EHJ65537:EHJ65560 ERF65537:ERF65560 FBB65537:FBB65560 FKX65537:FKX65560 FUT65537:FUT65560 GEP65537:GEP65560 GOL65537:GOL65560 GYH65537:GYH65560 HID65537:HID65560 HRZ65537:HRZ65560 IBV65537:IBV65560 ILR65537:ILR65560 IVN65537:IVN65560 JFJ65537:JFJ65560 JPF65537:JPF65560 JZB65537:JZB65560 KIX65537:KIX65560 KST65537:KST65560 LCP65537:LCP65560 LML65537:LML65560 LWH65537:LWH65560 MGD65537:MGD65560 MPZ65537:MPZ65560 MZV65537:MZV65560 NJR65537:NJR65560 NTN65537:NTN65560 ODJ65537:ODJ65560 ONF65537:ONF65560 OXB65537:OXB65560 PGX65537:PGX65560 PQT65537:PQT65560 QAP65537:QAP65560 QKL65537:QKL65560 QUH65537:QUH65560 RED65537:RED65560 RNZ65537:RNZ65560 RXV65537:RXV65560 SHR65537:SHR65560 SRN65537:SRN65560 TBJ65537:TBJ65560 TLF65537:TLF65560 TVB65537:TVB65560 UEX65537:UEX65560 UOT65537:UOT65560 UYP65537:UYP65560 VIL65537:VIL65560 VSH65537:VSH65560 WCD65537:WCD65560 WLZ65537:WLZ65560 WVV65537:WVV65560 U131073:U131096 JJ131073:JJ131096 TF131073:TF131096 ADB131073:ADB131096 AMX131073:AMX131096 AWT131073:AWT131096 BGP131073:BGP131096 BQL131073:BQL131096 CAH131073:CAH131096 CKD131073:CKD131096 CTZ131073:CTZ131096 DDV131073:DDV131096 DNR131073:DNR131096 DXN131073:DXN131096 EHJ131073:EHJ131096 ERF131073:ERF131096 FBB131073:FBB131096 FKX131073:FKX131096 FUT131073:FUT131096 GEP131073:GEP131096 GOL131073:GOL131096 GYH131073:GYH131096 HID131073:HID131096 HRZ131073:HRZ131096 IBV131073:IBV131096 ILR131073:ILR131096 IVN131073:IVN131096 JFJ131073:JFJ131096 JPF131073:JPF131096 JZB131073:JZB131096 KIX131073:KIX131096 KST131073:KST131096 LCP131073:LCP131096 LML131073:LML131096 LWH131073:LWH131096 MGD131073:MGD131096 MPZ131073:MPZ131096 MZV131073:MZV131096 NJR131073:NJR131096 NTN131073:NTN131096 ODJ131073:ODJ131096 ONF131073:ONF131096 OXB131073:OXB131096 PGX131073:PGX131096 PQT131073:PQT131096 QAP131073:QAP131096 QKL131073:QKL131096 QUH131073:QUH131096 RED131073:RED131096 RNZ131073:RNZ131096 RXV131073:RXV131096 SHR131073:SHR131096 SRN131073:SRN131096 TBJ131073:TBJ131096 TLF131073:TLF131096 TVB131073:TVB131096 UEX131073:UEX131096 UOT131073:UOT131096 UYP131073:UYP131096 VIL131073:VIL131096 VSH131073:VSH131096 WCD131073:WCD131096 WLZ131073:WLZ131096 WVV131073:WVV131096 U196609:U196632 JJ196609:JJ196632 TF196609:TF196632 ADB196609:ADB196632 AMX196609:AMX196632 AWT196609:AWT196632 BGP196609:BGP196632 BQL196609:BQL196632 CAH196609:CAH196632 CKD196609:CKD196632 CTZ196609:CTZ196632 DDV196609:DDV196632 DNR196609:DNR196632 DXN196609:DXN196632 EHJ196609:EHJ196632 ERF196609:ERF196632 FBB196609:FBB196632 FKX196609:FKX196632 FUT196609:FUT196632 GEP196609:GEP196632 GOL196609:GOL196632 GYH196609:GYH196632 HID196609:HID196632 HRZ196609:HRZ196632 IBV196609:IBV196632 ILR196609:ILR196632 IVN196609:IVN196632 JFJ196609:JFJ196632 JPF196609:JPF196632 JZB196609:JZB196632 KIX196609:KIX196632 KST196609:KST196632 LCP196609:LCP196632 LML196609:LML196632 LWH196609:LWH196632 MGD196609:MGD196632 MPZ196609:MPZ196632 MZV196609:MZV196632 NJR196609:NJR196632 NTN196609:NTN196632 ODJ196609:ODJ196632 ONF196609:ONF196632 OXB196609:OXB196632 PGX196609:PGX196632 PQT196609:PQT196632 QAP196609:QAP196632 QKL196609:QKL196632 QUH196609:QUH196632 RED196609:RED196632 RNZ196609:RNZ196632 RXV196609:RXV196632 SHR196609:SHR196632 SRN196609:SRN196632 TBJ196609:TBJ196632 TLF196609:TLF196632 TVB196609:TVB196632 UEX196609:UEX196632 UOT196609:UOT196632 UYP196609:UYP196632 VIL196609:VIL196632 VSH196609:VSH196632 WCD196609:WCD196632 WLZ196609:WLZ196632 WVV196609:WVV196632 U262145:U262168 JJ262145:JJ262168 TF262145:TF262168 ADB262145:ADB262168 AMX262145:AMX262168 AWT262145:AWT262168 BGP262145:BGP262168 BQL262145:BQL262168 CAH262145:CAH262168 CKD262145:CKD262168 CTZ262145:CTZ262168 DDV262145:DDV262168 DNR262145:DNR262168 DXN262145:DXN262168 EHJ262145:EHJ262168 ERF262145:ERF262168 FBB262145:FBB262168 FKX262145:FKX262168 FUT262145:FUT262168 GEP262145:GEP262168 GOL262145:GOL262168 GYH262145:GYH262168 HID262145:HID262168 HRZ262145:HRZ262168 IBV262145:IBV262168 ILR262145:ILR262168 IVN262145:IVN262168 JFJ262145:JFJ262168 JPF262145:JPF262168 JZB262145:JZB262168 KIX262145:KIX262168 KST262145:KST262168 LCP262145:LCP262168 LML262145:LML262168 LWH262145:LWH262168 MGD262145:MGD262168 MPZ262145:MPZ262168 MZV262145:MZV262168 NJR262145:NJR262168 NTN262145:NTN262168 ODJ262145:ODJ262168 ONF262145:ONF262168 OXB262145:OXB262168 PGX262145:PGX262168 PQT262145:PQT262168 QAP262145:QAP262168 QKL262145:QKL262168 QUH262145:QUH262168 RED262145:RED262168 RNZ262145:RNZ262168 RXV262145:RXV262168 SHR262145:SHR262168 SRN262145:SRN262168 TBJ262145:TBJ262168 TLF262145:TLF262168 TVB262145:TVB262168 UEX262145:UEX262168 UOT262145:UOT262168 UYP262145:UYP262168 VIL262145:VIL262168 VSH262145:VSH262168 WCD262145:WCD262168 WLZ262145:WLZ262168 WVV262145:WVV262168 U327681:U327704 JJ327681:JJ327704 TF327681:TF327704 ADB327681:ADB327704 AMX327681:AMX327704 AWT327681:AWT327704 BGP327681:BGP327704 BQL327681:BQL327704 CAH327681:CAH327704 CKD327681:CKD327704 CTZ327681:CTZ327704 DDV327681:DDV327704 DNR327681:DNR327704 DXN327681:DXN327704 EHJ327681:EHJ327704 ERF327681:ERF327704 FBB327681:FBB327704 FKX327681:FKX327704 FUT327681:FUT327704 GEP327681:GEP327704 GOL327681:GOL327704 GYH327681:GYH327704 HID327681:HID327704 HRZ327681:HRZ327704 IBV327681:IBV327704 ILR327681:ILR327704 IVN327681:IVN327704 JFJ327681:JFJ327704 JPF327681:JPF327704 JZB327681:JZB327704 KIX327681:KIX327704 KST327681:KST327704 LCP327681:LCP327704 LML327681:LML327704 LWH327681:LWH327704 MGD327681:MGD327704 MPZ327681:MPZ327704 MZV327681:MZV327704 NJR327681:NJR327704 NTN327681:NTN327704 ODJ327681:ODJ327704 ONF327681:ONF327704 OXB327681:OXB327704 PGX327681:PGX327704 PQT327681:PQT327704 QAP327681:QAP327704 QKL327681:QKL327704 QUH327681:QUH327704 RED327681:RED327704 RNZ327681:RNZ327704 RXV327681:RXV327704 SHR327681:SHR327704 SRN327681:SRN327704 TBJ327681:TBJ327704 TLF327681:TLF327704 TVB327681:TVB327704 UEX327681:UEX327704 UOT327681:UOT327704 UYP327681:UYP327704 VIL327681:VIL327704 VSH327681:VSH327704 WCD327681:WCD327704 WLZ327681:WLZ327704 WVV327681:WVV327704 U393217:U393240 JJ393217:JJ393240 TF393217:TF393240 ADB393217:ADB393240 AMX393217:AMX393240 AWT393217:AWT393240 BGP393217:BGP393240 BQL393217:BQL393240 CAH393217:CAH393240 CKD393217:CKD393240 CTZ393217:CTZ393240 DDV393217:DDV393240 DNR393217:DNR393240 DXN393217:DXN393240 EHJ393217:EHJ393240 ERF393217:ERF393240 FBB393217:FBB393240 FKX393217:FKX393240 FUT393217:FUT393240 GEP393217:GEP393240 GOL393217:GOL393240 GYH393217:GYH393240 HID393217:HID393240 HRZ393217:HRZ393240 IBV393217:IBV393240 ILR393217:ILR393240 IVN393217:IVN393240 JFJ393217:JFJ393240 JPF393217:JPF393240 JZB393217:JZB393240 KIX393217:KIX393240 KST393217:KST393240 LCP393217:LCP393240 LML393217:LML393240 LWH393217:LWH393240 MGD393217:MGD393240 MPZ393217:MPZ393240 MZV393217:MZV393240 NJR393217:NJR393240 NTN393217:NTN393240 ODJ393217:ODJ393240 ONF393217:ONF393240 OXB393217:OXB393240 PGX393217:PGX393240 PQT393217:PQT393240 QAP393217:QAP393240 QKL393217:QKL393240 QUH393217:QUH393240 RED393217:RED393240 RNZ393217:RNZ393240 RXV393217:RXV393240 SHR393217:SHR393240 SRN393217:SRN393240 TBJ393217:TBJ393240 TLF393217:TLF393240 TVB393217:TVB393240 UEX393217:UEX393240 UOT393217:UOT393240 UYP393217:UYP393240 VIL393217:VIL393240 VSH393217:VSH393240 WCD393217:WCD393240 WLZ393217:WLZ393240 WVV393217:WVV393240 U458753:U458776 JJ458753:JJ458776 TF458753:TF458776 ADB458753:ADB458776 AMX458753:AMX458776 AWT458753:AWT458776 BGP458753:BGP458776 BQL458753:BQL458776 CAH458753:CAH458776 CKD458753:CKD458776 CTZ458753:CTZ458776 DDV458753:DDV458776 DNR458753:DNR458776 DXN458753:DXN458776 EHJ458753:EHJ458776 ERF458753:ERF458776 FBB458753:FBB458776 FKX458753:FKX458776 FUT458753:FUT458776 GEP458753:GEP458776 GOL458753:GOL458776 GYH458753:GYH458776 HID458753:HID458776 HRZ458753:HRZ458776 IBV458753:IBV458776 ILR458753:ILR458776 IVN458753:IVN458776 JFJ458753:JFJ458776 JPF458753:JPF458776 JZB458753:JZB458776 KIX458753:KIX458776 KST458753:KST458776 LCP458753:LCP458776 LML458753:LML458776 LWH458753:LWH458776 MGD458753:MGD458776 MPZ458753:MPZ458776 MZV458753:MZV458776 NJR458753:NJR458776 NTN458753:NTN458776 ODJ458753:ODJ458776 ONF458753:ONF458776 OXB458753:OXB458776 PGX458753:PGX458776 PQT458753:PQT458776 QAP458753:QAP458776 QKL458753:QKL458776 QUH458753:QUH458776 RED458753:RED458776 RNZ458753:RNZ458776 RXV458753:RXV458776 SHR458753:SHR458776 SRN458753:SRN458776 TBJ458753:TBJ458776 TLF458753:TLF458776 TVB458753:TVB458776 UEX458753:UEX458776 UOT458753:UOT458776 UYP458753:UYP458776 VIL458753:VIL458776 VSH458753:VSH458776 WCD458753:WCD458776 WLZ458753:WLZ458776 WVV458753:WVV458776 U524289:U524312 JJ524289:JJ524312 TF524289:TF524312 ADB524289:ADB524312 AMX524289:AMX524312 AWT524289:AWT524312 BGP524289:BGP524312 BQL524289:BQL524312 CAH524289:CAH524312 CKD524289:CKD524312 CTZ524289:CTZ524312 DDV524289:DDV524312 DNR524289:DNR524312 DXN524289:DXN524312 EHJ524289:EHJ524312 ERF524289:ERF524312 FBB524289:FBB524312 FKX524289:FKX524312 FUT524289:FUT524312 GEP524289:GEP524312 GOL524289:GOL524312 GYH524289:GYH524312 HID524289:HID524312 HRZ524289:HRZ524312 IBV524289:IBV524312 ILR524289:ILR524312 IVN524289:IVN524312 JFJ524289:JFJ524312 JPF524289:JPF524312 JZB524289:JZB524312 KIX524289:KIX524312 KST524289:KST524312 LCP524289:LCP524312 LML524289:LML524312 LWH524289:LWH524312 MGD524289:MGD524312 MPZ524289:MPZ524312 MZV524289:MZV524312 NJR524289:NJR524312 NTN524289:NTN524312 ODJ524289:ODJ524312 ONF524289:ONF524312 OXB524289:OXB524312 PGX524289:PGX524312 PQT524289:PQT524312 QAP524289:QAP524312 QKL524289:QKL524312 QUH524289:QUH524312 RED524289:RED524312 RNZ524289:RNZ524312 RXV524289:RXV524312 SHR524289:SHR524312 SRN524289:SRN524312 TBJ524289:TBJ524312 TLF524289:TLF524312 TVB524289:TVB524312 UEX524289:UEX524312 UOT524289:UOT524312 UYP524289:UYP524312 VIL524289:VIL524312 VSH524289:VSH524312 WCD524289:WCD524312 WLZ524289:WLZ524312 WVV524289:WVV524312 U589825:U589848 JJ589825:JJ589848 TF589825:TF589848 ADB589825:ADB589848 AMX589825:AMX589848 AWT589825:AWT589848 BGP589825:BGP589848 BQL589825:BQL589848 CAH589825:CAH589848 CKD589825:CKD589848 CTZ589825:CTZ589848 DDV589825:DDV589848 DNR589825:DNR589848 DXN589825:DXN589848 EHJ589825:EHJ589848 ERF589825:ERF589848 FBB589825:FBB589848 FKX589825:FKX589848 FUT589825:FUT589848 GEP589825:GEP589848 GOL589825:GOL589848 GYH589825:GYH589848 HID589825:HID589848 HRZ589825:HRZ589848 IBV589825:IBV589848 ILR589825:ILR589848 IVN589825:IVN589848 JFJ589825:JFJ589848 JPF589825:JPF589848 JZB589825:JZB589848 KIX589825:KIX589848 KST589825:KST589848 LCP589825:LCP589848 LML589825:LML589848 LWH589825:LWH589848 MGD589825:MGD589848 MPZ589825:MPZ589848 MZV589825:MZV589848 NJR589825:NJR589848 NTN589825:NTN589848 ODJ589825:ODJ589848 ONF589825:ONF589848 OXB589825:OXB589848 PGX589825:PGX589848 PQT589825:PQT589848 QAP589825:QAP589848 QKL589825:QKL589848 QUH589825:QUH589848 RED589825:RED589848 RNZ589825:RNZ589848 RXV589825:RXV589848 SHR589825:SHR589848 SRN589825:SRN589848 TBJ589825:TBJ589848 TLF589825:TLF589848 TVB589825:TVB589848 UEX589825:UEX589848 UOT589825:UOT589848 UYP589825:UYP589848 VIL589825:VIL589848 VSH589825:VSH589848 WCD589825:WCD589848 WLZ589825:WLZ589848 WVV589825:WVV589848 U655361:U655384 JJ655361:JJ655384 TF655361:TF655384 ADB655361:ADB655384 AMX655361:AMX655384 AWT655361:AWT655384 BGP655361:BGP655384 BQL655361:BQL655384 CAH655361:CAH655384 CKD655361:CKD655384 CTZ655361:CTZ655384 DDV655361:DDV655384 DNR655361:DNR655384 DXN655361:DXN655384 EHJ655361:EHJ655384 ERF655361:ERF655384 FBB655361:FBB655384 FKX655361:FKX655384 FUT655361:FUT655384 GEP655361:GEP655384 GOL655361:GOL655384 GYH655361:GYH655384 HID655361:HID655384 HRZ655361:HRZ655384 IBV655361:IBV655384 ILR655361:ILR655384 IVN655361:IVN655384 JFJ655361:JFJ655384 JPF655361:JPF655384 JZB655361:JZB655384 KIX655361:KIX655384 KST655361:KST655384 LCP655361:LCP655384 LML655361:LML655384 LWH655361:LWH655384 MGD655361:MGD655384 MPZ655361:MPZ655384 MZV655361:MZV655384 NJR655361:NJR655384 NTN655361:NTN655384 ODJ655361:ODJ655384 ONF655361:ONF655384 OXB655361:OXB655384 PGX655361:PGX655384 PQT655361:PQT655384 QAP655361:QAP655384 QKL655361:QKL655384 QUH655361:QUH655384 RED655361:RED655384 RNZ655361:RNZ655384 RXV655361:RXV655384 SHR655361:SHR655384 SRN655361:SRN655384 TBJ655361:TBJ655384 TLF655361:TLF655384 TVB655361:TVB655384 UEX655361:UEX655384 UOT655361:UOT655384 UYP655361:UYP655384 VIL655361:VIL655384 VSH655361:VSH655384 WCD655361:WCD655384 WLZ655361:WLZ655384 WVV655361:WVV655384 U720897:U720920 JJ720897:JJ720920 TF720897:TF720920 ADB720897:ADB720920 AMX720897:AMX720920 AWT720897:AWT720920 BGP720897:BGP720920 BQL720897:BQL720920 CAH720897:CAH720920 CKD720897:CKD720920 CTZ720897:CTZ720920 DDV720897:DDV720920 DNR720897:DNR720920 DXN720897:DXN720920 EHJ720897:EHJ720920 ERF720897:ERF720920 FBB720897:FBB720920 FKX720897:FKX720920 FUT720897:FUT720920 GEP720897:GEP720920 GOL720897:GOL720920 GYH720897:GYH720920 HID720897:HID720920 HRZ720897:HRZ720920 IBV720897:IBV720920 ILR720897:ILR720920 IVN720897:IVN720920 JFJ720897:JFJ720920 JPF720897:JPF720920 JZB720897:JZB720920 KIX720897:KIX720920 KST720897:KST720920 LCP720897:LCP720920 LML720897:LML720920 LWH720897:LWH720920 MGD720897:MGD720920 MPZ720897:MPZ720920 MZV720897:MZV720920 NJR720897:NJR720920 NTN720897:NTN720920 ODJ720897:ODJ720920 ONF720897:ONF720920 OXB720897:OXB720920 PGX720897:PGX720920 PQT720897:PQT720920 QAP720897:QAP720920 QKL720897:QKL720920 QUH720897:QUH720920 RED720897:RED720920 RNZ720897:RNZ720920 RXV720897:RXV720920 SHR720897:SHR720920 SRN720897:SRN720920 TBJ720897:TBJ720920 TLF720897:TLF720920 TVB720897:TVB720920 UEX720897:UEX720920 UOT720897:UOT720920 UYP720897:UYP720920 VIL720897:VIL720920 VSH720897:VSH720920 WCD720897:WCD720920 WLZ720897:WLZ720920 WVV720897:WVV720920 U786433:U786456 JJ786433:JJ786456 TF786433:TF786456 ADB786433:ADB786456 AMX786433:AMX786456 AWT786433:AWT786456 BGP786433:BGP786456 BQL786433:BQL786456 CAH786433:CAH786456 CKD786433:CKD786456 CTZ786433:CTZ786456 DDV786433:DDV786456 DNR786433:DNR786456 DXN786433:DXN786456 EHJ786433:EHJ786456 ERF786433:ERF786456 FBB786433:FBB786456 FKX786433:FKX786456 FUT786433:FUT786456 GEP786433:GEP786456 GOL786433:GOL786456 GYH786433:GYH786456 HID786433:HID786456 HRZ786433:HRZ786456 IBV786433:IBV786456 ILR786433:ILR786456 IVN786433:IVN786456 JFJ786433:JFJ786456 JPF786433:JPF786456 JZB786433:JZB786456 KIX786433:KIX786456 KST786433:KST786456 LCP786433:LCP786456 LML786433:LML786456 LWH786433:LWH786456 MGD786433:MGD786456 MPZ786433:MPZ786456 MZV786433:MZV786456 NJR786433:NJR786456 NTN786433:NTN786456 ODJ786433:ODJ786456 ONF786433:ONF786456 OXB786433:OXB786456 PGX786433:PGX786456 PQT786433:PQT786456 QAP786433:QAP786456 QKL786433:QKL786456 QUH786433:QUH786456 RED786433:RED786456 RNZ786433:RNZ786456 RXV786433:RXV786456 SHR786433:SHR786456 SRN786433:SRN786456 TBJ786433:TBJ786456 TLF786433:TLF786456 TVB786433:TVB786456 UEX786433:UEX786456 UOT786433:UOT786456 UYP786433:UYP786456 VIL786433:VIL786456 VSH786433:VSH786456 WCD786433:WCD786456 WLZ786433:WLZ786456 WVV786433:WVV786456 U851969:U851992 JJ851969:JJ851992 TF851969:TF851992 ADB851969:ADB851992 AMX851969:AMX851992 AWT851969:AWT851992 BGP851969:BGP851992 BQL851969:BQL851992 CAH851969:CAH851992 CKD851969:CKD851992 CTZ851969:CTZ851992 DDV851969:DDV851992 DNR851969:DNR851992 DXN851969:DXN851992 EHJ851969:EHJ851992 ERF851969:ERF851992 FBB851969:FBB851992 FKX851969:FKX851992 FUT851969:FUT851992 GEP851969:GEP851992 GOL851969:GOL851992 GYH851969:GYH851992 HID851969:HID851992 HRZ851969:HRZ851992 IBV851969:IBV851992 ILR851969:ILR851992 IVN851969:IVN851992 JFJ851969:JFJ851992 JPF851969:JPF851992 JZB851969:JZB851992 KIX851969:KIX851992 KST851969:KST851992 LCP851969:LCP851992 LML851969:LML851992 LWH851969:LWH851992 MGD851969:MGD851992 MPZ851969:MPZ851992 MZV851969:MZV851992 NJR851969:NJR851992 NTN851969:NTN851992 ODJ851969:ODJ851992 ONF851969:ONF851992 OXB851969:OXB851992 PGX851969:PGX851992 PQT851969:PQT851992 QAP851969:QAP851992 QKL851969:QKL851992 QUH851969:QUH851992 RED851969:RED851992 RNZ851969:RNZ851992 RXV851969:RXV851992 SHR851969:SHR851992 SRN851969:SRN851992 TBJ851969:TBJ851992 TLF851969:TLF851992 TVB851969:TVB851992 UEX851969:UEX851992 UOT851969:UOT851992 UYP851969:UYP851992 VIL851969:VIL851992 VSH851969:VSH851992 WCD851969:WCD851992 WLZ851969:WLZ851992 WVV851969:WVV851992 U917505:U917528 JJ917505:JJ917528 TF917505:TF917528 ADB917505:ADB917528 AMX917505:AMX917528 AWT917505:AWT917528 BGP917505:BGP917528 BQL917505:BQL917528 CAH917505:CAH917528 CKD917505:CKD917528 CTZ917505:CTZ917528 DDV917505:DDV917528 DNR917505:DNR917528 DXN917505:DXN917528 EHJ917505:EHJ917528 ERF917505:ERF917528 FBB917505:FBB917528 FKX917505:FKX917528 FUT917505:FUT917528 GEP917505:GEP917528 GOL917505:GOL917528 GYH917505:GYH917528 HID917505:HID917528 HRZ917505:HRZ917528 IBV917505:IBV917528 ILR917505:ILR917528 IVN917505:IVN917528 JFJ917505:JFJ917528 JPF917505:JPF917528 JZB917505:JZB917528 KIX917505:KIX917528 KST917505:KST917528 LCP917505:LCP917528 LML917505:LML917528 LWH917505:LWH917528 MGD917505:MGD917528 MPZ917505:MPZ917528 MZV917505:MZV917528 NJR917505:NJR917528 NTN917505:NTN917528 ODJ917505:ODJ917528 ONF917505:ONF917528 OXB917505:OXB917528 PGX917505:PGX917528 PQT917505:PQT917528 QAP917505:QAP917528 QKL917505:QKL917528 QUH917505:QUH917528 RED917505:RED917528 RNZ917505:RNZ917528 RXV917505:RXV917528 SHR917505:SHR917528 SRN917505:SRN917528 TBJ917505:TBJ917528 TLF917505:TLF917528 TVB917505:TVB917528 UEX917505:UEX917528 UOT917505:UOT917528 UYP917505:UYP917528 VIL917505:VIL917528 VSH917505:VSH917528 WCD917505:WCD917528 WLZ917505:WLZ917528 WVV917505:WVV917528 U983041:U983064 JJ983041:JJ983064 TF983041:TF983064 ADB983041:ADB983064 AMX983041:AMX983064 AWT983041:AWT983064 BGP983041:BGP983064 BQL983041:BQL983064 CAH983041:CAH983064 CKD983041:CKD983064 CTZ983041:CTZ983064 DDV983041:DDV983064 DNR983041:DNR983064 DXN983041:DXN983064 EHJ983041:EHJ983064 ERF983041:ERF983064 FBB983041:FBB983064 FKX983041:FKX983064 FUT983041:FUT983064 GEP983041:GEP983064 GOL983041:GOL983064 GYH983041:GYH983064 HID983041:HID983064 HRZ983041:HRZ983064 IBV983041:IBV983064 ILR983041:ILR983064 IVN983041:IVN983064 JFJ983041:JFJ983064 JPF983041:JPF983064 JZB983041:JZB983064 KIX983041:KIX983064 KST983041:KST983064 LCP983041:LCP983064 LML983041:LML983064 LWH983041:LWH983064 MGD983041:MGD983064 MPZ983041:MPZ983064 MZV983041:MZV983064 NJR983041:NJR983064 NTN983041:NTN983064 ODJ983041:ODJ983064 ONF983041:ONF983064 OXB983041:OXB983064 PGX983041:PGX983064 PQT983041:PQT983064 QAP983041:QAP983064 QKL983041:QKL983064 QUH983041:QUH983064 RED983041:RED983064 RNZ983041:RNZ983064 RXV983041:RXV983064 SHR983041:SHR983064 SRN983041:SRN983064 TBJ983041:TBJ983064 TLF983041:TLF983064 TVB983041:TVB983064 UEX983041:UEX983064 UOT983041:UOT983064 UYP983041:UYP983064 VIL983041:VIL983064 VSH983041:VSH983064 WCD983041:WCD983064 WLZ983041:WLZ983064 WVV983041:WVV983064 JL65537:JL65560 TH65537:TH65560 ADD65537:ADD65560 AMZ65537:AMZ65560 AWV65537:AWV65560 BGR65537:BGR65560 BQN65537:BQN65560 CAJ65537:CAJ65560 CKF65537:CKF65560 CUB65537:CUB65560 DDX65537:DDX65560 DNT65537:DNT65560 DXP65537:DXP65560 EHL65537:EHL65560 ERH65537:ERH65560 FBD65537:FBD65560 FKZ65537:FKZ65560 FUV65537:FUV65560 GER65537:GER65560 GON65537:GON65560 GYJ65537:GYJ65560 HIF65537:HIF65560 HSB65537:HSB65560 IBX65537:IBX65560 ILT65537:ILT65560 IVP65537:IVP65560 JFL65537:JFL65560 JPH65537:JPH65560 JZD65537:JZD65560 KIZ65537:KIZ65560 KSV65537:KSV65560 LCR65537:LCR65560 LMN65537:LMN65560 LWJ65537:LWJ65560 MGF65537:MGF65560 MQB65537:MQB65560 MZX65537:MZX65560 NJT65537:NJT65560 NTP65537:NTP65560 ODL65537:ODL65560 ONH65537:ONH65560 OXD65537:OXD65560 PGZ65537:PGZ65560 PQV65537:PQV65560 QAR65537:QAR65560 QKN65537:QKN65560 QUJ65537:QUJ65560 REF65537:REF65560 ROB65537:ROB65560 RXX65537:RXX65560 SHT65537:SHT65560 SRP65537:SRP65560 TBL65537:TBL65560 TLH65537:TLH65560 TVD65537:TVD65560 UEZ65537:UEZ65560 UOV65537:UOV65560 UYR65537:UYR65560 VIN65537:VIN65560 VSJ65537:VSJ65560 WCF65537:WCF65560 WMB65537:WMB65560 WVX65537:WVX65560 JL131073:JL131096 TH131073:TH131096 ADD131073:ADD131096 AMZ131073:AMZ131096 AWV131073:AWV131096 BGR131073:BGR131096 BQN131073:BQN131096 CAJ131073:CAJ131096 CKF131073:CKF131096 CUB131073:CUB131096 DDX131073:DDX131096 DNT131073:DNT131096 DXP131073:DXP131096 EHL131073:EHL131096 ERH131073:ERH131096 FBD131073:FBD131096 FKZ131073:FKZ131096 FUV131073:FUV131096 GER131073:GER131096 GON131073:GON131096 GYJ131073:GYJ131096 HIF131073:HIF131096 HSB131073:HSB131096 IBX131073:IBX131096 ILT131073:ILT131096 IVP131073:IVP131096 JFL131073:JFL131096 JPH131073:JPH131096 JZD131073:JZD131096 KIZ131073:KIZ131096 KSV131073:KSV131096 LCR131073:LCR131096 LMN131073:LMN131096 LWJ131073:LWJ131096 MGF131073:MGF131096 MQB131073:MQB131096 MZX131073:MZX131096 NJT131073:NJT131096 NTP131073:NTP131096 ODL131073:ODL131096 ONH131073:ONH131096 OXD131073:OXD131096 PGZ131073:PGZ131096 PQV131073:PQV131096 QAR131073:QAR131096 QKN131073:QKN131096 QUJ131073:QUJ131096 REF131073:REF131096 ROB131073:ROB131096 RXX131073:RXX131096 SHT131073:SHT131096 SRP131073:SRP131096 TBL131073:TBL131096 TLH131073:TLH131096 TVD131073:TVD131096 UEZ131073:UEZ131096 UOV131073:UOV131096 UYR131073:UYR131096 VIN131073:VIN131096 VSJ131073:VSJ131096 WCF131073:WCF131096 WMB131073:WMB131096 WVX131073:WVX131096 JL196609:JL196632 TH196609:TH196632 ADD196609:ADD196632 AMZ196609:AMZ196632 AWV196609:AWV196632 BGR196609:BGR196632 BQN196609:BQN196632 CAJ196609:CAJ196632 CKF196609:CKF196632 CUB196609:CUB196632 DDX196609:DDX196632 DNT196609:DNT196632 DXP196609:DXP196632 EHL196609:EHL196632 ERH196609:ERH196632 FBD196609:FBD196632 FKZ196609:FKZ196632 FUV196609:FUV196632 GER196609:GER196632 GON196609:GON196632 GYJ196609:GYJ196632 HIF196609:HIF196632 HSB196609:HSB196632 IBX196609:IBX196632 ILT196609:ILT196632 IVP196609:IVP196632 JFL196609:JFL196632 JPH196609:JPH196632 JZD196609:JZD196632 KIZ196609:KIZ196632 KSV196609:KSV196632 LCR196609:LCR196632 LMN196609:LMN196632 LWJ196609:LWJ196632 MGF196609:MGF196632 MQB196609:MQB196632 MZX196609:MZX196632 NJT196609:NJT196632 NTP196609:NTP196632 ODL196609:ODL196632 ONH196609:ONH196632 OXD196609:OXD196632 PGZ196609:PGZ196632 PQV196609:PQV196632 QAR196609:QAR196632 QKN196609:QKN196632 QUJ196609:QUJ196632 REF196609:REF196632 ROB196609:ROB196632 RXX196609:RXX196632 SHT196609:SHT196632 SRP196609:SRP196632 TBL196609:TBL196632 TLH196609:TLH196632 TVD196609:TVD196632 UEZ196609:UEZ196632 UOV196609:UOV196632 UYR196609:UYR196632 VIN196609:VIN196632 VSJ196609:VSJ196632 WCF196609:WCF196632 WMB196609:WMB196632 WVX196609:WVX196632 JL262145:JL262168 TH262145:TH262168 ADD262145:ADD262168 AMZ262145:AMZ262168 AWV262145:AWV262168 BGR262145:BGR262168 BQN262145:BQN262168 CAJ262145:CAJ262168 CKF262145:CKF262168 CUB262145:CUB262168 DDX262145:DDX262168 DNT262145:DNT262168 DXP262145:DXP262168 EHL262145:EHL262168 ERH262145:ERH262168 FBD262145:FBD262168 FKZ262145:FKZ262168 FUV262145:FUV262168 GER262145:GER262168 GON262145:GON262168 GYJ262145:GYJ262168 HIF262145:HIF262168 HSB262145:HSB262168 IBX262145:IBX262168 ILT262145:ILT262168 IVP262145:IVP262168 JFL262145:JFL262168 JPH262145:JPH262168 JZD262145:JZD262168 KIZ262145:KIZ262168 KSV262145:KSV262168 LCR262145:LCR262168 LMN262145:LMN262168 LWJ262145:LWJ262168 MGF262145:MGF262168 MQB262145:MQB262168 MZX262145:MZX262168 NJT262145:NJT262168 NTP262145:NTP262168 ODL262145:ODL262168 ONH262145:ONH262168 OXD262145:OXD262168 PGZ262145:PGZ262168 PQV262145:PQV262168 QAR262145:QAR262168 QKN262145:QKN262168 QUJ262145:QUJ262168 REF262145:REF262168 ROB262145:ROB262168 RXX262145:RXX262168 SHT262145:SHT262168 SRP262145:SRP262168 TBL262145:TBL262168 TLH262145:TLH262168 TVD262145:TVD262168 UEZ262145:UEZ262168 UOV262145:UOV262168 UYR262145:UYR262168 VIN262145:VIN262168 VSJ262145:VSJ262168 WCF262145:WCF262168 WMB262145:WMB262168 WVX262145:WVX262168 JL327681:JL327704 TH327681:TH327704 ADD327681:ADD327704 AMZ327681:AMZ327704 AWV327681:AWV327704 BGR327681:BGR327704 BQN327681:BQN327704 CAJ327681:CAJ327704 CKF327681:CKF327704 CUB327681:CUB327704 DDX327681:DDX327704 DNT327681:DNT327704 DXP327681:DXP327704 EHL327681:EHL327704 ERH327681:ERH327704 FBD327681:FBD327704 FKZ327681:FKZ327704 FUV327681:FUV327704 GER327681:GER327704 GON327681:GON327704 GYJ327681:GYJ327704 HIF327681:HIF327704 HSB327681:HSB327704 IBX327681:IBX327704 ILT327681:ILT327704 IVP327681:IVP327704 JFL327681:JFL327704 JPH327681:JPH327704 JZD327681:JZD327704 KIZ327681:KIZ327704 KSV327681:KSV327704 LCR327681:LCR327704 LMN327681:LMN327704 LWJ327681:LWJ327704 MGF327681:MGF327704 MQB327681:MQB327704 MZX327681:MZX327704 NJT327681:NJT327704 NTP327681:NTP327704 ODL327681:ODL327704 ONH327681:ONH327704 OXD327681:OXD327704 PGZ327681:PGZ327704 PQV327681:PQV327704 QAR327681:QAR327704 QKN327681:QKN327704 QUJ327681:QUJ327704 REF327681:REF327704 ROB327681:ROB327704 RXX327681:RXX327704 SHT327681:SHT327704 SRP327681:SRP327704 TBL327681:TBL327704 TLH327681:TLH327704 TVD327681:TVD327704 UEZ327681:UEZ327704 UOV327681:UOV327704 UYR327681:UYR327704 VIN327681:VIN327704 VSJ327681:VSJ327704 WCF327681:WCF327704 WMB327681:WMB327704 WVX327681:WVX327704 JL393217:JL393240 TH393217:TH393240 ADD393217:ADD393240 AMZ393217:AMZ393240 AWV393217:AWV393240 BGR393217:BGR393240 BQN393217:BQN393240 CAJ393217:CAJ393240 CKF393217:CKF393240 CUB393217:CUB393240 DDX393217:DDX393240 DNT393217:DNT393240 DXP393217:DXP393240 EHL393217:EHL393240 ERH393217:ERH393240 FBD393217:FBD393240 FKZ393217:FKZ393240 FUV393217:FUV393240 GER393217:GER393240 GON393217:GON393240 GYJ393217:GYJ393240 HIF393217:HIF393240 HSB393217:HSB393240 IBX393217:IBX393240 ILT393217:ILT393240 IVP393217:IVP393240 JFL393217:JFL393240 JPH393217:JPH393240 JZD393217:JZD393240 KIZ393217:KIZ393240 KSV393217:KSV393240 LCR393217:LCR393240 LMN393217:LMN393240 LWJ393217:LWJ393240 MGF393217:MGF393240 MQB393217:MQB393240 MZX393217:MZX393240 NJT393217:NJT393240 NTP393217:NTP393240 ODL393217:ODL393240 ONH393217:ONH393240 OXD393217:OXD393240 PGZ393217:PGZ393240 PQV393217:PQV393240 QAR393217:QAR393240 QKN393217:QKN393240 QUJ393217:QUJ393240 REF393217:REF393240 ROB393217:ROB393240 RXX393217:RXX393240 SHT393217:SHT393240 SRP393217:SRP393240 TBL393217:TBL393240 TLH393217:TLH393240 TVD393217:TVD393240 UEZ393217:UEZ393240 UOV393217:UOV393240 UYR393217:UYR393240 VIN393217:VIN393240 VSJ393217:VSJ393240 WCF393217:WCF393240 WMB393217:WMB393240 WVX393217:WVX393240 JL458753:JL458776 TH458753:TH458776 ADD458753:ADD458776 AMZ458753:AMZ458776 AWV458753:AWV458776 BGR458753:BGR458776 BQN458753:BQN458776 CAJ458753:CAJ458776 CKF458753:CKF458776 CUB458753:CUB458776 DDX458753:DDX458776 DNT458753:DNT458776 DXP458753:DXP458776 EHL458753:EHL458776 ERH458753:ERH458776 FBD458753:FBD458776 FKZ458753:FKZ458776 FUV458753:FUV458776 GER458753:GER458776 GON458753:GON458776 GYJ458753:GYJ458776 HIF458753:HIF458776 HSB458753:HSB458776 IBX458753:IBX458776 ILT458753:ILT458776 IVP458753:IVP458776 JFL458753:JFL458776 JPH458753:JPH458776 JZD458753:JZD458776 KIZ458753:KIZ458776 KSV458753:KSV458776 LCR458753:LCR458776 LMN458753:LMN458776 LWJ458753:LWJ458776 MGF458753:MGF458776 MQB458753:MQB458776 MZX458753:MZX458776 NJT458753:NJT458776 NTP458753:NTP458776 ODL458753:ODL458776 ONH458753:ONH458776 OXD458753:OXD458776 PGZ458753:PGZ458776 PQV458753:PQV458776 QAR458753:QAR458776 QKN458753:QKN458776 QUJ458753:QUJ458776 REF458753:REF458776 ROB458753:ROB458776 RXX458753:RXX458776 SHT458753:SHT458776 SRP458753:SRP458776 TBL458753:TBL458776 TLH458753:TLH458776 TVD458753:TVD458776 UEZ458753:UEZ458776 UOV458753:UOV458776 UYR458753:UYR458776 VIN458753:VIN458776 VSJ458753:VSJ458776 WCF458753:WCF458776 WMB458753:WMB458776 WVX458753:WVX458776 JL524289:JL524312 TH524289:TH524312 ADD524289:ADD524312 AMZ524289:AMZ524312 AWV524289:AWV524312 BGR524289:BGR524312 BQN524289:BQN524312 CAJ524289:CAJ524312 CKF524289:CKF524312 CUB524289:CUB524312 DDX524289:DDX524312 DNT524289:DNT524312 DXP524289:DXP524312 EHL524289:EHL524312 ERH524289:ERH524312 FBD524289:FBD524312 FKZ524289:FKZ524312 FUV524289:FUV524312 GER524289:GER524312 GON524289:GON524312 GYJ524289:GYJ524312 HIF524289:HIF524312 HSB524289:HSB524312 IBX524289:IBX524312 ILT524289:ILT524312 IVP524289:IVP524312 JFL524289:JFL524312 JPH524289:JPH524312 JZD524289:JZD524312 KIZ524289:KIZ524312 KSV524289:KSV524312 LCR524289:LCR524312 LMN524289:LMN524312 LWJ524289:LWJ524312 MGF524289:MGF524312 MQB524289:MQB524312 MZX524289:MZX524312 NJT524289:NJT524312 NTP524289:NTP524312 ODL524289:ODL524312 ONH524289:ONH524312 OXD524289:OXD524312 PGZ524289:PGZ524312 PQV524289:PQV524312 QAR524289:QAR524312 QKN524289:QKN524312 QUJ524289:QUJ524312 REF524289:REF524312 ROB524289:ROB524312 RXX524289:RXX524312 SHT524289:SHT524312 SRP524289:SRP524312 TBL524289:TBL524312 TLH524289:TLH524312 TVD524289:TVD524312 UEZ524289:UEZ524312 UOV524289:UOV524312 UYR524289:UYR524312 VIN524289:VIN524312 VSJ524289:VSJ524312 WCF524289:WCF524312 WMB524289:WMB524312 WVX524289:WVX524312 JL589825:JL589848 TH589825:TH589848 ADD589825:ADD589848 AMZ589825:AMZ589848 AWV589825:AWV589848 BGR589825:BGR589848 BQN589825:BQN589848 CAJ589825:CAJ589848 CKF589825:CKF589848 CUB589825:CUB589848 DDX589825:DDX589848 DNT589825:DNT589848 DXP589825:DXP589848 EHL589825:EHL589848 ERH589825:ERH589848 FBD589825:FBD589848 FKZ589825:FKZ589848 FUV589825:FUV589848 GER589825:GER589848 GON589825:GON589848 GYJ589825:GYJ589848 HIF589825:HIF589848 HSB589825:HSB589848 IBX589825:IBX589848 ILT589825:ILT589848 IVP589825:IVP589848 JFL589825:JFL589848 JPH589825:JPH589848 JZD589825:JZD589848 KIZ589825:KIZ589848 KSV589825:KSV589848 LCR589825:LCR589848 LMN589825:LMN589848 LWJ589825:LWJ589848 MGF589825:MGF589848 MQB589825:MQB589848 MZX589825:MZX589848 NJT589825:NJT589848 NTP589825:NTP589848 ODL589825:ODL589848 ONH589825:ONH589848 OXD589825:OXD589848 PGZ589825:PGZ589848 PQV589825:PQV589848 QAR589825:QAR589848 QKN589825:QKN589848 QUJ589825:QUJ589848 REF589825:REF589848 ROB589825:ROB589848 RXX589825:RXX589848 SHT589825:SHT589848 SRP589825:SRP589848 TBL589825:TBL589848 TLH589825:TLH589848 TVD589825:TVD589848 UEZ589825:UEZ589848 UOV589825:UOV589848 UYR589825:UYR589848 VIN589825:VIN589848 VSJ589825:VSJ589848 WCF589825:WCF589848 WMB589825:WMB589848 WVX589825:WVX589848 JL655361:JL655384 TH655361:TH655384 ADD655361:ADD655384 AMZ655361:AMZ655384 AWV655361:AWV655384 BGR655361:BGR655384 BQN655361:BQN655384 CAJ655361:CAJ655384 CKF655361:CKF655384 CUB655361:CUB655384 DDX655361:DDX655384 DNT655361:DNT655384 DXP655361:DXP655384 EHL655361:EHL655384 ERH655361:ERH655384 FBD655361:FBD655384 FKZ655361:FKZ655384 FUV655361:FUV655384 GER655361:GER655384 GON655361:GON655384 GYJ655361:GYJ655384 HIF655361:HIF655384 HSB655361:HSB655384 IBX655361:IBX655384 ILT655361:ILT655384 IVP655361:IVP655384 JFL655361:JFL655384 JPH655361:JPH655384 JZD655361:JZD655384 KIZ655361:KIZ655384 KSV655361:KSV655384 LCR655361:LCR655384 LMN655361:LMN655384 LWJ655361:LWJ655384 MGF655361:MGF655384 MQB655361:MQB655384 MZX655361:MZX655384 NJT655361:NJT655384 NTP655361:NTP655384 ODL655361:ODL655384 ONH655361:ONH655384 OXD655361:OXD655384 PGZ655361:PGZ655384 PQV655361:PQV655384 QAR655361:QAR655384 QKN655361:QKN655384 QUJ655361:QUJ655384 REF655361:REF655384 ROB655361:ROB655384 RXX655361:RXX655384 SHT655361:SHT655384 SRP655361:SRP655384 TBL655361:TBL655384 TLH655361:TLH655384 TVD655361:TVD655384 UEZ655361:UEZ655384 UOV655361:UOV655384 UYR655361:UYR655384 VIN655361:VIN655384 VSJ655361:VSJ655384 WCF655361:WCF655384 WMB655361:WMB655384 WVX655361:WVX655384 JL720897:JL720920 TH720897:TH720920 ADD720897:ADD720920 AMZ720897:AMZ720920 AWV720897:AWV720920 BGR720897:BGR720920 BQN720897:BQN720920 CAJ720897:CAJ720920 CKF720897:CKF720920 CUB720897:CUB720920 DDX720897:DDX720920 DNT720897:DNT720920 DXP720897:DXP720920 EHL720897:EHL720920 ERH720897:ERH720920 FBD720897:FBD720920 FKZ720897:FKZ720920 FUV720897:FUV720920 GER720897:GER720920 GON720897:GON720920 GYJ720897:GYJ720920 HIF720897:HIF720920 HSB720897:HSB720920 IBX720897:IBX720920 ILT720897:ILT720920 IVP720897:IVP720920 JFL720897:JFL720920 JPH720897:JPH720920 JZD720897:JZD720920 KIZ720897:KIZ720920 KSV720897:KSV720920 LCR720897:LCR720920 LMN720897:LMN720920 LWJ720897:LWJ720920 MGF720897:MGF720920 MQB720897:MQB720920 MZX720897:MZX720920 NJT720897:NJT720920 NTP720897:NTP720920 ODL720897:ODL720920 ONH720897:ONH720920 OXD720897:OXD720920 PGZ720897:PGZ720920 PQV720897:PQV720920 QAR720897:QAR720920 QKN720897:QKN720920 QUJ720897:QUJ720920 REF720897:REF720920 ROB720897:ROB720920 RXX720897:RXX720920 SHT720897:SHT720920 SRP720897:SRP720920 TBL720897:TBL720920 TLH720897:TLH720920 TVD720897:TVD720920 UEZ720897:UEZ720920 UOV720897:UOV720920 UYR720897:UYR720920 VIN720897:VIN720920 VSJ720897:VSJ720920 WCF720897:WCF720920 WMB720897:WMB720920 WVX720897:WVX720920 JL786433:JL786456 TH786433:TH786456 ADD786433:ADD786456 AMZ786433:AMZ786456 AWV786433:AWV786456 BGR786433:BGR786456 BQN786433:BQN786456 CAJ786433:CAJ786456 CKF786433:CKF786456 CUB786433:CUB786456 DDX786433:DDX786456 DNT786433:DNT786456 DXP786433:DXP786456 EHL786433:EHL786456 ERH786433:ERH786456 FBD786433:FBD786456 FKZ786433:FKZ786456 FUV786433:FUV786456 GER786433:GER786456 GON786433:GON786456 GYJ786433:GYJ786456 HIF786433:HIF786456 HSB786433:HSB786456 IBX786433:IBX786456 ILT786433:ILT786456 IVP786433:IVP786456 JFL786433:JFL786456 JPH786433:JPH786456 JZD786433:JZD786456 KIZ786433:KIZ786456 KSV786433:KSV786456 LCR786433:LCR786456 LMN786433:LMN786456 LWJ786433:LWJ786456 MGF786433:MGF786456 MQB786433:MQB786456 MZX786433:MZX786456 NJT786433:NJT786456 NTP786433:NTP786456 ODL786433:ODL786456 ONH786433:ONH786456 OXD786433:OXD786456 PGZ786433:PGZ786456 PQV786433:PQV786456 QAR786433:QAR786456 QKN786433:QKN786456 QUJ786433:QUJ786456 REF786433:REF786456 ROB786433:ROB786456 RXX786433:RXX786456 SHT786433:SHT786456 SRP786433:SRP786456 TBL786433:TBL786456 TLH786433:TLH786456 TVD786433:TVD786456 UEZ786433:UEZ786456 UOV786433:UOV786456 UYR786433:UYR786456 VIN786433:VIN786456 VSJ786433:VSJ786456 WCF786433:WCF786456 WMB786433:WMB786456 WVX786433:WVX786456 JL851969:JL851992 TH851969:TH851992 ADD851969:ADD851992 AMZ851969:AMZ851992 AWV851969:AWV851992 BGR851969:BGR851992 BQN851969:BQN851992 CAJ851969:CAJ851992 CKF851969:CKF851992 CUB851969:CUB851992 DDX851969:DDX851992 DNT851969:DNT851992 DXP851969:DXP851992 EHL851969:EHL851992 ERH851969:ERH851992 FBD851969:FBD851992 FKZ851969:FKZ851992 FUV851969:FUV851992 GER851969:GER851992 GON851969:GON851992 GYJ851969:GYJ851992 HIF851969:HIF851992 HSB851969:HSB851992 IBX851969:IBX851992 ILT851969:ILT851992 IVP851969:IVP851992 JFL851969:JFL851992 JPH851969:JPH851992 JZD851969:JZD851992 KIZ851969:KIZ851992 KSV851969:KSV851992 LCR851969:LCR851992 LMN851969:LMN851992 LWJ851969:LWJ851992 MGF851969:MGF851992 MQB851969:MQB851992 MZX851969:MZX851992 NJT851969:NJT851992 NTP851969:NTP851992 ODL851969:ODL851992 ONH851969:ONH851992 OXD851969:OXD851992 PGZ851969:PGZ851992 PQV851969:PQV851992 QAR851969:QAR851992 QKN851969:QKN851992 QUJ851969:QUJ851992 REF851969:REF851992 ROB851969:ROB851992 RXX851969:RXX851992 SHT851969:SHT851992 SRP851969:SRP851992 TBL851969:TBL851992 TLH851969:TLH851992 TVD851969:TVD851992 UEZ851969:UEZ851992 UOV851969:UOV851992 UYR851969:UYR851992 VIN851969:VIN851992 VSJ851969:VSJ851992 WCF851969:WCF851992 WMB851969:WMB851992 WVX851969:WVX851992 JL917505:JL917528 TH917505:TH917528 ADD917505:ADD917528 AMZ917505:AMZ917528 AWV917505:AWV917528 BGR917505:BGR917528 BQN917505:BQN917528 CAJ917505:CAJ917528 CKF917505:CKF917528 CUB917505:CUB917528 DDX917505:DDX917528 DNT917505:DNT917528 DXP917505:DXP917528 EHL917505:EHL917528 ERH917505:ERH917528 FBD917505:FBD917528 FKZ917505:FKZ917528 FUV917505:FUV917528 GER917505:GER917528 GON917505:GON917528 GYJ917505:GYJ917528 HIF917505:HIF917528 HSB917505:HSB917528 IBX917505:IBX917528 ILT917505:ILT917528 IVP917505:IVP917528 JFL917505:JFL917528 JPH917505:JPH917528 JZD917505:JZD917528 KIZ917505:KIZ917528 KSV917505:KSV917528 LCR917505:LCR917528 LMN917505:LMN917528 LWJ917505:LWJ917528 MGF917505:MGF917528 MQB917505:MQB917528 MZX917505:MZX917528 NJT917505:NJT917528 NTP917505:NTP917528 ODL917505:ODL917528 ONH917505:ONH917528 OXD917505:OXD917528 PGZ917505:PGZ917528 PQV917505:PQV917528 QAR917505:QAR917528 QKN917505:QKN917528 QUJ917505:QUJ917528 REF917505:REF917528 ROB917505:ROB917528 RXX917505:RXX917528 SHT917505:SHT917528 SRP917505:SRP917528 TBL917505:TBL917528 TLH917505:TLH917528 TVD917505:TVD917528 UEZ917505:UEZ917528 UOV917505:UOV917528 UYR917505:UYR917528 VIN917505:VIN917528 VSJ917505:VSJ917528 WCF917505:WCF917528 WMB917505:WMB917528 WVX917505:WVX917528 JL983041:JL983064 TH983041:TH983064 ADD983041:ADD983064 AMZ983041:AMZ983064 AWV983041:AWV983064 BGR983041:BGR983064 BQN983041:BQN983064 CAJ983041:CAJ983064 CKF983041:CKF983064 CUB983041:CUB983064 DDX983041:DDX983064 DNT983041:DNT983064 DXP983041:DXP983064 EHL983041:EHL983064 ERH983041:ERH983064 FBD983041:FBD983064 FKZ983041:FKZ983064 FUV983041:FUV983064 GER983041:GER983064 GON983041:GON983064 GYJ983041:GYJ983064 HIF983041:HIF983064 HSB983041:HSB983064 IBX983041:IBX983064 ILT983041:ILT983064 IVP983041:IVP983064 JFL983041:JFL983064 JPH983041:JPH983064 JZD983041:JZD983064 KIZ983041:KIZ983064 KSV983041:KSV983064 LCR983041:LCR983064 LMN983041:LMN983064 LWJ983041:LWJ983064 MGF983041:MGF983064 MQB983041:MQB983064 MZX983041:MZX983064 NJT983041:NJT983064 NTP983041:NTP983064 ODL983041:ODL983064 ONH983041:ONH983064 OXD983041:OXD983064 PGZ983041:PGZ983064 PQV983041:PQV983064 QAR983041:QAR983064 QKN983041:QKN983064 QUJ983041:QUJ983064 REF983041:REF983064 ROB983041:ROB983064 RXX983041:RXX983064 SHT983041:SHT983064 SRP983041:SRP983064 TBL983041:TBL983064 TLH983041:TLH983064 TVD983041:TVD983064 UEZ983041:UEZ983064 UOV983041:UOV983064 UYR983041:UYR983064 VIN983041:VIN983064 VSJ983041:VSJ983064 WCF983041:WCF983064 WMB983041:WMB983064 U11:U25 W11:W25 ACM11:ACM25 AMI11:AMI25 AWE11:AWE25 BGA11:BGA25 BPW11:BPW25 BZS11:BZS25 CJO11:CJO25 CTK11:CTK25 DDG11:DDG25 DNC11:DNC25 DWY11:DWY25 EGU11:EGU25 EQQ11:EQQ25 FAM11:FAM25 FKI11:FKI25 FUE11:FUE25 GEA11:GEA25 GNW11:GNW25 GXS11:GXS25 HHO11:HHO25 HRK11:HRK25 IBG11:IBG25 ILC11:ILC25 IUY11:IUY25 JEU11:JEU25 JOQ11:JOQ25 JYM11:JYM25 KII11:KII25 KSE11:KSE25 LCA11:LCA25 LLW11:LLW25 LVS11:LVS25 MFO11:MFO25 MPK11:MPK25 MZG11:MZG25 NJC11:NJC25 NSY11:NSY25 OCU11:OCU25 OMQ11:OMQ25 OWM11:OWM25 PGI11:PGI25 PQE11:PQE25 QAA11:QAA25 QJW11:QJW25 QTS11:QTS25 RDO11:RDO25 RNK11:RNK25 RXG11:RXG25 SHC11:SHC25 SQY11:SQY25 TAU11:TAU25 TKQ11:TKQ25 TUM11:TUM25 UEI11:UEI25 UOE11:UOE25 UYA11:UYA25 VHW11:VHW25 VRS11:VRS25 WBO11:WBO25 WLK11:WLK25 WVG11:WVG25 IW11:IW25 SS11:SS25 ACO11:ACO25 AMK11:AMK25 AWG11:AWG25 BGC11:BGC25 BPY11:BPY25 BZU11:BZU25 CJQ11:CJQ25 CTM11:CTM25 DDI11:DDI25 DNE11:DNE25 DXA11:DXA25 EGW11:EGW25 EQS11:EQS25 FAO11:FAO25 FKK11:FKK25 FUG11:FUG25 GEC11:GEC25 GNY11:GNY25 GXU11:GXU25 HHQ11:HHQ25 HRM11:HRM25 IBI11:IBI25 ILE11:ILE25 IVA11:IVA25 JEW11:JEW25 JOS11:JOS25 JYO11:JYO25 KIK11:KIK25 KSG11:KSG25 LCC11:LCC25 LLY11:LLY25 LVU11:LVU25 MFQ11:MFQ25 MPM11:MPM25 MZI11:MZI25 NJE11:NJE25 NTA11:NTA25 OCW11:OCW25 OMS11:OMS25 OWO11:OWO25 PGK11:PGK25 PQG11:PQG25 QAC11:QAC25 QJY11:QJY25 QTU11:QTU25 RDQ11:RDQ25 RNM11:RNM25 RXI11:RXI25 SHE11:SHE25 SRA11:SRA25 TAW11:TAW25 TKS11:TKS25 TUO11:TUO25 UEK11:UEK25 UOG11:UOG25 UYC11:UYC25 VHY11:VHY25 VRU11:VRU25 WBQ11:WBQ25 WLM11:WLM25 WVI11:WVI25 SQ11:SQ25 IU11:IU25" xr:uid="{00000000-0002-0000-0400-000001000000}">
      <formula1>"1,2,3,4"</formula1>
    </dataValidation>
  </dataValidations>
  <pageMargins left="0" right="0" top="0.39370078740157483" bottom="0.59055118110236227" header="0.51181102362204722" footer="0.39370078740157483"/>
  <pageSetup paperSize="9" scale="82" fitToHeight="0" orientation="landscape" r:id="rId1"/>
  <headerFooter alignWithMargins="0">
    <oddFooter>第 &amp;P 頁，共 &amp;N 頁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5</vt:i4>
      </vt:variant>
    </vt:vector>
  </HeadingPairs>
  <TitlesOfParts>
    <vt:vector size="10" baseType="lpstr">
      <vt:lpstr>資訊清單資訊</vt:lpstr>
      <vt:lpstr>文件類資產群組清單</vt:lpstr>
      <vt:lpstr>評估標準</vt:lpstr>
      <vt:lpstr>文件類風險材1-1-DC-01</vt:lpstr>
      <vt:lpstr>文件類風險材1-1-DC-02</vt:lpstr>
      <vt:lpstr>ALL_LIST</vt:lpstr>
      <vt:lpstr>'文件類風險材1-1-DC-01'!Print_Area</vt:lpstr>
      <vt:lpstr>'文件類風險材1-1-DC-02'!Print_Area</vt:lpstr>
      <vt:lpstr>'文件類風險材1-1-DC-01'!Print_Titles</vt:lpstr>
      <vt:lpstr>'文件類風險材1-1-DC-02'!Print_Titles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徐怡婷</dc:creator>
  <cp:lastModifiedBy>joyce</cp:lastModifiedBy>
  <cp:lastPrinted>2020-06-19T07:03:06Z</cp:lastPrinted>
  <dcterms:created xsi:type="dcterms:W3CDTF">2016-07-21T06:30:48Z</dcterms:created>
  <dcterms:modified xsi:type="dcterms:W3CDTF">2024-03-19T06:01:21Z</dcterms:modified>
</cp:coreProperties>
</file>