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51196F13-6AD0-C1B8-E2B4-A1F9AE17003E}"/>
  <workbookPr codeName="ThisWorkbook"/>
  <mc:AlternateContent xmlns:mc="http://schemas.openxmlformats.org/markup-compatibility/2006">
    <mc:Choice Requires="x15">
      <x15ac:absPath xmlns:x15ac="http://schemas.microsoft.com/office/spreadsheetml/2010/11/ac" url="C:\Users\My Document\20210416_NB Data\My Doc\0_工研院\113\1_RA\材化所\1-1_石油與天然氣輸儲查核與檢測雲端平台\"/>
    </mc:Choice>
  </mc:AlternateContent>
  <xr:revisionPtr revIDLastSave="0" documentId="13_ncr:1_{7A1B703A-17F6-496A-81B5-5FE6A204BB4F}" xr6:coauthVersionLast="47" xr6:coauthVersionMax="47" xr10:uidLastSave="{00000000-0000-0000-0000-000000000000}"/>
  <bookViews>
    <workbookView xWindow="-110" yWindow="-110" windowWidth="19420" windowHeight="10300" tabRatio="714" activeTab="4" xr2:uid="{00000000-000D-0000-FFFF-FFFF00000000}"/>
  </bookViews>
  <sheets>
    <sheet name="資訊清單資訊" sheetId="1" r:id="rId1"/>
    <sheet name="軟體類資產群組清單" sheetId="2" r:id="rId2"/>
    <sheet name="評估標準" sheetId="4" r:id="rId3"/>
    <sheet name="軟體類風險材1-1-SW-01" sheetId="9" r:id="rId4"/>
    <sheet name="軟體類風險材1-1-SW-02" sheetId="11" r:id="rId5"/>
  </sheets>
  <externalReferences>
    <externalReference r:id="rId6"/>
    <externalReference r:id="rId7"/>
  </externalReferences>
  <definedNames>
    <definedName name="_xlnm._FilterDatabase" localSheetId="3" hidden="1">'軟體類風險材1-1-SW-01'!$M$10:$Z$10</definedName>
    <definedName name="_xlnm._FilterDatabase" localSheetId="4" hidden="1">'軟體類風險材1-1-SW-02'!$M$10:$Z$10</definedName>
    <definedName name="_xlnm._FilterDatabase" localSheetId="1" hidden="1">軟體類資產群組清單!$A$9:$Q$9</definedName>
    <definedName name="All_Availability">[1]Ref!$S$3:$S$6</definedName>
    <definedName name="All_Confidential">[1]Ref!$M$3:$M$6</definedName>
    <definedName name="All_Impact">[1]Ref!$AB$3:$AB$6</definedName>
    <definedName name="All_Integrity">[1]Ref!$P$3:$P$6</definedName>
    <definedName name="All_Law">[1]Ref!$V$3:$V$6</definedName>
    <definedName name="All_Likelihood">[1]Ref!$Y$3:$Y$6</definedName>
    <definedName name="ALL_LIST">軟體類資產群組清單!$A$10:$Q$160</definedName>
    <definedName name="All_YN">[1]Ref!$AE$3:$AE$4</definedName>
    <definedName name="PE_SUBLIST" localSheetId="4">評估標準!#REF!</definedName>
    <definedName name="PE_SUBLIST">評估標準!#REF!</definedName>
    <definedName name="PE_Subtype">[1]Ref!$C$3:$C$12</definedName>
    <definedName name="PE_TypeList">[1]人員資產群組清單!$D$10:$D$34</definedName>
    <definedName name="PE_TypeSum">[1]Ref!$C$3:$D$12</definedName>
    <definedName name="_xlnm.Print_Area" localSheetId="3">'軟體類風險材1-1-SW-01'!$M$1:$U$35</definedName>
    <definedName name="_xlnm.Print_Area" localSheetId="4">'軟體類風險材1-1-SW-02'!$M$1:$U$35</definedName>
    <definedName name="_xlnm.Print_Titles" localSheetId="3">'軟體類風險材1-1-SW-01'!$2:$10</definedName>
    <definedName name="_xlnm.Print_Titles" localSheetId="4">'軟體類風險材1-1-SW-02'!$2:$10</definedName>
    <definedName name="SW_List">[2]軟體資產群組清單!$A$11:$R$50</definedName>
    <definedName name="法律遵循" localSheetId="4">#REF!</definedName>
    <definedName name="法律遵循">#REF!</definedName>
    <definedName name="業務運作" localSheetId="4">#REF!</definedName>
    <definedName name="業務運作">#REF!</definedName>
    <definedName name="業務類別" localSheetId="4">#REF!</definedName>
    <definedName name="業務類別">#REF!</definedName>
    <definedName name="業務類別名" localSheetId="4">#REF!</definedName>
    <definedName name="業務類別名">#REF!</definedName>
    <definedName name="資產保護" localSheetId="4">#REF!</definedName>
    <definedName name="資產保護">#REF!</definedName>
    <definedName name="資產類別" localSheetId="4">#REF!</definedName>
    <definedName name="資產類別">#REF!</definedName>
    <definedName name="資產類別名" localSheetId="4">#REF!</definedName>
    <definedName name="資產類別名">#REF!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24" i="11" l="1"/>
  <c r="J24" i="11"/>
  <c r="I24" i="11"/>
  <c r="H24" i="11"/>
  <c r="G24" i="11"/>
  <c r="F24" i="11"/>
  <c r="E24" i="11"/>
  <c r="D24" i="11"/>
  <c r="C24" i="11"/>
  <c r="B24" i="11"/>
  <c r="A24" i="11"/>
  <c r="P11" i="2"/>
  <c r="P10" i="2"/>
  <c r="Y35" i="11"/>
  <c r="S2" i="11"/>
  <c r="Y16" i="11" s="1"/>
  <c r="Y33" i="11"/>
  <c r="Y32" i="11"/>
  <c r="Y31" i="11"/>
  <c r="Y30" i="11"/>
  <c r="Y29" i="11"/>
  <c r="Y28" i="11"/>
  <c r="Y25" i="11"/>
  <c r="Y21" i="11"/>
  <c r="Y22" i="11"/>
  <c r="K25" i="11"/>
  <c r="J25" i="11"/>
  <c r="I25" i="11"/>
  <c r="H25" i="11"/>
  <c r="G25" i="11"/>
  <c r="F25" i="11"/>
  <c r="E25" i="11"/>
  <c r="D25" i="11"/>
  <c r="C25" i="11"/>
  <c r="B25" i="11"/>
  <c r="A25" i="11"/>
  <c r="K22" i="11"/>
  <c r="J22" i="11"/>
  <c r="I22" i="11"/>
  <c r="H22" i="11"/>
  <c r="G22" i="11"/>
  <c r="F22" i="11"/>
  <c r="E22" i="11"/>
  <c r="D22" i="11"/>
  <c r="C22" i="11"/>
  <c r="B22" i="11"/>
  <c r="A22" i="11"/>
  <c r="K21" i="11"/>
  <c r="J21" i="11"/>
  <c r="I21" i="11"/>
  <c r="H21" i="11"/>
  <c r="G21" i="11"/>
  <c r="F21" i="11"/>
  <c r="E21" i="11"/>
  <c r="D21" i="11"/>
  <c r="C21" i="11"/>
  <c r="B21" i="11"/>
  <c r="A21" i="11"/>
  <c r="K20" i="11"/>
  <c r="J20" i="11"/>
  <c r="I20" i="11"/>
  <c r="H20" i="11"/>
  <c r="G20" i="11"/>
  <c r="F20" i="11"/>
  <c r="E20" i="11"/>
  <c r="D20" i="11"/>
  <c r="C20" i="11"/>
  <c r="B20" i="11"/>
  <c r="A20" i="11"/>
  <c r="K19" i="11"/>
  <c r="J19" i="11"/>
  <c r="I19" i="11"/>
  <c r="H19" i="11"/>
  <c r="G19" i="11"/>
  <c r="F19" i="11"/>
  <c r="E19" i="11"/>
  <c r="D19" i="11"/>
  <c r="C19" i="11"/>
  <c r="B19" i="11"/>
  <c r="A19" i="11"/>
  <c r="K18" i="11"/>
  <c r="J18" i="11"/>
  <c r="I18" i="11"/>
  <c r="H18" i="11"/>
  <c r="G18" i="11"/>
  <c r="F18" i="11"/>
  <c r="E18" i="11"/>
  <c r="D18" i="11"/>
  <c r="C18" i="11"/>
  <c r="B18" i="11"/>
  <c r="A18" i="11"/>
  <c r="K17" i="11"/>
  <c r="J17" i="11"/>
  <c r="I17" i="11"/>
  <c r="H17" i="11"/>
  <c r="G17" i="11"/>
  <c r="F17" i="11"/>
  <c r="E17" i="11"/>
  <c r="D17" i="11"/>
  <c r="C17" i="11"/>
  <c r="B17" i="11"/>
  <c r="A17" i="11"/>
  <c r="K16" i="11"/>
  <c r="J16" i="11"/>
  <c r="I16" i="11"/>
  <c r="H16" i="11"/>
  <c r="G16" i="11"/>
  <c r="F16" i="11"/>
  <c r="E16" i="11"/>
  <c r="D16" i="11"/>
  <c r="C16" i="11"/>
  <c r="B16" i="11"/>
  <c r="A16" i="11"/>
  <c r="K15" i="11"/>
  <c r="J15" i="11"/>
  <c r="I15" i="11"/>
  <c r="H15" i="11"/>
  <c r="G15" i="11"/>
  <c r="F15" i="11"/>
  <c r="E15" i="11"/>
  <c r="D15" i="11"/>
  <c r="C15" i="11"/>
  <c r="B15" i="11"/>
  <c r="A15" i="11"/>
  <c r="K14" i="11"/>
  <c r="J14" i="11"/>
  <c r="I14" i="11"/>
  <c r="H14" i="11"/>
  <c r="G14" i="11"/>
  <c r="F14" i="11"/>
  <c r="E14" i="11"/>
  <c r="D14" i="11"/>
  <c r="C14" i="11"/>
  <c r="B14" i="11"/>
  <c r="A14" i="11"/>
  <c r="K13" i="11"/>
  <c r="J13" i="11"/>
  <c r="I13" i="11"/>
  <c r="H13" i="11"/>
  <c r="G13" i="11"/>
  <c r="F13" i="11"/>
  <c r="E13" i="11"/>
  <c r="D13" i="11"/>
  <c r="C13" i="11"/>
  <c r="B13" i="11"/>
  <c r="A13" i="11"/>
  <c r="K12" i="11"/>
  <c r="J12" i="11"/>
  <c r="I12" i="11"/>
  <c r="H12" i="11"/>
  <c r="G12" i="11"/>
  <c r="F12" i="11"/>
  <c r="E12" i="11"/>
  <c r="D12" i="11"/>
  <c r="C12" i="11"/>
  <c r="B12" i="11"/>
  <c r="A12" i="11"/>
  <c r="K11" i="11"/>
  <c r="J11" i="11"/>
  <c r="I11" i="11"/>
  <c r="H11" i="11"/>
  <c r="G11" i="11"/>
  <c r="F11" i="11"/>
  <c r="E11" i="11"/>
  <c r="D11" i="11"/>
  <c r="C11" i="11"/>
  <c r="B11" i="11"/>
  <c r="A11" i="11"/>
  <c r="S6" i="11"/>
  <c r="S5" i="11"/>
  <c r="N5" i="11"/>
  <c r="S4" i="11"/>
  <c r="N4" i="11"/>
  <c r="S3" i="11"/>
  <c r="N2" i="11"/>
  <c r="M1" i="11"/>
  <c r="Y35" i="9"/>
  <c r="S2" i="9"/>
  <c r="Y29" i="9" s="1"/>
  <c r="J25" i="9"/>
  <c r="I25" i="9"/>
  <c r="H25" i="9"/>
  <c r="G25" i="9"/>
  <c r="F25" i="9"/>
  <c r="E25" i="9"/>
  <c r="D25" i="9"/>
  <c r="C25" i="9"/>
  <c r="B25" i="9"/>
  <c r="A25" i="9"/>
  <c r="J24" i="9"/>
  <c r="I24" i="9"/>
  <c r="H24" i="9"/>
  <c r="G24" i="9"/>
  <c r="F24" i="9"/>
  <c r="E24" i="9"/>
  <c r="D24" i="9"/>
  <c r="C24" i="9"/>
  <c r="B24" i="9"/>
  <c r="A24" i="9"/>
  <c r="J22" i="9"/>
  <c r="I22" i="9"/>
  <c r="H22" i="9"/>
  <c r="G22" i="9"/>
  <c r="F22" i="9"/>
  <c r="E22" i="9"/>
  <c r="D22" i="9"/>
  <c r="C22" i="9"/>
  <c r="B22" i="9"/>
  <c r="A22" i="9"/>
  <c r="J21" i="9"/>
  <c r="I21" i="9"/>
  <c r="H21" i="9"/>
  <c r="G21" i="9"/>
  <c r="F21" i="9"/>
  <c r="E21" i="9"/>
  <c r="D21" i="9"/>
  <c r="C21" i="9"/>
  <c r="B21" i="9"/>
  <c r="A21" i="9"/>
  <c r="J20" i="9"/>
  <c r="I20" i="9"/>
  <c r="H20" i="9"/>
  <c r="G20" i="9"/>
  <c r="F20" i="9"/>
  <c r="E20" i="9"/>
  <c r="D20" i="9"/>
  <c r="C20" i="9"/>
  <c r="B20" i="9"/>
  <c r="A20" i="9"/>
  <c r="J19" i="9"/>
  <c r="I19" i="9"/>
  <c r="H19" i="9"/>
  <c r="G19" i="9"/>
  <c r="F19" i="9"/>
  <c r="E19" i="9"/>
  <c r="D19" i="9"/>
  <c r="C19" i="9"/>
  <c r="B19" i="9"/>
  <c r="A19" i="9"/>
  <c r="J18" i="9"/>
  <c r="I18" i="9"/>
  <c r="H18" i="9"/>
  <c r="G18" i="9"/>
  <c r="F18" i="9"/>
  <c r="E18" i="9"/>
  <c r="D18" i="9"/>
  <c r="C18" i="9"/>
  <c r="B18" i="9"/>
  <c r="A18" i="9"/>
  <c r="J17" i="9"/>
  <c r="I17" i="9"/>
  <c r="H17" i="9"/>
  <c r="G17" i="9"/>
  <c r="F17" i="9"/>
  <c r="E17" i="9"/>
  <c r="D17" i="9"/>
  <c r="C17" i="9"/>
  <c r="B17" i="9"/>
  <c r="A17" i="9"/>
  <c r="J16" i="9"/>
  <c r="I16" i="9"/>
  <c r="H16" i="9"/>
  <c r="G16" i="9"/>
  <c r="F16" i="9"/>
  <c r="E16" i="9"/>
  <c r="D16" i="9"/>
  <c r="C16" i="9"/>
  <c r="B16" i="9"/>
  <c r="A16" i="9"/>
  <c r="J15" i="9"/>
  <c r="I15" i="9"/>
  <c r="H15" i="9"/>
  <c r="G15" i="9"/>
  <c r="F15" i="9"/>
  <c r="E15" i="9"/>
  <c r="D15" i="9"/>
  <c r="C15" i="9"/>
  <c r="B15" i="9"/>
  <c r="A15" i="9"/>
  <c r="J14" i="9"/>
  <c r="I14" i="9"/>
  <c r="H14" i="9"/>
  <c r="G14" i="9"/>
  <c r="F14" i="9"/>
  <c r="E14" i="9"/>
  <c r="D14" i="9"/>
  <c r="C14" i="9"/>
  <c r="B14" i="9"/>
  <c r="A14" i="9"/>
  <c r="J13" i="9"/>
  <c r="I13" i="9"/>
  <c r="H13" i="9"/>
  <c r="G13" i="9"/>
  <c r="F13" i="9"/>
  <c r="E13" i="9"/>
  <c r="D13" i="9"/>
  <c r="C13" i="9"/>
  <c r="B13" i="9"/>
  <c r="A13" i="9"/>
  <c r="J12" i="9"/>
  <c r="I12" i="9"/>
  <c r="H12" i="9"/>
  <c r="G12" i="9"/>
  <c r="F12" i="9"/>
  <c r="E12" i="9"/>
  <c r="D12" i="9"/>
  <c r="C12" i="9"/>
  <c r="B12" i="9"/>
  <c r="A12" i="9"/>
  <c r="J11" i="9"/>
  <c r="I11" i="9"/>
  <c r="H11" i="9"/>
  <c r="G11" i="9"/>
  <c r="F11" i="9"/>
  <c r="E11" i="9"/>
  <c r="D11" i="9"/>
  <c r="C11" i="9"/>
  <c r="B11" i="9"/>
  <c r="A11" i="9"/>
  <c r="A2" i="2"/>
  <c r="N4" i="9"/>
  <c r="N2" i="9"/>
  <c r="M1" i="9"/>
  <c r="N5" i="9"/>
  <c r="S3" i="9"/>
  <c r="A6" i="2"/>
  <c r="S6" i="9"/>
  <c r="S4" i="9"/>
  <c r="S5" i="9"/>
  <c r="A3" i="2"/>
  <c r="A4" i="2"/>
  <c r="A5" i="2"/>
  <c r="A1" i="2"/>
  <c r="A7" i="2"/>
  <c r="K25" i="9"/>
  <c r="K24" i="9"/>
  <c r="K22" i="9"/>
  <c r="K21" i="9"/>
  <c r="K20" i="9"/>
  <c r="K19" i="9"/>
  <c r="K18" i="9"/>
  <c r="K17" i="9"/>
  <c r="K16" i="9"/>
  <c r="K15" i="9"/>
  <c r="K14" i="9"/>
  <c r="K13" i="9"/>
  <c r="K12" i="9"/>
  <c r="K11" i="9"/>
  <c r="Y34" i="9"/>
  <c r="Y24" i="9"/>
  <c r="Y12" i="9"/>
  <c r="Y31" i="9"/>
  <c r="Y28" i="9"/>
  <c r="Y15" i="9"/>
  <c r="Y11" i="9"/>
  <c r="Y22" i="9"/>
  <c r="Y13" i="9"/>
  <c r="Y27" i="9"/>
  <c r="Y26" i="9"/>
  <c r="Y19" i="9"/>
  <c r="Y20" i="9"/>
  <c r="Y25" i="9"/>
  <c r="Y11" i="11" l="1"/>
  <c r="Y23" i="11"/>
  <c r="Y16" i="9"/>
  <c r="Y32" i="9"/>
  <c r="Y33" i="9"/>
  <c r="Y23" i="9"/>
  <c r="Y30" i="9"/>
  <c r="Y21" i="9"/>
  <c r="Y17" i="9"/>
  <c r="Y14" i="9"/>
  <c r="Y18" i="9"/>
  <c r="Y20" i="11"/>
  <c r="Y24" i="11"/>
  <c r="Y27" i="11"/>
  <c r="Y34" i="11"/>
  <c r="Y19" i="11"/>
  <c r="Y18" i="11"/>
  <c r="Y12" i="11"/>
  <c r="Y17" i="11"/>
  <c r="Y14" i="11"/>
  <c r="Y26" i="11"/>
  <c r="Y13" i="11"/>
  <c r="Y15" i="11"/>
  <c r="S7" i="9" l="1"/>
  <c r="L13" i="9" s="1"/>
  <c r="S7" i="11"/>
  <c r="L12" i="9" l="1"/>
  <c r="L20" i="9"/>
  <c r="L14" i="9"/>
  <c r="L11" i="9"/>
  <c r="L21" i="9"/>
  <c r="L15" i="9"/>
  <c r="L24" i="9"/>
  <c r="L17" i="9"/>
  <c r="L22" i="9"/>
  <c r="L16" i="9"/>
  <c r="L18" i="9"/>
  <c r="L19" i="9"/>
  <c r="L25" i="9"/>
  <c r="L18" i="11"/>
  <c r="L24" i="11"/>
  <c r="L12" i="11"/>
  <c r="L16" i="11"/>
  <c r="L19" i="11"/>
  <c r="L25" i="11"/>
  <c r="L13" i="11"/>
  <c r="L17" i="11"/>
  <c r="L22" i="11"/>
  <c r="L20" i="11"/>
  <c r="L15" i="11"/>
  <c r="L14" i="11"/>
  <c r="L11" i="11"/>
  <c r="L2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Joyce Wu</author>
  </authors>
  <commentList>
    <comment ref="E10" authorId="0" shapeId="0" xr:uid="{1F02393A-06CA-417B-99D1-9DEB690FE042}">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G10" authorId="0" shapeId="0" xr:uid="{B5DB8015-6A21-484F-BD54-C66EFB0F37B7}">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M10" authorId="0" shapeId="0" xr:uid="{C31548A8-238E-4E23-8991-A9A5585A2354}">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E11" authorId="0" shapeId="0" xr:uid="{67449BC2-64E3-486E-94B3-CB78F57F9E4F}">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G11" authorId="0" shapeId="0" xr:uid="{CB55F1C7-3237-4EE1-ABFE-4AD9DCA873AE}">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 ref="M11" authorId="0" shapeId="0" xr:uid="{56BD304D-494C-4418-AF3B-AAD2C064AE86}">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17-0940530-91</author>
  </authors>
  <commentList>
    <comment ref="H7" authorId="0" shapeId="0" xr:uid="{00000000-0006-0000-0200-000001000000}">
      <text>
        <r>
          <rPr>
            <b/>
            <sz val="12"/>
            <color indexed="81"/>
            <rFont val="新細明體"/>
            <family val="1"/>
            <charset val="136"/>
          </rPr>
          <t>對資訊資產 C、I、A 毀損、不法使用、竄改、竊取、洩漏、錯誤</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17-0940530-91</author>
    <author>Joyce Wu</author>
  </authors>
  <commentList>
    <comment ref="M25" authorId="0" shapeId="0" xr:uid="{00000000-0006-0000-0300-000001000000}">
      <text>
        <r>
          <rPr>
            <b/>
            <sz val="12"/>
            <color indexed="81"/>
            <rFont val="新細明體"/>
            <family val="1"/>
            <charset val="136"/>
          </rPr>
          <t>對資訊資產 C、I、A 毀損、不法使用、竄改、竊取、洩漏、錯誤</t>
        </r>
      </text>
    </comment>
    <comment ref="V33" authorId="1" shapeId="0" xr:uid="{6504764A-879B-40E7-9996-46EBC528AB18}">
      <text>
        <r>
          <rPr>
            <b/>
            <sz val="9"/>
            <color indexed="81"/>
            <rFont val="Tahoma"/>
            <family val="2"/>
          </rPr>
          <t>Joyce Wu:</t>
        </r>
        <r>
          <rPr>
            <sz val="9"/>
            <color indexed="81"/>
            <rFont val="Tahoma"/>
            <family val="2"/>
          </rPr>
          <t xml:space="preserve">
</t>
        </r>
        <r>
          <rPr>
            <sz val="9"/>
            <color indexed="81"/>
            <rFont val="細明體"/>
            <family val="3"/>
            <charset val="136"/>
          </rPr>
          <t>請確認</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17-0940530-91</author>
  </authors>
  <commentList>
    <comment ref="M25" authorId="0" shapeId="0" xr:uid="{00000000-0006-0000-0400-000001000000}">
      <text>
        <r>
          <rPr>
            <b/>
            <sz val="12"/>
            <color indexed="81"/>
            <rFont val="新細明體"/>
            <family val="1"/>
            <charset val="136"/>
          </rPr>
          <t>對資訊資產 C、I、A 毀損、不法使用、竄改、竊取、洩漏、錯誤</t>
        </r>
      </text>
    </comment>
  </commentList>
</comments>
</file>

<file path=xl/sharedStrings.xml><?xml version="1.0" encoding="utf-8"?>
<sst xmlns="http://schemas.openxmlformats.org/spreadsheetml/2006/main" count="519" uniqueCount="216">
  <si>
    <t>版本</t>
  </si>
  <si>
    <t>機密等級</t>
  </si>
  <si>
    <t>資產子類別</t>
    <phoneticPr fontId="4" type="noConversion"/>
  </si>
  <si>
    <t>數量</t>
    <phoneticPr fontId="4" type="noConversion"/>
  </si>
  <si>
    <t>弱點</t>
  </si>
  <si>
    <t>資產類別編號：</t>
  </si>
  <si>
    <t>評鑑人員：</t>
  </si>
  <si>
    <t>評鑑日期：</t>
  </si>
  <si>
    <t>評鑑人主管：</t>
  </si>
  <si>
    <t>類別：</t>
    <phoneticPr fontId="4" type="noConversion"/>
  </si>
  <si>
    <t>資產(群組)名稱：</t>
    <phoneticPr fontId="4" type="noConversion"/>
  </si>
  <si>
    <t>資訊資產價值：</t>
    <phoneticPr fontId="4" type="noConversion"/>
  </si>
  <si>
    <t>最大綜合風險：</t>
    <phoneticPr fontId="4" type="noConversion"/>
  </si>
  <si>
    <t>資產類別編號</t>
    <phoneticPr fontId="4" type="noConversion"/>
  </si>
  <si>
    <t>資產子類別</t>
    <phoneticPr fontId="4" type="noConversion"/>
  </si>
  <si>
    <t>資產名稱</t>
    <phoneticPr fontId="4" type="noConversion"/>
  </si>
  <si>
    <t>資產說明</t>
    <phoneticPr fontId="4" type="noConversion"/>
  </si>
  <si>
    <t>負責人</t>
    <phoneticPr fontId="4" type="noConversion"/>
  </si>
  <si>
    <t>C</t>
    <phoneticPr fontId="4" type="noConversion"/>
  </si>
  <si>
    <t>I</t>
    <phoneticPr fontId="4" type="noConversion"/>
  </si>
  <si>
    <t>A</t>
    <phoneticPr fontId="4" type="noConversion"/>
  </si>
  <si>
    <t>Law</t>
    <phoneticPr fontId="4" type="noConversion"/>
  </si>
  <si>
    <t>資產價值</t>
    <phoneticPr fontId="4" type="noConversion"/>
  </si>
  <si>
    <t>威脅</t>
  </si>
  <si>
    <t>適用性</t>
    <phoneticPr fontId="4" type="noConversion"/>
  </si>
  <si>
    <t>可能性</t>
    <phoneticPr fontId="4" type="noConversion"/>
  </si>
  <si>
    <t>理由</t>
    <phoneticPr fontId="4" type="noConversion"/>
  </si>
  <si>
    <t>衝擊性</t>
    <phoneticPr fontId="4" type="noConversion"/>
  </si>
  <si>
    <t>風險值</t>
    <phoneticPr fontId="4" type="noConversion"/>
  </si>
  <si>
    <t>備註</t>
    <phoneticPr fontId="4" type="noConversion"/>
  </si>
  <si>
    <t>資訊資產風險評鑑</t>
    <phoneticPr fontId="1" type="noConversion"/>
  </si>
  <si>
    <t>最大綜合風險</t>
    <phoneticPr fontId="4" type="noConversion"/>
  </si>
  <si>
    <t>資訊資產群組清單
威脅弱點評估表</t>
    <phoneticPr fontId="1" type="noConversion"/>
  </si>
  <si>
    <r>
      <rPr>
        <b/>
        <sz val="12"/>
        <rFont val="微軟正黑體"/>
        <family val="2"/>
        <charset val="136"/>
      </rPr>
      <t>限閱級</t>
    </r>
  </si>
  <si>
    <t>發生機率評估準則</t>
  </si>
  <si>
    <t>機率</t>
  </si>
  <si>
    <t>幾乎不可能發生</t>
  </si>
  <si>
    <t>很少發生</t>
  </si>
  <si>
    <t>偶爾發生</t>
  </si>
  <si>
    <t>時常發生</t>
  </si>
  <si>
    <t>中</t>
  </si>
  <si>
    <t>高</t>
  </si>
  <si>
    <t>極高</t>
  </si>
  <si>
    <t>計畫代號</t>
    <phoneticPr fontId="1" type="noConversion"/>
  </si>
  <si>
    <t>編號</t>
    <phoneticPr fontId="1" type="noConversion"/>
  </si>
  <si>
    <t>日期</t>
    <phoneticPr fontId="1" type="noConversion"/>
  </si>
  <si>
    <t>可能性(弱點)-事件發生機率評估標準</t>
    <phoneticPr fontId="1" type="noConversion"/>
  </si>
  <si>
    <r>
      <t>1年內可能發生</t>
    </r>
    <r>
      <rPr>
        <sz val="12"/>
        <color rgb="FFFF0000"/>
        <rFont val="微軟正黑體"/>
        <family val="2"/>
        <charset val="136"/>
      </rPr>
      <t>5次~ 7次</t>
    </r>
    <phoneticPr fontId="1" type="noConversion"/>
  </si>
  <si>
    <t>等級</t>
    <phoneticPr fontId="1" type="noConversion"/>
  </si>
  <si>
    <r>
      <t>1年內可能發生</t>
    </r>
    <r>
      <rPr>
        <sz val="12"/>
        <color rgb="FFFF0000"/>
        <rFont val="微軟正黑體"/>
        <family val="2"/>
        <charset val="136"/>
      </rPr>
      <t>1次以下</t>
    </r>
    <phoneticPr fontId="1" type="noConversion"/>
  </si>
  <si>
    <r>
      <t>1年內可能發生</t>
    </r>
    <r>
      <rPr>
        <sz val="12"/>
        <color rgb="FFFF0000"/>
        <rFont val="微軟正黑體"/>
        <family val="2"/>
        <charset val="136"/>
      </rPr>
      <t>2次~ 4次</t>
    </r>
    <phoneticPr fontId="1" type="noConversion"/>
  </si>
  <si>
    <r>
      <t>1年內可能發生</t>
    </r>
    <r>
      <rPr>
        <sz val="12"/>
        <color rgb="FFFF0000"/>
        <rFont val="微軟正黑體"/>
        <family val="2"/>
        <charset val="136"/>
      </rPr>
      <t>8次以上</t>
    </r>
    <phoneticPr fontId="1" type="noConversion"/>
  </si>
  <si>
    <t>衝擊性(威脅)-事件衝擊程度評估標準</t>
    <phoneticPr fontId="1" type="noConversion"/>
  </si>
  <si>
    <t>低</t>
    <phoneticPr fontId="1" type="noConversion"/>
  </si>
  <si>
    <r>
      <t>風險發生幾乎</t>
    </r>
    <r>
      <rPr>
        <sz val="12"/>
        <color rgb="FFFF0000"/>
        <rFont val="微軟正黑體"/>
        <family val="2"/>
        <charset val="136"/>
      </rPr>
      <t>不會影響到業務</t>
    </r>
    <r>
      <rPr>
        <sz val="12"/>
        <color theme="1"/>
        <rFont val="微軟正黑體"/>
        <family val="2"/>
        <charset val="136"/>
      </rPr>
      <t xml:space="preserve">
（可以立即完成復原）</t>
    </r>
    <phoneticPr fontId="1" type="noConversion"/>
  </si>
  <si>
    <t>資產概述</t>
    <phoneticPr fontId="4" type="noConversion"/>
  </si>
  <si>
    <t>資產名稱</t>
    <phoneticPr fontId="4" type="noConversion"/>
  </si>
  <si>
    <t>資產說明</t>
    <phoneticPr fontId="4" type="noConversion"/>
  </si>
  <si>
    <t>位置</t>
    <phoneticPr fontId="4" type="noConversion"/>
  </si>
  <si>
    <t>數量</t>
    <phoneticPr fontId="4" type="noConversion"/>
  </si>
  <si>
    <t>負責人</t>
    <phoneticPr fontId="4" type="noConversion"/>
  </si>
  <si>
    <t>C</t>
    <phoneticPr fontId="4" type="noConversion"/>
  </si>
  <si>
    <t>理由</t>
    <phoneticPr fontId="4" type="noConversion"/>
  </si>
  <si>
    <t>I</t>
    <phoneticPr fontId="4" type="noConversion"/>
  </si>
  <si>
    <t>理由</t>
    <phoneticPr fontId="4" type="noConversion"/>
  </si>
  <si>
    <t>A</t>
    <phoneticPr fontId="4" type="noConversion"/>
  </si>
  <si>
    <t>Law</t>
    <phoneticPr fontId="4" type="noConversion"/>
  </si>
  <si>
    <t>理由</t>
    <phoneticPr fontId="4" type="noConversion"/>
  </si>
  <si>
    <t>資產
價值</t>
    <phoneticPr fontId="4" type="noConversion"/>
  </si>
  <si>
    <t>評鑑
人員</t>
    <phoneticPr fontId="4" type="noConversion"/>
  </si>
  <si>
    <t>資產價值評鑑</t>
    <phoneticPr fontId="4" type="noConversion"/>
  </si>
  <si>
    <t>資產類別
編號</t>
    <phoneticPr fontId="4" type="noConversion"/>
  </si>
  <si>
    <t>C：</t>
    <phoneticPr fontId="4" type="noConversion"/>
  </si>
  <si>
    <t>I：</t>
    <phoneticPr fontId="4" type="noConversion"/>
  </si>
  <si>
    <t>A：</t>
    <phoneticPr fontId="4" type="noConversion"/>
  </si>
  <si>
    <t>L：</t>
    <phoneticPr fontId="4" type="noConversion"/>
  </si>
  <si>
    <t>軟體類(SW)</t>
    <phoneticPr fontId="1" type="noConversion"/>
  </si>
  <si>
    <t>價值評鑑</t>
    <phoneticPr fontId="1" type="noConversion"/>
  </si>
  <si>
    <t>威脅弱點評估</t>
    <phoneticPr fontId="1" type="noConversion"/>
  </si>
  <si>
    <t>H&amp;I欄不可移動</t>
    <phoneticPr fontId="1" type="noConversion"/>
  </si>
  <si>
    <t>價值</t>
  </si>
  <si>
    <t>機密性( C )-評估標準說明</t>
    <phoneticPr fontId="1" type="noConversion"/>
  </si>
  <si>
    <t>CIA關聯</t>
    <phoneticPr fontId="1" type="noConversion"/>
  </si>
  <si>
    <r>
      <rPr>
        <sz val="12"/>
        <color rgb="FFFF0000"/>
        <rFont val="微軟正黑體"/>
        <family val="2"/>
        <charset val="136"/>
      </rPr>
      <t>一般</t>
    </r>
    <r>
      <rPr>
        <sz val="12"/>
        <color theme="1"/>
        <rFont val="微軟正黑體"/>
        <family val="2"/>
        <charset val="136"/>
      </rPr>
      <t>︰此資訊資產被揭露不會對本組織造成任何影響</t>
    </r>
    <phoneticPr fontId="1" type="noConversion"/>
  </si>
  <si>
    <t>C</t>
    <phoneticPr fontId="1" type="noConversion"/>
  </si>
  <si>
    <r>
      <rPr>
        <sz val="12"/>
        <color rgb="FFFF0000"/>
        <rFont val="微軟正黑體"/>
        <family val="2"/>
        <charset val="136"/>
      </rPr>
      <t>限閱</t>
    </r>
    <r>
      <rPr>
        <sz val="12"/>
        <color theme="1"/>
        <rFont val="微軟正黑體"/>
        <family val="2"/>
        <charset val="136"/>
      </rPr>
      <t>︰此資訊資產所包含資訊敏感且有特殊之機密性要求，僅限組織內部存取</t>
    </r>
    <phoneticPr fontId="1" type="noConversion"/>
  </si>
  <si>
    <r>
      <rPr>
        <sz val="12"/>
        <color rgb="FFFF0000"/>
        <rFont val="微軟正黑體"/>
        <family val="2"/>
        <charset val="136"/>
      </rPr>
      <t>密</t>
    </r>
    <r>
      <rPr>
        <sz val="12"/>
        <color theme="1"/>
        <rFont val="微軟正黑體"/>
        <family val="2"/>
        <charset val="136"/>
      </rPr>
      <t>︰此資訊資產所包含資訊不當揭露會對本組織營運造成顯著影響，限定特定、業務範圍人員讀取</t>
    </r>
    <phoneticPr fontId="1" type="noConversion"/>
  </si>
  <si>
    <t>AI</t>
    <phoneticPr fontId="1" type="noConversion"/>
  </si>
  <si>
    <r>
      <rPr>
        <sz val="12"/>
        <color rgb="FFFF0000"/>
        <rFont val="微軟正黑體"/>
        <family val="2"/>
        <charset val="136"/>
      </rPr>
      <t>機密</t>
    </r>
    <r>
      <rPr>
        <sz val="12"/>
        <color theme="1"/>
        <rFont val="微軟正黑體"/>
        <family val="2"/>
        <charset val="136"/>
      </rPr>
      <t>︰此資訊資產所包含資訊為內部或法律所規範的機密資訊，不當揭露會造成組織嚴重傷害，限定少數特定人員才可讀取</t>
    </r>
    <phoneticPr fontId="1" type="noConversion"/>
  </si>
  <si>
    <t>完整性( I )-評估標準說明</t>
    <phoneticPr fontId="1" type="noConversion"/>
  </si>
  <si>
    <r>
      <rPr>
        <sz val="12"/>
        <color rgb="FFFF0000"/>
        <rFont val="微軟正黑體"/>
        <family val="2"/>
        <charset val="136"/>
      </rPr>
      <t>資訊</t>
    </r>
    <r>
      <rPr>
        <sz val="12"/>
        <color theme="1"/>
        <rFont val="微軟正黑體"/>
        <family val="2"/>
        <charset val="136"/>
      </rPr>
      <t>遭竄改或處理</t>
    </r>
    <r>
      <rPr>
        <sz val="12"/>
        <color rgb="FFFF0000"/>
        <rFont val="微軟正黑體"/>
        <family val="2"/>
        <charset val="136"/>
      </rPr>
      <t>錯誤</t>
    </r>
    <r>
      <rPr>
        <sz val="12"/>
        <color theme="1"/>
        <rFont val="微軟正黑體"/>
        <family val="2"/>
        <charset val="136"/>
      </rPr>
      <t>會對組織造成</t>
    </r>
    <r>
      <rPr>
        <sz val="12"/>
        <color rgb="FFFF0000"/>
        <rFont val="微軟正黑體"/>
        <family val="2"/>
        <charset val="136"/>
      </rPr>
      <t>輕度影響</t>
    </r>
    <phoneticPr fontId="1" type="noConversion"/>
  </si>
  <si>
    <t>CA</t>
    <phoneticPr fontId="1" type="noConversion"/>
  </si>
  <si>
    <r>
      <rPr>
        <sz val="12"/>
        <color rgb="FFFF0000"/>
        <rFont val="微軟正黑體"/>
        <family val="2"/>
        <charset val="136"/>
      </rPr>
      <t>資訊</t>
    </r>
    <r>
      <rPr>
        <sz val="12"/>
        <color theme="1"/>
        <rFont val="微軟正黑體"/>
        <family val="2"/>
        <charset val="136"/>
      </rPr>
      <t>遭竄改或處理</t>
    </r>
    <r>
      <rPr>
        <sz val="12"/>
        <color rgb="FFFF0000"/>
        <rFont val="微軟正黑體"/>
        <family val="2"/>
        <charset val="136"/>
      </rPr>
      <t>錯誤</t>
    </r>
    <r>
      <rPr>
        <sz val="12"/>
        <color theme="1"/>
        <rFont val="微軟正黑體"/>
        <family val="2"/>
        <charset val="136"/>
      </rPr>
      <t>會對組織造成</t>
    </r>
    <r>
      <rPr>
        <sz val="12"/>
        <color rgb="FFFF0000"/>
        <rFont val="微軟正黑體"/>
        <family val="2"/>
        <charset val="136"/>
      </rPr>
      <t>中度影響</t>
    </r>
    <phoneticPr fontId="1" type="noConversion"/>
  </si>
  <si>
    <r>
      <rPr>
        <sz val="12"/>
        <color rgb="FFFF0000"/>
        <rFont val="微軟正黑體"/>
        <family val="2"/>
        <charset val="136"/>
      </rPr>
      <t>資訊</t>
    </r>
    <r>
      <rPr>
        <sz val="12"/>
        <color theme="1"/>
        <rFont val="微軟正黑體"/>
        <family val="2"/>
        <charset val="136"/>
      </rPr>
      <t>遭竄改或處理錯誤會對組織造成</t>
    </r>
    <r>
      <rPr>
        <sz val="12"/>
        <color rgb="FFFF0000"/>
        <rFont val="微軟正黑體"/>
        <family val="2"/>
        <charset val="136"/>
      </rPr>
      <t>重度影響</t>
    </r>
    <phoneticPr fontId="1" type="noConversion"/>
  </si>
  <si>
    <r>
      <rPr>
        <sz val="12"/>
        <color rgb="FFFF0000"/>
        <rFont val="微軟正黑體"/>
        <family val="2"/>
        <charset val="136"/>
      </rPr>
      <t>資訊</t>
    </r>
    <r>
      <rPr>
        <sz val="12"/>
        <color theme="1"/>
        <rFont val="微軟正黑體"/>
        <family val="2"/>
        <charset val="136"/>
      </rPr>
      <t>遭竄改或處理</t>
    </r>
    <r>
      <rPr>
        <sz val="12"/>
        <color rgb="FFFF0000"/>
        <rFont val="微軟正黑體"/>
        <family val="2"/>
        <charset val="136"/>
      </rPr>
      <t>錯誤</t>
    </r>
    <r>
      <rPr>
        <sz val="12"/>
        <color theme="1"/>
        <rFont val="微軟正黑體"/>
        <family val="2"/>
        <charset val="136"/>
      </rPr>
      <t>會對組織造成</t>
    </r>
    <r>
      <rPr>
        <sz val="12"/>
        <color rgb="FFFF0000"/>
        <rFont val="微軟正黑體"/>
        <family val="2"/>
        <charset val="136"/>
      </rPr>
      <t>極為嚴重影響</t>
    </r>
    <r>
      <rPr>
        <sz val="12"/>
        <color theme="1"/>
        <rFont val="微軟正黑體"/>
        <family val="2"/>
        <charset val="136"/>
      </rPr>
      <t>，可能會造成</t>
    </r>
    <r>
      <rPr>
        <sz val="12"/>
        <color rgb="FFFF0000"/>
        <rFont val="微軟正黑體"/>
        <family val="2"/>
        <charset val="136"/>
      </rPr>
      <t>業務終止</t>
    </r>
    <phoneticPr fontId="1" type="noConversion"/>
  </si>
  <si>
    <r>
      <t>風險發生</t>
    </r>
    <r>
      <rPr>
        <sz val="12"/>
        <color rgb="FFFF0000"/>
        <rFont val="微軟正黑體"/>
        <family val="2"/>
        <charset val="136"/>
      </rPr>
      <t>可能影響到業務</t>
    </r>
    <r>
      <rPr>
        <sz val="12"/>
        <color theme="1"/>
        <rFont val="微軟正黑體"/>
        <family val="2"/>
        <charset val="136"/>
      </rPr>
      <t xml:space="preserve">
</t>
    </r>
    <r>
      <rPr>
        <sz val="10"/>
        <color theme="1"/>
        <rFont val="微軟正黑體"/>
        <family val="2"/>
        <charset val="136"/>
      </rPr>
      <t>（可以立即完成復原，但若持續發生且次數頻繁,對業務執行可能帶來潛在風險）</t>
    </r>
    <phoneticPr fontId="1" type="noConversion"/>
  </si>
  <si>
    <t>可用性( A )-評估標準說明</t>
    <phoneticPr fontId="1" type="noConversion"/>
  </si>
  <si>
    <r>
      <t>風險發生可能</t>
    </r>
    <r>
      <rPr>
        <sz val="12"/>
        <color rgb="FFFF0000"/>
        <rFont val="微軟正黑體"/>
        <family val="2"/>
        <charset val="136"/>
      </rPr>
      <t>造成業務暫停</t>
    </r>
    <r>
      <rPr>
        <sz val="12"/>
        <color theme="1"/>
        <rFont val="微軟正黑體"/>
        <family val="2"/>
        <charset val="136"/>
      </rPr>
      <t xml:space="preserve">
</t>
    </r>
    <r>
      <rPr>
        <sz val="10"/>
        <color theme="1"/>
        <rFont val="微軟正黑體"/>
        <family val="2"/>
        <charset val="136"/>
      </rPr>
      <t>（對於本中心整體業務執行影響不大、造成的損失可能僅影響單一業務或系統、損失可能影響僅個人或少數幾人、可以由個人進行復原、修復或進行復原的措施可以在8hrs內完成）</t>
    </r>
    <phoneticPr fontId="1" type="noConversion"/>
  </si>
  <si>
    <r>
      <t>該資訊資產</t>
    </r>
    <r>
      <rPr>
        <sz val="12"/>
        <color rgb="FFFF0000"/>
        <rFont val="微軟正黑體"/>
        <family val="2"/>
        <charset val="136"/>
      </rPr>
      <t>容許失效1天</t>
    </r>
    <r>
      <rPr>
        <sz val="12"/>
        <color theme="1"/>
        <rFont val="微軟正黑體"/>
        <family val="2"/>
        <charset val="136"/>
      </rPr>
      <t>以上，不用被修復或是尋找替代品</t>
    </r>
    <phoneticPr fontId="1" type="noConversion"/>
  </si>
  <si>
    <r>
      <t>風險發生可能</t>
    </r>
    <r>
      <rPr>
        <sz val="12"/>
        <color rgb="FFFF0000"/>
        <rFont val="微軟正黑體"/>
        <family val="2"/>
        <charset val="136"/>
      </rPr>
      <t>造成業務中斷</t>
    </r>
    <r>
      <rPr>
        <sz val="12"/>
        <color theme="1"/>
        <rFont val="微軟正黑體"/>
        <family val="2"/>
        <charset val="136"/>
      </rPr>
      <t xml:space="preserve">
</t>
    </r>
    <r>
      <rPr>
        <sz val="10"/>
        <color theme="1"/>
        <rFont val="微軟正黑體"/>
        <family val="2"/>
        <charset val="136"/>
      </rPr>
      <t>（風險處理不當可能對本中心形象或校譽造成損害、造成的損害可能影響全校、系統或相關服務停頓或癱瘓,業務無法運作、復原的措施僅能由特定專業人員才能進行或修復人員不易取得、復原無法於4hrs內完成、可能造成人員傷亡）</t>
    </r>
    <phoneticPr fontId="1" type="noConversion"/>
  </si>
  <si>
    <r>
      <t>該資訊資產</t>
    </r>
    <r>
      <rPr>
        <sz val="12"/>
        <color rgb="FFFF0000"/>
        <rFont val="微軟正黑體"/>
        <family val="2"/>
        <charset val="136"/>
      </rPr>
      <t>容許失效4小時(半天)以上，1天以下</t>
    </r>
    <r>
      <rPr>
        <sz val="12"/>
        <color theme="1"/>
        <rFont val="微軟正黑體"/>
        <family val="2"/>
        <charset val="136"/>
      </rPr>
      <t>，不用被修復或是尋找替代品</t>
    </r>
    <phoneticPr fontId="1" type="noConversion"/>
  </si>
  <si>
    <r>
      <t>該資訊資產</t>
    </r>
    <r>
      <rPr>
        <sz val="12"/>
        <color rgb="FFFF0000"/>
        <rFont val="微軟正黑體"/>
        <family val="2"/>
        <charset val="136"/>
      </rPr>
      <t>容許失效60分鐘(1小時)以上，4小時以下</t>
    </r>
    <r>
      <rPr>
        <sz val="12"/>
        <color theme="1"/>
        <rFont val="微軟正黑體"/>
        <family val="2"/>
        <charset val="136"/>
      </rPr>
      <t>，不用被修復或是尋找替代品</t>
    </r>
    <phoneticPr fontId="1" type="noConversion"/>
  </si>
  <si>
    <r>
      <t>該資訊資產</t>
    </r>
    <r>
      <rPr>
        <sz val="12"/>
        <color rgb="FFFF0000"/>
        <rFont val="微軟正黑體"/>
        <family val="2"/>
        <charset val="136"/>
      </rPr>
      <t>容許失效60分鐘內</t>
    </r>
    <r>
      <rPr>
        <sz val="12"/>
        <color theme="1"/>
        <rFont val="微軟正黑體"/>
        <family val="2"/>
        <charset val="136"/>
      </rPr>
      <t>，不用被修復或是尋找替代品</t>
    </r>
    <phoneticPr fontId="1" type="noConversion"/>
  </si>
  <si>
    <t>人員可用性( A )-評估標準說明</t>
    <phoneticPr fontId="1" type="noConversion"/>
  </si>
  <si>
    <r>
      <t>低：人員負責/接觸的業務，</t>
    </r>
    <r>
      <rPr>
        <sz val="12"/>
        <color rgb="FFFF0000"/>
        <rFont val="微軟正黑體"/>
        <family val="2"/>
        <charset val="136"/>
      </rPr>
      <t>不會</t>
    </r>
    <r>
      <rPr>
        <sz val="12"/>
        <color theme="1"/>
        <rFont val="微軟正黑體"/>
        <family val="2"/>
        <charset val="136"/>
      </rPr>
      <t>因為休假或缺乏代理人等因素而</t>
    </r>
    <r>
      <rPr>
        <sz val="12"/>
        <color rgb="FFFF0000"/>
        <rFont val="微軟正黑體"/>
        <family val="2"/>
        <charset val="136"/>
      </rPr>
      <t>影響業務</t>
    </r>
    <r>
      <rPr>
        <sz val="12"/>
        <color theme="1"/>
        <rFont val="微軟正黑體"/>
        <family val="2"/>
        <charset val="136"/>
      </rPr>
      <t>之執行</t>
    </r>
    <phoneticPr fontId="1" type="noConversion"/>
  </si>
  <si>
    <r>
      <t>中：人員負責/接觸的業務，</t>
    </r>
    <r>
      <rPr>
        <sz val="12"/>
        <color rgb="FFFF0000"/>
        <rFont val="微軟正黑體"/>
        <family val="2"/>
        <charset val="136"/>
      </rPr>
      <t>可能會</t>
    </r>
    <r>
      <rPr>
        <sz val="12"/>
        <color theme="1"/>
        <rFont val="微軟正黑體"/>
        <family val="2"/>
        <charset val="136"/>
      </rPr>
      <t>因為休假或缺乏代理人等因素而</t>
    </r>
    <r>
      <rPr>
        <sz val="12"/>
        <color rgb="FFFF0000"/>
        <rFont val="微軟正黑體"/>
        <family val="2"/>
        <charset val="136"/>
      </rPr>
      <t>影響業務</t>
    </r>
    <r>
      <rPr>
        <sz val="12"/>
        <color theme="1"/>
        <rFont val="微軟正黑體"/>
        <family val="2"/>
        <charset val="136"/>
      </rPr>
      <t>之執行</t>
    </r>
    <phoneticPr fontId="1" type="noConversion"/>
  </si>
  <si>
    <r>
      <t>高：人員負責/接觸的業務，因為休假或缺乏代理人等因素對業務執行</t>
    </r>
    <r>
      <rPr>
        <sz val="12"/>
        <color rgb="FFFF0000"/>
        <rFont val="微軟正黑體"/>
        <family val="2"/>
        <charset val="136"/>
      </rPr>
      <t>影響較高</t>
    </r>
    <phoneticPr fontId="1" type="noConversion"/>
  </si>
  <si>
    <r>
      <t>極高：人員負責/接觸的業務，會因為休假或缺乏代理人等因素對業務執行</t>
    </r>
    <r>
      <rPr>
        <sz val="12"/>
        <color rgb="FFFF0000"/>
        <rFont val="微軟正黑體"/>
        <family val="2"/>
        <charset val="136"/>
      </rPr>
      <t>影響極高</t>
    </r>
    <phoneticPr fontId="1" type="noConversion"/>
  </si>
  <si>
    <t>法令/合約( L )-評估標準說明</t>
    <phoneticPr fontId="1" type="noConversion"/>
  </si>
  <si>
    <r>
      <t>重大影響，對單位(部門)</t>
    </r>
    <r>
      <rPr>
        <sz val="12"/>
        <color rgb="FFFF0000"/>
        <rFont val="微軟正黑體"/>
        <family val="2"/>
        <charset val="136"/>
      </rPr>
      <t>工研院</t>
    </r>
    <r>
      <rPr>
        <sz val="12"/>
        <color theme="1"/>
        <rFont val="微軟正黑體"/>
        <family val="2"/>
        <charset val="136"/>
      </rPr>
      <t>造成相當大損害</t>
    </r>
    <phoneticPr fontId="1" type="noConversion"/>
  </si>
  <si>
    <r>
      <t>不可承受的影響，對全組織</t>
    </r>
    <r>
      <rPr>
        <sz val="12"/>
        <color rgb="FFFF0000"/>
        <rFont val="微軟正黑體"/>
        <family val="2"/>
        <charset val="136"/>
      </rPr>
      <t>能源局</t>
    </r>
    <r>
      <rPr>
        <sz val="12"/>
        <color theme="1"/>
        <rFont val="微軟正黑體"/>
        <family val="2"/>
        <charset val="136"/>
      </rPr>
      <t>造成相當大損害</t>
    </r>
    <phoneticPr fontId="1" type="noConversion"/>
  </si>
  <si>
    <t>帳號權限設定流程不夠嚴謹</t>
    <phoneticPr fontId="1" type="noConversion"/>
  </si>
  <si>
    <t>存取權限授與不當</t>
  </si>
  <si>
    <t>Y</t>
  </si>
  <si>
    <t>未經授權使用軟體</t>
    <phoneticPr fontId="1" type="noConversion"/>
  </si>
  <si>
    <t>已知軟體瑕疵 (未修補hotfix, patch)</t>
    <phoneticPr fontId="1" type="noConversion"/>
  </si>
  <si>
    <t>已知的軟體瑕疵(未補hotfix)</t>
  </si>
  <si>
    <t>共用帳號/密碼(因作業上方便讓其他人知悉帳號/密碼)</t>
    <phoneticPr fontId="1" type="noConversion"/>
  </si>
  <si>
    <t>人員安全意識不足</t>
  </si>
  <si>
    <t>密碼長度、複雜度，更新期限不足</t>
    <phoneticPr fontId="1" type="noConversion"/>
  </si>
  <si>
    <t>缺少密碼管理</t>
  </si>
  <si>
    <t>log未能主動審查，留存之log對於法令法規要求尚無法滿足</t>
    <phoneticPr fontId="1" type="noConversion"/>
  </si>
  <si>
    <t>缺乏監督機制</t>
  </si>
  <si>
    <t>離開工作站時忘記立即登出</t>
    <phoneticPr fontId="1" type="noConversion"/>
  </si>
  <si>
    <t>離開工作站時沒有登出</t>
  </si>
  <si>
    <t>缺乏確保不可否認性的相關政策：如鑑別log基本保存要求，或可滿足法令法規留存log之最低要求或年限</t>
    <phoneticPr fontId="1" type="noConversion"/>
  </si>
  <si>
    <t>缺乏確保不可否認性的相關政策</t>
  </si>
  <si>
    <t>否認性</t>
    <phoneticPr fontId="1" type="noConversion"/>
  </si>
  <si>
    <t>log資訊不足，無法查證管理者與操作者行為</t>
    <phoneticPr fontId="1" type="noConversion"/>
  </si>
  <si>
    <t>缺乏傳送或接收訊息的證據</t>
  </si>
  <si>
    <t>軟體使用和下載控管不足(如：未控管非法軟體、未限制安裝shareware, freeware)</t>
    <phoneticPr fontId="1" type="noConversion"/>
  </si>
  <si>
    <t>組織內未控管軟體使用和下載</t>
  </si>
  <si>
    <t>已知的軟體瑕疵</t>
  </si>
  <si>
    <t>軟體失效</t>
    <phoneticPr fontId="1" type="noConversion"/>
  </si>
  <si>
    <t>應用系統軟體開發測試不足(套裝軟體無此issue)</t>
    <phoneticPr fontId="1" type="noConversion"/>
  </si>
  <si>
    <t>不正確的使用軟體和硬體</t>
  </si>
  <si>
    <t>應用程式變更未依流程進行(如：事後補單，忘記填單，口頭接收需求，事先規劃不足，測試不足……)</t>
    <phoneticPr fontId="1" type="noConversion"/>
  </si>
  <si>
    <t>軟體測試不夠</t>
  </si>
  <si>
    <t>缺乏有效變更控制</t>
  </si>
  <si>
    <t>開發者的電腦沒有資安防護機制(如：安裝防毒軟體、更新病毒碼、hotfix… )(套裝軟體無此issue)</t>
    <phoneticPr fontId="4" type="noConversion"/>
  </si>
  <si>
    <t>系統開發人員安全意識不足</t>
  </si>
  <si>
    <t>惡意的軟體</t>
    <phoneticPr fontId="1" type="noConversion"/>
  </si>
  <si>
    <t>未進行應用系統安全性測試或控管流程不足 (包括上線前安全性掃描，日常維護程式碼掃描等…)(套裝軟體無此issue)</t>
    <phoneticPr fontId="1" type="noConversion"/>
  </si>
  <si>
    <t>未安裝防毒軟體、security</t>
  </si>
  <si>
    <t>未控管的軟體使用和下載</t>
  </si>
  <si>
    <t>合約訂定不清，如：未包括服務水準要求，轉包要求及相關資安條款</t>
    <phoneticPr fontId="1" type="noConversion"/>
  </si>
  <si>
    <t>委託第三方之風險：廠商服務水準低落或履約狀況不佳</t>
    <phoneticPr fontId="1" type="noConversion"/>
  </si>
  <si>
    <t>缺乏監督廠商之措施與機制</t>
    <phoneticPr fontId="1" type="noConversion"/>
  </si>
  <si>
    <t>簽約前未檢視或驗證廠商履約能力及廠商是否具合約要求之控管機制</t>
    <phoneticPr fontId="1" type="noConversion"/>
  </si>
  <si>
    <t>委託第三方之風險：惡性倒閉/服務中斷或終止</t>
    <phoneticPr fontId="1" type="noConversion"/>
  </si>
  <si>
    <t>缺乏替代方案 (如：備份或備援或其他供應商替代方案)</t>
    <phoneticPr fontId="1" type="noConversion"/>
  </si>
  <si>
    <t>合約未列保護性條款(資安、智財權、個資法)</t>
    <phoneticPr fontId="1" type="noConversion"/>
  </si>
  <si>
    <t>提供的mobile服務認證或安全控制措施不足</t>
    <phoneticPr fontId="4" type="noConversion"/>
  </si>
  <si>
    <t>其他威脅</t>
  </si>
  <si>
    <t>其他弱點</t>
    <phoneticPr fontId="4" type="noConversion"/>
  </si>
  <si>
    <t>N</t>
  </si>
  <si>
    <t>BYOD的應用造成應用系統異常或資料外洩</t>
    <phoneticPr fontId="4" type="noConversion"/>
  </si>
  <si>
    <t>委託第三方之風險：廠商將資料外洩</t>
    <phoneticPr fontId="1" type="noConversion"/>
  </si>
  <si>
    <t>惡意的軟體</t>
    <phoneticPr fontId="4" type="noConversion"/>
  </si>
  <si>
    <t>非法使用軟體(輸入與輸出)</t>
    <phoneticPr fontId="4" type="noConversion"/>
  </si>
  <si>
    <t>未經授權使用軟體</t>
    <phoneticPr fontId="4" type="noConversion"/>
  </si>
  <si>
    <t>A</t>
    <phoneticPr fontId="1" type="noConversion"/>
  </si>
  <si>
    <t>定期與不定期檢視與修補</t>
  </si>
  <si>
    <t>機密性考量</t>
  </si>
  <si>
    <t>帳號密碼設定與個資無關</t>
  </si>
  <si>
    <t>網站委外按請購規格書要求，主機hosting在資訊處，本院責任義務相同</t>
  </si>
  <si>
    <t>石油與天然氣輸儲查核與檢測雲端平台</t>
    <phoneticPr fontId="1" type="noConversion"/>
  </si>
  <si>
    <t>ITRI 代管
51館213機房</t>
  </si>
  <si>
    <t>系統填寫個資</t>
  </si>
  <si>
    <t>資料正確性會影響運作。</t>
    <phoneticPr fontId="1" type="noConversion"/>
  </si>
  <si>
    <t>能源管理法
個資法</t>
    <phoneticPr fontId="1" type="noConversion"/>
  </si>
  <si>
    <t>賴斐瓔 </t>
  </si>
  <si>
    <t>石油與天然氣輸儲查核與檢測雲端平台</t>
    <phoneticPr fontId="1" type="noConversion"/>
  </si>
  <si>
    <t>石油與天然氣輸儲查核與檢測雲端平台所使用資料庫</t>
    <phoneticPr fontId="1" type="noConversion"/>
  </si>
  <si>
    <t>石油與天然氣輸儲查核與檢測雲端平台-資料庫</t>
    <phoneticPr fontId="1" type="noConversion"/>
  </si>
  <si>
    <t>吳榮正</t>
    <phoneticPr fontId="4" type="noConversion"/>
  </si>
  <si>
    <t>Y</t>
    <phoneticPr fontId="1" type="noConversion"/>
  </si>
  <si>
    <t>材1-1-SW-01</t>
    <phoneticPr fontId="4" type="noConversion"/>
  </si>
  <si>
    <t>材1-1-SW-02</t>
    <phoneticPr fontId="4" type="noConversion"/>
  </si>
  <si>
    <t>材1-1-SW-01</t>
    <phoneticPr fontId="1" type="noConversion"/>
  </si>
  <si>
    <t>材1-1-SW-02</t>
    <phoneticPr fontId="1" type="noConversion"/>
  </si>
  <si>
    <t>工業技術研究院機密資料 禁止複製、轉載、外流ITRI CONFIDENTIAL DOCUMENT DO NOT COPY OR DISTRIBUTE</t>
    <phoneticPr fontId="1" type="noConversion"/>
  </si>
  <si>
    <t>材1-1</t>
    <phoneticPr fontId="1" type="noConversion"/>
  </si>
  <si>
    <t>未遵循法令法規或合約要求</t>
    <phoneticPr fontId="1" type="noConversion"/>
  </si>
  <si>
    <t>未落實法令法規或合約之軟體安全防護或不足</t>
    <phoneticPr fontId="1" type="noConversion"/>
  </si>
  <si>
    <t>已遵循法令法規或合約要求</t>
    <phoneticPr fontId="1" type="noConversion"/>
  </si>
  <si>
    <t>持續法令法規或合約之軟體安全防護要求</t>
    <phoneticPr fontId="1" type="noConversion"/>
  </si>
  <si>
    <t>MPTD: 24H</t>
    <phoneticPr fontId="1" type="noConversion"/>
  </si>
  <si>
    <t>登入/新增/修改都有留存log，視狀況作審查</t>
    <phoneticPr fontId="1" type="noConversion"/>
  </si>
  <si>
    <t>本院pc端要求15分鐘鎖定</t>
    <phoneticPr fontId="1" type="noConversion"/>
  </si>
  <si>
    <t>原則上不會</t>
    <phoneticPr fontId="1" type="noConversion"/>
  </si>
  <si>
    <t>定期與不定期檢視與修補</t>
    <phoneticPr fontId="1" type="noConversion"/>
  </si>
  <si>
    <t>按照系統開發標準流程進行測試</t>
    <phoneticPr fontId="1" type="noConversion"/>
  </si>
  <si>
    <t>有文件紀錄</t>
    <phoneticPr fontId="1" type="noConversion"/>
  </si>
  <si>
    <t>開發廠商電腦有安裝防毒軟體</t>
    <phoneticPr fontId="1" type="noConversion"/>
  </si>
  <si>
    <t>要求廠商進行弱點掃描</t>
    <phoneticPr fontId="1" type="noConversion"/>
  </si>
  <si>
    <t>開發廠商有相關內部要求</t>
    <phoneticPr fontId="1" type="noConversion"/>
  </si>
  <si>
    <t>有相關要求</t>
    <phoneticPr fontId="1" type="noConversion"/>
  </si>
  <si>
    <t>驗收機制與過程中監督</t>
    <phoneticPr fontId="1" type="noConversion"/>
  </si>
  <si>
    <t>行政處黑名單管理</t>
    <phoneticPr fontId="1" type="noConversion"/>
  </si>
  <si>
    <t>請資訊處協助</t>
    <phoneticPr fontId="1" type="noConversion"/>
  </si>
  <si>
    <t>合約經法務審查有制式的要求規範</t>
    <phoneticPr fontId="1" type="noConversion"/>
  </si>
  <si>
    <t>密碼12碼以上、複雜度4種字元變化</t>
    <phoneticPr fontId="1" type="noConversion"/>
  </si>
  <si>
    <t>由網站負責人管理</t>
    <phoneticPr fontId="1" type="noConversion"/>
  </si>
  <si>
    <t>承接計畫建置的系統</t>
    <phoneticPr fontId="1" type="noConversion"/>
  </si>
  <si>
    <t>112/5/5</t>
    <phoneticPr fontId="1" type="noConversion"/>
  </si>
  <si>
    <t>8碼，大小寫數字特殊字元</t>
    <phoneticPr fontId="1" type="noConversion"/>
  </si>
  <si>
    <t>缺乏應用系統備份或備援機制</t>
  </si>
  <si>
    <t>程式備份</t>
  </si>
  <si>
    <t>如網站異常會影響線上申請作業</t>
  </si>
  <si>
    <t>缺乏設備與防護措施不足</t>
  </si>
  <si>
    <t>設備不足</t>
  </si>
  <si>
    <t>缺乏WAF防護，應用程式易受網路攻擊
［偶爾發生］</t>
  </si>
  <si>
    <t>應用程式受網路攻擊，風險發生可能造成業務中斷。</t>
  </si>
  <si>
    <t>113/3/19</t>
    <phoneticPr fontId="1" type="noConversion"/>
  </si>
  <si>
    <t>劉莉晶</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</si>
</sst>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3">
    <font>
      <sz val="12"/>
      <color theme="1"/>
      <name val="新細明體"/>
      <family val="2"/>
      <charset val="136"/>
      <scheme val="minor"/>
    </font>
    <font>
      <sz val="9"/>
      <name val="新細明體"/>
      <family val="2"/>
      <charset val="136"/>
      <scheme val="minor"/>
    </font>
    <font>
      <sz val="12"/>
      <name val="微軟正黑體"/>
      <family val="2"/>
      <charset val="136"/>
    </font>
    <font>
      <b/>
      <sz val="12"/>
      <name val="微軟正黑體"/>
      <family val="2"/>
      <charset val="136"/>
    </font>
    <font>
      <sz val="9"/>
      <name val="新細明體"/>
      <family val="1"/>
      <charset val="136"/>
    </font>
    <font>
      <sz val="12"/>
      <name val="新細明體"/>
      <family val="1"/>
      <charset val="136"/>
    </font>
    <font>
      <sz val="12"/>
      <color theme="1"/>
      <name val="微軟正黑體"/>
      <family val="2"/>
      <charset val="136"/>
    </font>
    <font>
      <sz val="24"/>
      <color theme="1" tint="0.14999847407452621"/>
      <name val="微軟正黑體"/>
      <family val="2"/>
      <charset val="136"/>
    </font>
    <font>
      <sz val="28"/>
      <color theme="0"/>
      <name val="微軟正黑體"/>
      <family val="2"/>
      <charset val="136"/>
    </font>
    <font>
      <sz val="12"/>
      <color rgb="FFFF0000"/>
      <name val="微軟正黑體"/>
      <family val="2"/>
      <charset val="136"/>
    </font>
    <font>
      <sz val="12"/>
      <color indexed="8"/>
      <name val="微軟正黑體"/>
      <family val="2"/>
      <charset val="136"/>
    </font>
    <font>
      <sz val="18"/>
      <color indexed="8"/>
      <name val="微軟正黑體"/>
      <family val="2"/>
      <charset val="136"/>
    </font>
    <font>
      <sz val="9"/>
      <color indexed="8"/>
      <name val="微軟正黑體"/>
      <family val="2"/>
      <charset val="136"/>
    </font>
    <font>
      <sz val="12"/>
      <color indexed="8"/>
      <name val="新細明體"/>
      <family val="1"/>
      <charset val="136"/>
    </font>
    <font>
      <sz val="28"/>
      <color rgb="FFFEC636"/>
      <name val="微軟正黑體"/>
      <family val="2"/>
      <charset val="136"/>
    </font>
    <font>
      <b/>
      <sz val="12"/>
      <name val="Calibri"/>
      <family val="2"/>
    </font>
    <font>
      <b/>
      <sz val="12"/>
      <color theme="0"/>
      <name val="微軟正黑體"/>
      <family val="2"/>
      <charset val="136"/>
    </font>
    <font>
      <b/>
      <sz val="12"/>
      <color indexed="8"/>
      <name val="微軟正黑體"/>
      <family val="2"/>
      <charset val="136"/>
    </font>
    <font>
      <sz val="10"/>
      <color theme="1"/>
      <name val="微軟正黑體"/>
      <family val="2"/>
      <charset val="136"/>
    </font>
    <font>
      <b/>
      <sz val="3"/>
      <name val="微軟正黑體"/>
      <family val="2"/>
      <charset val="136"/>
    </font>
    <font>
      <sz val="3"/>
      <color indexed="8"/>
      <name val="微軟正黑體"/>
      <family val="2"/>
      <charset val="136"/>
    </font>
    <font>
      <sz val="12"/>
      <color rgb="FF000000"/>
      <name val="新細明體"/>
      <family val="1"/>
      <charset val="136"/>
    </font>
    <font>
      <sz val="12"/>
      <color theme="0"/>
      <name val="微軟正黑體"/>
      <family val="2"/>
      <charset val="136"/>
    </font>
    <font>
      <b/>
      <sz val="12"/>
      <color indexed="81"/>
      <name val="新細明體"/>
      <family val="1"/>
      <charset val="136"/>
    </font>
    <font>
      <sz val="2"/>
      <color indexed="8"/>
      <name val="微軟正黑體"/>
      <family val="2"/>
      <charset val="136"/>
    </font>
    <font>
      <sz val="12"/>
      <color indexed="9"/>
      <name val="微軟正黑體"/>
      <family val="2"/>
      <charset val="136"/>
    </font>
    <font>
      <sz val="12"/>
      <color rgb="FF000000"/>
      <name val="微軟正黑體"/>
      <family val="2"/>
      <charset val="136"/>
    </font>
    <font>
      <sz val="26"/>
      <color theme="0"/>
      <name val="微軟正黑體"/>
      <family val="2"/>
      <charset val="136"/>
    </font>
    <font>
      <sz val="10"/>
      <name val="微軟正黑體"/>
      <family val="2"/>
      <charset val="136"/>
    </font>
    <font>
      <sz val="8"/>
      <color theme="0"/>
      <name val="微軟正黑體"/>
      <family val="2"/>
      <charset val="136"/>
    </font>
    <font>
      <sz val="9"/>
      <color indexed="81"/>
      <name val="Tahoma"/>
      <family val="2"/>
    </font>
    <font>
      <b/>
      <sz val="9"/>
      <color indexed="81"/>
      <name val="Tahoma"/>
      <family val="2"/>
    </font>
    <font>
      <sz val="9"/>
      <color indexed="81"/>
      <name val="細明體"/>
      <family val="3"/>
      <charset val="136"/>
    </font>
  </fonts>
  <fills count="15">
    <fill>
      <patternFill patternType="none"/>
    </fill>
    <fill>
      <patternFill patternType="gray125"/>
    </fill>
    <fill>
      <patternFill patternType="solid">
        <fgColor theme="0" tint="-4.9989318521683403E-2"/>
        <bgColor indexed="64"/>
      </patternFill>
    </fill>
    <fill>
      <patternFill patternType="solid">
        <fgColor theme="0" tint="-4.9989318521683403E-2"/>
        <bgColor theme="2"/>
      </patternFill>
    </fill>
    <fill>
      <patternFill patternType="solid">
        <fgColor rgb="FF99CCFF"/>
        <bgColor indexed="64"/>
      </patternFill>
    </fill>
    <fill>
      <patternFill patternType="solid">
        <fgColor rgb="FF6699CC"/>
        <bgColor indexed="64"/>
      </patternFill>
    </fill>
    <fill>
      <patternFill patternType="solid">
        <fgColor theme="4"/>
        <bgColor indexed="64"/>
      </patternFill>
    </fill>
    <fill>
      <patternFill patternType="solid">
        <fgColor theme="4" tint="0.79998168889431442"/>
        <bgColor indexed="64"/>
      </patternFill>
    </fill>
    <fill>
      <patternFill patternType="solid">
        <fgColor rgb="FFFFC000"/>
        <bgColor indexed="64"/>
      </patternFill>
    </fill>
    <fill>
      <patternFill patternType="solid">
        <fgColor rgb="FFFF614C"/>
        <bgColor indexed="64"/>
      </patternFill>
    </fill>
    <fill>
      <patternFill patternType="solid">
        <fgColor rgb="FF003366"/>
        <bgColor indexed="64"/>
      </patternFill>
    </fill>
    <fill>
      <patternFill patternType="solid">
        <fgColor theme="4" tint="0.39997558519241921"/>
        <bgColor indexed="64"/>
      </patternFill>
    </fill>
    <fill>
      <patternFill patternType="solid">
        <fgColor rgb="FFFF0000"/>
        <bgColor indexed="64"/>
      </patternFill>
    </fill>
    <fill>
      <patternFill patternType="solid">
        <fgColor rgb="FFFFFF00"/>
        <bgColor theme="2"/>
      </patternFill>
    </fill>
    <fill>
      <patternFill patternType="solid">
        <fgColor rgb="FFFFFF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dotted">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medium">
        <color indexed="64"/>
      </left>
      <right/>
      <top style="thin">
        <color indexed="64"/>
      </top>
      <bottom style="thin">
        <color indexed="64"/>
      </bottom>
      <diagonal/>
    </border>
  </borders>
  <cellStyleXfs count="6">
    <xf numFmtId="0" fontId="0" fillId="0" borderId="0">
      <alignment vertical="center"/>
    </xf>
    <xf numFmtId="0" fontId="5" fillId="0" borderId="0">
      <alignment vertical="center"/>
    </xf>
    <xf numFmtId="0" fontId="5" fillId="0" borderId="0"/>
    <xf numFmtId="0" fontId="5" fillId="0" borderId="0">
      <alignment vertical="center"/>
    </xf>
    <xf numFmtId="0" fontId="13" fillId="0" borderId="0">
      <alignment vertical="center"/>
    </xf>
    <xf numFmtId="0" fontId="5" fillId="0" borderId="0">
      <alignment vertical="center"/>
    </xf>
  </cellStyleXfs>
  <cellXfs count="189">
    <xf numFmtId="0" fontId="0" fillId="0" borderId="0" xfId="0">
      <alignment vertical="center"/>
    </xf>
    <xf numFmtId="0" fontId="3" fillId="3" borderId="1" xfId="0" applyFont="1" applyFill="1" applyBorder="1" applyAlignment="1">
      <alignment vertical="center" wrapText="1"/>
    </xf>
    <xf numFmtId="0" fontId="6" fillId="0" borderId="0" xfId="0" applyFont="1" applyAlignment="1">
      <alignment horizontal="center" vertical="center"/>
    </xf>
    <xf numFmtId="0" fontId="2" fillId="0" borderId="0" xfId="0" applyFont="1" applyAlignment="1">
      <alignment horizontal="center" vertical="center"/>
    </xf>
    <xf numFmtId="49" fontId="2" fillId="0" borderId="0" xfId="0" applyNumberFormat="1" applyFont="1" applyAlignment="1">
      <alignment horizontal="center" vertical="center" wrapText="1"/>
    </xf>
    <xf numFmtId="0" fontId="6" fillId="2" borderId="0" xfId="0" applyFont="1" applyFill="1">
      <alignment vertical="center"/>
    </xf>
    <xf numFmtId="0" fontId="10" fillId="0" borderId="0" xfId="3" applyFont="1" applyAlignment="1" applyProtection="1">
      <alignment vertical="center" wrapText="1"/>
      <protection locked="0"/>
    </xf>
    <xf numFmtId="0" fontId="12" fillId="0" borderId="0" xfId="3" applyFont="1" applyAlignment="1" applyProtection="1">
      <alignment vertical="center" wrapText="1"/>
      <protection locked="0"/>
    </xf>
    <xf numFmtId="0" fontId="6" fillId="11" borderId="1" xfId="0" applyFont="1" applyFill="1" applyBorder="1" applyAlignment="1">
      <alignment horizontal="center" vertical="center" wrapText="1"/>
    </xf>
    <xf numFmtId="0" fontId="6" fillId="0" borderId="1" xfId="0" applyFont="1" applyBorder="1" applyAlignment="1">
      <alignment horizontal="center" vertical="center" wrapText="1"/>
    </xf>
    <xf numFmtId="0" fontId="6" fillId="0" borderId="0" xfId="0" applyFont="1" applyAlignment="1">
      <alignment horizontal="center" vertical="center" wrapText="1"/>
    </xf>
    <xf numFmtId="0" fontId="2" fillId="0" borderId="0" xfId="0" applyFont="1" applyAlignment="1">
      <alignment horizontal="center" vertical="center" wrapText="1"/>
    </xf>
    <xf numFmtId="0" fontId="2" fillId="7" borderId="1" xfId="1" applyFont="1" applyFill="1" applyBorder="1" applyAlignment="1" applyProtection="1">
      <alignment horizontal="center" vertical="center" wrapText="1"/>
      <protection locked="0"/>
    </xf>
    <xf numFmtId="0" fontId="6" fillId="0" borderId="0" xfId="0" applyFont="1" applyAlignment="1" applyProtection="1">
      <alignment horizontal="left" vertical="center" wrapText="1"/>
      <protection locked="0"/>
    </xf>
    <xf numFmtId="49" fontId="2" fillId="4" borderId="1" xfId="1" applyNumberFormat="1" applyFont="1" applyFill="1" applyBorder="1" applyAlignment="1" applyProtection="1">
      <alignment horizontal="center" vertical="center" wrapText="1"/>
      <protection locked="0"/>
    </xf>
    <xf numFmtId="49" fontId="2" fillId="7" borderId="1" xfId="1" applyNumberFormat="1" applyFont="1" applyFill="1" applyBorder="1" applyAlignment="1" applyProtection="1">
      <alignment horizontal="center" vertical="center" wrapText="1"/>
      <protection locked="0"/>
    </xf>
    <xf numFmtId="0" fontId="6" fillId="0" borderId="0" xfId="0" applyFont="1" applyAlignment="1" applyProtection="1">
      <alignment horizontal="center" vertical="center" wrapText="1"/>
      <protection locked="0"/>
    </xf>
    <xf numFmtId="0" fontId="10" fillId="8" borderId="6" xfId="3" applyFont="1" applyFill="1" applyBorder="1" applyAlignment="1">
      <alignment horizontal="center" vertical="center" wrapText="1"/>
    </xf>
    <xf numFmtId="0" fontId="10" fillId="7" borderId="6" xfId="3" applyFont="1" applyFill="1" applyBorder="1" applyAlignment="1">
      <alignment horizontal="center" vertical="center" wrapText="1"/>
    </xf>
    <xf numFmtId="0" fontId="11" fillId="0" borderId="0" xfId="3" applyFont="1" applyAlignment="1" applyProtection="1">
      <alignment vertical="center" wrapText="1"/>
      <protection locked="0"/>
    </xf>
    <xf numFmtId="0" fontId="17" fillId="0" borderId="0" xfId="3" applyFont="1" applyAlignment="1" applyProtection="1">
      <alignment vertical="center" wrapText="1"/>
      <protection locked="0"/>
    </xf>
    <xf numFmtId="49" fontId="2" fillId="0" borderId="0" xfId="0" applyNumberFormat="1" applyFont="1" applyAlignment="1" applyProtection="1">
      <alignment vertical="center" wrapText="1"/>
      <protection locked="0"/>
    </xf>
    <xf numFmtId="49" fontId="2" fillId="0" borderId="0" xfId="0" applyNumberFormat="1" applyFont="1" applyAlignment="1">
      <alignment vertical="center" wrapText="1"/>
    </xf>
    <xf numFmtId="0" fontId="2" fillId="0" borderId="1" xfId="0" applyFont="1" applyBorder="1" applyAlignment="1">
      <alignment vertical="center" wrapText="1"/>
    </xf>
    <xf numFmtId="0" fontId="6" fillId="0" borderId="0" xfId="0" applyFont="1" applyAlignment="1" applyProtection="1">
      <alignment vertical="center" wrapText="1"/>
      <protection locked="0"/>
    </xf>
    <xf numFmtId="0" fontId="10" fillId="9" borderId="6" xfId="3" applyFont="1" applyFill="1" applyBorder="1" applyAlignment="1" applyProtection="1">
      <alignment horizontal="center" vertical="center" wrapText="1"/>
      <protection locked="0"/>
    </xf>
    <xf numFmtId="0" fontId="2" fillId="0" borderId="0" xfId="0" applyFont="1" applyAlignment="1" applyProtection="1">
      <alignment vertical="center" wrapText="1"/>
      <protection locked="0"/>
    </xf>
    <xf numFmtId="49" fontId="2" fillId="4" borderId="4" xfId="1" applyNumberFormat="1" applyFont="1" applyFill="1" applyBorder="1" applyAlignment="1" applyProtection="1">
      <alignment horizontal="center" vertical="center" wrapText="1"/>
      <protection locked="0"/>
    </xf>
    <xf numFmtId="49" fontId="2" fillId="0" borderId="9" xfId="1" applyNumberFormat="1" applyFont="1" applyBorder="1" applyAlignment="1" applyProtection="1">
      <alignment horizontal="left" vertical="center" wrapText="1"/>
      <protection locked="0"/>
    </xf>
    <xf numFmtId="49" fontId="2" fillId="6" borderId="8" xfId="0" applyNumberFormat="1" applyFont="1" applyFill="1" applyBorder="1" applyAlignment="1" applyProtection="1">
      <alignment horizontal="center" vertical="center" wrapText="1"/>
      <protection locked="0"/>
    </xf>
    <xf numFmtId="49" fontId="2" fillId="6" borderId="9" xfId="1" applyNumberFormat="1" applyFont="1" applyFill="1" applyBorder="1" applyAlignment="1" applyProtection="1">
      <alignment horizontal="center" vertical="center" wrapText="1"/>
      <protection locked="0"/>
    </xf>
    <xf numFmtId="0" fontId="3" fillId="7" borderId="1" xfId="1" applyFont="1" applyFill="1" applyBorder="1" applyAlignment="1" applyProtection="1">
      <alignment horizontal="center" vertical="center" wrapText="1"/>
      <protection locked="0"/>
    </xf>
    <xf numFmtId="0" fontId="10" fillId="7" borderId="6" xfId="3" applyFont="1" applyFill="1" applyBorder="1" applyAlignment="1" applyProtection="1">
      <alignment horizontal="right" vertical="center" wrapText="1"/>
      <protection locked="0"/>
    </xf>
    <xf numFmtId="0" fontId="10" fillId="8" borderId="6" xfId="3" applyFont="1" applyFill="1" applyBorder="1" applyAlignment="1" applyProtection="1">
      <alignment horizontal="left" vertical="center" wrapText="1"/>
      <protection locked="0"/>
    </xf>
    <xf numFmtId="0" fontId="10" fillId="9" borderId="6" xfId="3" applyFont="1" applyFill="1" applyBorder="1" applyAlignment="1" applyProtection="1">
      <alignment horizontal="left" vertical="center" wrapText="1"/>
      <protection locked="0"/>
    </xf>
    <xf numFmtId="49" fontId="19" fillId="0" borderId="1" xfId="1" applyNumberFormat="1" applyFont="1" applyBorder="1" applyAlignment="1" applyProtection="1">
      <alignment horizontal="center" vertical="center" wrapText="1"/>
      <protection locked="0"/>
    </xf>
    <xf numFmtId="0" fontId="19" fillId="0" borderId="1" xfId="1" applyFont="1" applyBorder="1" applyAlignment="1" applyProtection="1">
      <alignment horizontal="center" vertical="center" wrapText="1"/>
      <protection locked="0"/>
    </xf>
    <xf numFmtId="0" fontId="19" fillId="0" borderId="2" xfId="1" applyFont="1" applyBorder="1" applyAlignment="1" applyProtection="1">
      <alignment horizontal="center" vertical="center" wrapText="1"/>
      <protection locked="0"/>
    </xf>
    <xf numFmtId="49" fontId="19" fillId="0" borderId="2" xfId="1" applyNumberFormat="1" applyFont="1" applyBorder="1" applyAlignment="1" applyProtection="1">
      <alignment horizontal="center" vertical="center" wrapText="1"/>
      <protection locked="0"/>
    </xf>
    <xf numFmtId="0" fontId="20" fillId="0" borderId="0" xfId="3" applyFont="1" applyAlignment="1" applyProtection="1">
      <alignment vertical="center" wrapText="1"/>
      <protection locked="0"/>
    </xf>
    <xf numFmtId="0" fontId="10" fillId="0" borderId="0" xfId="3" applyFont="1" applyAlignment="1" applyProtection="1">
      <alignment horizontal="left" vertical="center" wrapText="1"/>
      <protection locked="0"/>
    </xf>
    <xf numFmtId="0" fontId="10" fillId="7" borderId="1" xfId="3" applyFont="1" applyFill="1" applyBorder="1" applyAlignment="1" applyProtection="1">
      <alignment horizontal="right" vertical="center" wrapText="1"/>
      <protection locked="0"/>
    </xf>
    <xf numFmtId="0" fontId="2" fillId="7" borderId="1" xfId="3" applyFont="1" applyFill="1" applyBorder="1" applyAlignment="1" applyProtection="1">
      <alignment horizontal="right" vertical="center" wrapText="1"/>
      <protection locked="0"/>
    </xf>
    <xf numFmtId="0" fontId="10" fillId="7" borderId="9" xfId="3" applyFont="1" applyFill="1" applyBorder="1" applyAlignment="1" applyProtection="1">
      <alignment horizontal="right" vertical="center" wrapText="1"/>
      <protection locked="0"/>
    </xf>
    <xf numFmtId="0" fontId="2" fillId="7" borderId="12" xfId="3" applyFont="1" applyFill="1" applyBorder="1" applyAlignment="1" applyProtection="1">
      <alignment horizontal="right" vertical="center" wrapText="1"/>
      <protection locked="0"/>
    </xf>
    <xf numFmtId="0" fontId="10" fillId="0" borderId="14" xfId="3" applyFont="1" applyBorder="1" applyAlignment="1" applyProtection="1">
      <alignment horizontal="left" vertical="center" wrapText="1"/>
      <protection locked="0"/>
    </xf>
    <xf numFmtId="0" fontId="22" fillId="10" borderId="1" xfId="0" applyFont="1" applyFill="1" applyBorder="1" applyAlignment="1">
      <alignment horizontal="center" vertical="center"/>
    </xf>
    <xf numFmtId="0" fontId="22" fillId="10" borderId="1" xfId="0" applyFont="1" applyFill="1" applyBorder="1" applyAlignment="1">
      <alignment horizontal="center" vertical="center" wrapText="1"/>
    </xf>
    <xf numFmtId="0" fontId="22" fillId="10" borderId="1" xfId="1" applyFont="1" applyFill="1" applyBorder="1" applyAlignment="1" applyProtection="1">
      <alignment horizontal="center" vertical="center" wrapText="1"/>
      <protection locked="0"/>
    </xf>
    <xf numFmtId="0" fontId="6" fillId="0" borderId="1" xfId="0" applyFont="1" applyBorder="1" applyAlignment="1">
      <alignment horizontal="center" vertical="center"/>
    </xf>
    <xf numFmtId="0" fontId="6" fillId="0" borderId="1" xfId="0" applyFont="1" applyBorder="1" applyAlignment="1">
      <alignment horizontal="left" vertical="center" wrapText="1"/>
    </xf>
    <xf numFmtId="0" fontId="6" fillId="0" borderId="0" xfId="0" applyFont="1" applyAlignment="1">
      <alignment horizontal="left" vertical="center" wrapText="1"/>
    </xf>
    <xf numFmtId="0" fontId="2" fillId="0" borderId="0" xfId="0" applyFont="1" applyAlignment="1">
      <alignment horizontal="left" vertical="center" wrapText="1"/>
    </xf>
    <xf numFmtId="49" fontId="2" fillId="0" borderId="0" xfId="0" applyNumberFormat="1" applyFont="1" applyAlignment="1">
      <alignment horizontal="center" vertical="center"/>
    </xf>
    <xf numFmtId="0" fontId="24" fillId="0" borderId="15" xfId="3" applyFont="1" applyBorder="1" applyAlignment="1" applyProtection="1">
      <alignment vertical="center" wrapText="1"/>
      <protection locked="0"/>
    </xf>
    <xf numFmtId="0" fontId="24" fillId="0" borderId="1" xfId="3" applyFont="1" applyBorder="1" applyAlignment="1" applyProtection="1">
      <alignment vertical="center" wrapText="1"/>
      <protection locked="0"/>
    </xf>
    <xf numFmtId="0" fontId="24" fillId="0" borderId="2" xfId="3" applyFont="1" applyBorder="1" applyAlignment="1" applyProtection="1">
      <alignment vertical="center" wrapText="1"/>
      <protection locked="0"/>
    </xf>
    <xf numFmtId="0" fontId="2" fillId="0" borderId="1" xfId="0" applyFont="1" applyBorder="1" applyAlignment="1" applyProtection="1">
      <alignment horizontal="center" vertical="center" wrapText="1"/>
      <protection locked="0" hidden="1"/>
    </xf>
    <xf numFmtId="0" fontId="10" fillId="7" borderId="1" xfId="0" applyFont="1" applyFill="1" applyBorder="1" applyAlignment="1" applyProtection="1">
      <alignment horizontal="center" vertical="center" wrapText="1"/>
      <protection hidden="1"/>
    </xf>
    <xf numFmtId="0" fontId="24" fillId="0" borderId="24" xfId="3" applyFont="1" applyBorder="1" applyAlignment="1" applyProtection="1">
      <alignment vertical="center" wrapText="1"/>
      <protection locked="0"/>
    </xf>
    <xf numFmtId="0" fontId="24" fillId="0" borderId="25" xfId="3" applyFont="1" applyBorder="1" applyAlignment="1" applyProtection="1">
      <alignment vertical="center" wrapText="1"/>
      <protection locked="0"/>
    </xf>
    <xf numFmtId="0" fontId="24" fillId="0" borderId="26" xfId="3" applyFont="1" applyBorder="1" applyAlignment="1" applyProtection="1">
      <alignment vertical="center" wrapText="1"/>
      <protection locked="0"/>
    </xf>
    <xf numFmtId="0" fontId="24" fillId="0" borderId="0" xfId="3" applyFont="1" applyAlignment="1" applyProtection="1">
      <alignment vertical="center" wrapText="1"/>
      <protection locked="0"/>
    </xf>
    <xf numFmtId="0" fontId="24" fillId="0" borderId="0" xfId="3" applyFont="1" applyProtection="1">
      <alignment vertical="center"/>
      <protection locked="0"/>
    </xf>
    <xf numFmtId="0" fontId="10" fillId="0" borderId="0" xfId="3" applyFont="1" applyProtection="1">
      <alignment vertical="center"/>
      <protection locked="0"/>
    </xf>
    <xf numFmtId="0" fontId="10" fillId="7" borderId="8" xfId="0" applyFont="1" applyFill="1" applyBorder="1" applyAlignment="1" applyProtection="1">
      <alignment horizontal="center" vertical="center" wrapText="1"/>
      <protection hidden="1"/>
    </xf>
    <xf numFmtId="0" fontId="10" fillId="0" borderId="1" xfId="0" applyFont="1" applyBorder="1" applyAlignment="1" applyProtection="1">
      <alignment vertical="center" wrapText="1"/>
      <protection locked="0" hidden="1"/>
    </xf>
    <xf numFmtId="0" fontId="10" fillId="0" borderId="1" xfId="0" applyFont="1" applyBorder="1" applyAlignment="1">
      <alignment vertical="center" wrapText="1"/>
    </xf>
    <xf numFmtId="0" fontId="10" fillId="0" borderId="8" xfId="0" applyFont="1" applyBorder="1" applyAlignment="1">
      <alignment vertical="center" wrapText="1"/>
    </xf>
    <xf numFmtId="0" fontId="10" fillId="7" borderId="1" xfId="0" applyFont="1" applyFill="1" applyBorder="1" applyAlignment="1">
      <alignment horizontal="center" vertical="center" wrapText="1"/>
    </xf>
    <xf numFmtId="0" fontId="2" fillId="0" borderId="1" xfId="1" applyFont="1" applyBorder="1" applyAlignment="1" applyProtection="1">
      <alignment vertical="center" wrapText="1"/>
      <protection hidden="1"/>
    </xf>
    <xf numFmtId="0" fontId="2" fillId="0" borderId="1" xfId="0" applyFont="1" applyBorder="1" applyAlignment="1" applyProtection="1">
      <alignment horizontal="left" vertical="center" wrapText="1"/>
      <protection locked="0" hidden="1"/>
    </xf>
    <xf numFmtId="0" fontId="2" fillId="0" borderId="1" xfId="0" applyFont="1" applyBorder="1" applyAlignment="1" applyProtection="1">
      <alignment vertical="center" wrapText="1"/>
      <protection locked="0" hidden="1"/>
    </xf>
    <xf numFmtId="0" fontId="2" fillId="0" borderId="8" xfId="0" applyFont="1" applyBorder="1" applyAlignment="1" applyProtection="1">
      <alignment horizontal="center" vertical="center" wrapText="1"/>
      <protection locked="0" hidden="1"/>
    </xf>
    <xf numFmtId="49" fontId="2" fillId="0" borderId="1" xfId="1" applyNumberFormat="1" applyFont="1" applyBorder="1" applyAlignment="1" applyProtection="1">
      <alignment horizontal="left" vertical="center" wrapText="1"/>
      <protection locked="0"/>
    </xf>
    <xf numFmtId="0" fontId="2" fillId="0" borderId="0" xfId="0" applyFont="1" applyAlignment="1" applyProtection="1">
      <alignment horizontal="left" vertical="center" wrapText="1"/>
      <protection locked="0"/>
    </xf>
    <xf numFmtId="0" fontId="2" fillId="0" borderId="1" xfId="0" applyFont="1" applyBorder="1" applyAlignment="1" applyProtection="1">
      <alignment horizontal="left"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lignment horizontal="center" vertical="center" wrapText="1"/>
    </xf>
    <xf numFmtId="0" fontId="2" fillId="0" borderId="1" xfId="1" applyFont="1" applyBorder="1" applyAlignment="1" applyProtection="1">
      <alignment horizontal="center" vertical="center" wrapText="1"/>
      <protection locked="0"/>
    </xf>
    <xf numFmtId="0" fontId="28" fillId="0" borderId="1" xfId="0" applyFont="1" applyBorder="1" applyAlignment="1">
      <alignment horizontal="left" vertical="center" wrapText="1"/>
    </xf>
    <xf numFmtId="0" fontId="2" fillId="0" borderId="1" xfId="0" applyFont="1" applyBorder="1" applyAlignment="1">
      <alignment horizontal="left" vertical="center" wrapText="1"/>
    </xf>
    <xf numFmtId="0" fontId="26" fillId="0" borderId="1" xfId="0" applyFont="1" applyBorder="1" applyAlignment="1">
      <alignment vertical="center" wrapText="1"/>
    </xf>
    <xf numFmtId="0" fontId="27" fillId="5" borderId="0" xfId="0" applyFont="1" applyFill="1" applyAlignment="1">
      <alignment horizontal="left" vertical="center"/>
    </xf>
    <xf numFmtId="0" fontId="14" fillId="5" borderId="0" xfId="0" applyFont="1" applyFill="1" applyAlignment="1">
      <alignment horizontal="right" vertical="center" wrapText="1"/>
    </xf>
    <xf numFmtId="0" fontId="14" fillId="5" borderId="0" xfId="0" applyFont="1" applyFill="1" applyAlignment="1">
      <alignment horizontal="right" vertical="center"/>
    </xf>
    <xf numFmtId="0" fontId="8" fillId="5" borderId="0" xfId="0" applyFont="1" applyFill="1" applyAlignment="1">
      <alignment horizontal="right" vertical="center"/>
    </xf>
    <xf numFmtId="0" fontId="15" fillId="3" borderId="2" xfId="0" applyFont="1" applyFill="1" applyBorder="1" applyAlignment="1">
      <alignment horizontal="center" vertical="center"/>
    </xf>
    <xf numFmtId="0" fontId="15" fillId="3" borderId="3" xfId="0" applyFont="1" applyFill="1" applyBorder="1" applyAlignment="1">
      <alignment horizontal="center" vertical="center"/>
    </xf>
    <xf numFmtId="0" fontId="15" fillId="3" borderId="4" xfId="0" applyFont="1" applyFill="1" applyBorder="1" applyAlignment="1">
      <alignment horizontal="center" vertical="center"/>
    </xf>
    <xf numFmtId="49" fontId="3" fillId="3" borderId="2" xfId="0" applyNumberFormat="1" applyFont="1" applyFill="1" applyBorder="1" applyAlignment="1">
      <alignment horizontal="center" vertical="center"/>
    </xf>
    <xf numFmtId="49" fontId="3" fillId="3" borderId="3" xfId="0" applyNumberFormat="1" applyFont="1" applyFill="1" applyBorder="1" applyAlignment="1">
      <alignment horizontal="center" vertical="center"/>
    </xf>
    <xf numFmtId="49" fontId="3" fillId="3" borderId="4" xfId="0" applyNumberFormat="1" applyFont="1" applyFill="1" applyBorder="1" applyAlignment="1">
      <alignment horizontal="center" vertical="center"/>
    </xf>
    <xf numFmtId="0" fontId="29" fillId="10" borderId="0" xfId="0" applyFont="1" applyFill="1" applyAlignment="1">
      <alignment horizontal="center" vertical="center"/>
    </xf>
    <xf numFmtId="0" fontId="15" fillId="13" borderId="2" xfId="0" applyFont="1" applyFill="1" applyBorder="1" applyAlignment="1">
      <alignment horizontal="center" vertical="center"/>
    </xf>
    <xf numFmtId="0" fontId="15" fillId="13" borderId="3" xfId="0" applyFont="1" applyFill="1" applyBorder="1" applyAlignment="1">
      <alignment horizontal="center" vertical="center"/>
    </xf>
    <xf numFmtId="0" fontId="15" fillId="13" borderId="4" xfId="0" applyFont="1" applyFill="1" applyBorder="1" applyAlignment="1">
      <alignment horizontal="center" vertical="center"/>
    </xf>
    <xf numFmtId="176" fontId="15" fillId="3" borderId="2" xfId="0" applyNumberFormat="1" applyFont="1" applyFill="1" applyBorder="1" applyAlignment="1">
      <alignment horizontal="center" vertical="center"/>
    </xf>
    <xf numFmtId="176" fontId="15" fillId="3" borderId="3" xfId="0" applyNumberFormat="1" applyFont="1" applyFill="1" applyBorder="1" applyAlignment="1">
      <alignment horizontal="center" vertical="center"/>
    </xf>
    <xf numFmtId="176" fontId="15" fillId="3" borderId="4" xfId="0" applyNumberFormat="1" applyFont="1" applyFill="1" applyBorder="1" applyAlignment="1">
      <alignment horizontal="center" vertical="center"/>
    </xf>
    <xf numFmtId="0" fontId="7" fillId="4" borderId="0" xfId="0" applyFont="1" applyFill="1" applyAlignment="1">
      <alignment horizontal="left" vertical="center"/>
    </xf>
    <xf numFmtId="0" fontId="2" fillId="2" borderId="1" xfId="0" applyFont="1" applyFill="1" applyBorder="1" applyAlignment="1" applyProtection="1">
      <alignment horizontal="center" vertical="center" wrapText="1"/>
      <protection locked="0"/>
    </xf>
    <xf numFmtId="0" fontId="2" fillId="2" borderId="1" xfId="0" applyFont="1" applyFill="1" applyBorder="1" applyAlignment="1">
      <alignment horizontal="left" vertical="center" wrapText="1"/>
    </xf>
    <xf numFmtId="0" fontId="2" fillId="2" borderId="8" xfId="0" applyFont="1" applyFill="1" applyBorder="1" applyAlignment="1">
      <alignment horizontal="left" vertical="center" wrapText="1"/>
    </xf>
    <xf numFmtId="49" fontId="2" fillId="4" borderId="3" xfId="0" applyNumberFormat="1" applyFont="1" applyFill="1" applyBorder="1" applyAlignment="1" applyProtection="1">
      <alignment horizontal="center" vertical="center" wrapText="1"/>
      <protection locked="0"/>
    </xf>
    <xf numFmtId="49" fontId="2" fillId="4" borderId="4" xfId="0" applyNumberFormat="1" applyFont="1" applyFill="1" applyBorder="1" applyAlignment="1" applyProtection="1">
      <alignment horizontal="center" vertical="center" wrapText="1"/>
      <protection locked="0"/>
    </xf>
    <xf numFmtId="49" fontId="2" fillId="7" borderId="2" xfId="0" applyNumberFormat="1" applyFont="1" applyFill="1" applyBorder="1" applyAlignment="1" applyProtection="1">
      <alignment horizontal="center" vertical="center" wrapText="1"/>
      <protection locked="0"/>
    </xf>
    <xf numFmtId="49" fontId="2" fillId="7" borderId="3" xfId="0" applyNumberFormat="1" applyFont="1" applyFill="1" applyBorder="1" applyAlignment="1" applyProtection="1">
      <alignment horizontal="center" vertical="center" wrapText="1"/>
      <protection locked="0"/>
    </xf>
    <xf numFmtId="49" fontId="2" fillId="7" borderId="4" xfId="0" applyNumberFormat="1" applyFont="1" applyFill="1" applyBorder="1" applyAlignment="1" applyProtection="1">
      <alignment horizontal="center" vertical="center" wrapText="1"/>
      <protection locked="0"/>
    </xf>
    <xf numFmtId="0" fontId="6" fillId="0" borderId="20" xfId="0" applyFont="1" applyBorder="1" applyAlignment="1">
      <alignment horizontal="center" vertical="center"/>
    </xf>
    <xf numFmtId="0" fontId="6" fillId="0" borderId="0" xfId="0" applyFont="1" applyAlignment="1">
      <alignment horizontal="center" vertical="center" wrapText="1"/>
    </xf>
    <xf numFmtId="0" fontId="22" fillId="12" borderId="20" xfId="0" applyFont="1" applyFill="1" applyBorder="1" applyAlignment="1">
      <alignment horizontal="center" vertical="center"/>
    </xf>
    <xf numFmtId="0" fontId="16" fillId="10" borderId="0" xfId="0" applyFont="1" applyFill="1" applyAlignment="1">
      <alignment horizontal="left" vertical="center" wrapText="1"/>
    </xf>
    <xf numFmtId="0" fontId="16" fillId="10" borderId="7" xfId="0" applyFont="1" applyFill="1" applyBorder="1" applyAlignment="1">
      <alignment horizontal="left" vertical="center" wrapText="1"/>
    </xf>
    <xf numFmtId="0" fontId="11" fillId="0" borderId="0" xfId="3" applyFont="1" applyAlignment="1" applyProtection="1">
      <alignment horizontal="center" vertical="center" wrapText="1"/>
      <protection locked="0"/>
    </xf>
    <xf numFmtId="0" fontId="2" fillId="0" borderId="27" xfId="1" applyFont="1" applyBorder="1" applyAlignment="1" applyProtection="1">
      <alignment horizontal="left" vertical="center" wrapText="1"/>
      <protection hidden="1"/>
    </xf>
    <xf numFmtId="0" fontId="2" fillId="0" borderId="20" xfId="1" applyFont="1" applyBorder="1" applyAlignment="1" applyProtection="1">
      <alignment horizontal="left" vertical="center" wrapText="1"/>
      <protection hidden="1"/>
    </xf>
    <xf numFmtId="0" fontId="2" fillId="0" borderId="23" xfId="1" applyFont="1" applyBorder="1" applyAlignment="1" applyProtection="1">
      <alignment horizontal="left" vertical="center" wrapText="1"/>
      <protection hidden="1"/>
    </xf>
    <xf numFmtId="0" fontId="10" fillId="0" borderId="4" xfId="0" applyFont="1" applyBorder="1" applyAlignment="1" applyProtection="1">
      <alignment horizontal="left" vertical="center" wrapText="1"/>
      <protection hidden="1"/>
    </xf>
    <xf numFmtId="0" fontId="10" fillId="0" borderId="1" xfId="0" applyFont="1" applyBorder="1" applyAlignment="1" applyProtection="1">
      <alignment horizontal="left" vertical="center" wrapText="1"/>
      <protection hidden="1"/>
    </xf>
    <xf numFmtId="0" fontId="2" fillId="0" borderId="28" xfId="1" applyFont="1" applyBorder="1" applyAlignment="1" applyProtection="1">
      <alignment horizontal="left" vertical="center" wrapText="1"/>
      <protection hidden="1"/>
    </xf>
    <xf numFmtId="0" fontId="2" fillId="0" borderId="21" xfId="1" applyFont="1" applyBorder="1" applyAlignment="1" applyProtection="1">
      <alignment horizontal="left" vertical="center" wrapText="1"/>
      <protection hidden="1"/>
    </xf>
    <xf numFmtId="0" fontId="2" fillId="0" borderId="22" xfId="1" applyFont="1" applyBorder="1" applyAlignment="1" applyProtection="1">
      <alignment horizontal="left" vertical="center" wrapText="1"/>
      <protection hidden="1"/>
    </xf>
    <xf numFmtId="0" fontId="10" fillId="0" borderId="22" xfId="0" applyFont="1" applyBorder="1" applyAlignment="1" applyProtection="1">
      <alignment horizontal="left" vertical="center" wrapText="1"/>
      <protection locked="0"/>
    </xf>
    <xf numFmtId="0" fontId="10" fillId="0" borderId="8" xfId="0" applyFont="1" applyBorder="1" applyAlignment="1" applyProtection="1">
      <alignment horizontal="left" vertical="center" wrapText="1"/>
      <protection locked="0"/>
    </xf>
    <xf numFmtId="0" fontId="22" fillId="0" borderId="29" xfId="1" applyFont="1" applyBorder="1" applyAlignment="1" applyProtection="1">
      <alignment horizontal="left" vertical="center" wrapText="1"/>
      <protection hidden="1"/>
    </xf>
    <xf numFmtId="0" fontId="22" fillId="0" borderId="0" xfId="1" applyFont="1" applyAlignment="1" applyProtection="1">
      <alignment horizontal="left" vertical="center" wrapText="1"/>
      <protection hidden="1"/>
    </xf>
    <xf numFmtId="0" fontId="22" fillId="0" borderId="7" xfId="1" applyFont="1" applyBorder="1" applyAlignment="1" applyProtection="1">
      <alignment horizontal="left" vertical="center" wrapText="1"/>
      <protection hidden="1"/>
    </xf>
    <xf numFmtId="0" fontId="25" fillId="0" borderId="29" xfId="1" applyFont="1" applyBorder="1" applyAlignment="1" applyProtection="1">
      <alignment horizontal="left" vertical="center" wrapText="1"/>
      <protection hidden="1"/>
    </xf>
    <xf numFmtId="0" fontId="25" fillId="0" borderId="0" xfId="1" applyFont="1" applyAlignment="1" applyProtection="1">
      <alignment horizontal="left" vertical="center" wrapText="1"/>
      <protection hidden="1"/>
    </xf>
    <xf numFmtId="0" fontId="25" fillId="0" borderId="7" xfId="1" applyFont="1" applyBorder="1" applyAlignment="1" applyProtection="1">
      <alignment horizontal="left" vertical="center" wrapText="1"/>
      <protection hidden="1"/>
    </xf>
    <xf numFmtId="0" fontId="10" fillId="0" borderId="1" xfId="0" applyFont="1" applyBorder="1" applyAlignment="1" applyProtection="1">
      <alignment horizontal="left" vertical="center" wrapText="1"/>
      <protection locked="0" hidden="1"/>
    </xf>
    <xf numFmtId="0" fontId="10" fillId="0" borderId="1" xfId="0" applyFont="1" applyBorder="1" applyAlignment="1" applyProtection="1">
      <alignment horizontal="left" vertical="center" wrapText="1"/>
      <protection locked="0"/>
    </xf>
    <xf numFmtId="0" fontId="22" fillId="0" borderId="27" xfId="1" applyFont="1" applyBorder="1" applyAlignment="1" applyProtection="1">
      <alignment horizontal="left" vertical="center" wrapText="1"/>
      <protection hidden="1"/>
    </xf>
    <xf numFmtId="0" fontId="22" fillId="0" borderId="20" xfId="1" applyFont="1" applyBorder="1" applyAlignment="1" applyProtection="1">
      <alignment horizontal="left" vertical="center" wrapText="1"/>
      <protection hidden="1"/>
    </xf>
    <xf numFmtId="0" fontId="22" fillId="0" borderId="23" xfId="1" applyFont="1" applyBorder="1" applyAlignment="1" applyProtection="1">
      <alignment horizontal="left" vertical="center" wrapText="1"/>
      <protection hidden="1"/>
    </xf>
    <xf numFmtId="0" fontId="2" fillId="0" borderId="30" xfId="1" applyFont="1" applyBorder="1" applyAlignment="1" applyProtection="1">
      <alignment horizontal="left" vertical="center" wrapText="1"/>
      <protection hidden="1"/>
    </xf>
    <xf numFmtId="0" fontId="2" fillId="0" borderId="3" xfId="1" applyFont="1" applyBorder="1" applyAlignment="1" applyProtection="1">
      <alignment horizontal="left" vertical="center" wrapText="1"/>
      <protection hidden="1"/>
    </xf>
    <xf numFmtId="0" fontId="2" fillId="0" borderId="4" xfId="1" applyFont="1" applyBorder="1" applyAlignment="1" applyProtection="1">
      <alignment horizontal="left" vertical="center" wrapText="1"/>
      <protection hidden="1"/>
    </xf>
    <xf numFmtId="0" fontId="10" fillId="0" borderId="2" xfId="0" applyFont="1" applyBorder="1" applyAlignment="1" applyProtection="1">
      <alignment horizontal="left" vertical="center" wrapText="1"/>
      <protection locked="0"/>
    </xf>
    <xf numFmtId="0" fontId="10" fillId="0" borderId="3" xfId="0" applyFont="1" applyBorder="1" applyAlignment="1" applyProtection="1">
      <alignment horizontal="left" vertical="center" wrapText="1"/>
      <protection locked="0"/>
    </xf>
    <xf numFmtId="0" fontId="10" fillId="0" borderId="4" xfId="0" applyFont="1" applyBorder="1" applyAlignment="1" applyProtection="1">
      <alignment horizontal="left" vertical="center" wrapText="1"/>
      <protection locked="0"/>
    </xf>
    <xf numFmtId="0" fontId="25" fillId="0" borderId="27" xfId="1" applyFont="1" applyBorder="1" applyAlignment="1" applyProtection="1">
      <alignment horizontal="left" vertical="center" wrapText="1"/>
      <protection hidden="1"/>
    </xf>
    <xf numFmtId="0" fontId="25" fillId="0" borderId="20" xfId="1" applyFont="1" applyBorder="1" applyAlignment="1" applyProtection="1">
      <alignment horizontal="left" vertical="center" wrapText="1"/>
      <protection hidden="1"/>
    </xf>
    <xf numFmtId="0" fontId="25" fillId="0" borderId="23" xfId="1" applyFont="1" applyBorder="1" applyAlignment="1" applyProtection="1">
      <alignment horizontal="left" vertical="center" wrapText="1"/>
      <protection hidden="1"/>
    </xf>
    <xf numFmtId="0" fontId="10" fillId="0" borderId="4" xfId="1" applyFont="1" applyBorder="1" applyAlignment="1" applyProtection="1">
      <alignment horizontal="left" vertical="center" wrapText="1"/>
      <protection hidden="1"/>
    </xf>
    <xf numFmtId="0" fontId="10" fillId="0" borderId="1" xfId="1" applyFont="1" applyBorder="1" applyAlignment="1" applyProtection="1">
      <alignment horizontal="left" vertical="center" wrapText="1"/>
      <protection hidden="1"/>
    </xf>
    <xf numFmtId="0" fontId="10" fillId="0" borderId="4" xfId="5" applyFont="1" applyBorder="1" applyAlignment="1" applyProtection="1">
      <alignment horizontal="left" vertical="center" wrapText="1"/>
      <protection hidden="1"/>
    </xf>
    <xf numFmtId="0" fontId="10" fillId="0" borderId="1" xfId="5" applyFont="1" applyBorder="1" applyAlignment="1" applyProtection="1">
      <alignment horizontal="left" vertical="center" wrapText="1"/>
      <protection hidden="1"/>
    </xf>
    <xf numFmtId="0" fontId="3" fillId="7" borderId="2" xfId="1" applyFont="1" applyFill="1" applyBorder="1" applyAlignment="1" applyProtection="1">
      <alignment horizontal="center" vertical="center" wrapText="1"/>
      <protection locked="0"/>
    </xf>
    <xf numFmtId="0" fontId="3" fillId="7" borderId="3" xfId="1" applyFont="1" applyFill="1" applyBorder="1" applyAlignment="1" applyProtection="1">
      <alignment horizontal="center" vertical="center" wrapText="1"/>
      <protection locked="0"/>
    </xf>
    <xf numFmtId="0" fontId="3" fillId="7" borderId="4" xfId="1" applyFont="1" applyFill="1" applyBorder="1" applyAlignment="1" applyProtection="1">
      <alignment horizontal="center" vertical="center" wrapText="1"/>
      <protection locked="0"/>
    </xf>
    <xf numFmtId="0" fontId="10" fillId="0" borderId="5" xfId="3" applyFont="1" applyBorder="1" applyAlignment="1" applyProtection="1">
      <alignment vertical="center" wrapText="1"/>
      <protection locked="0"/>
    </xf>
    <xf numFmtId="0" fontId="10" fillId="0" borderId="10" xfId="3" applyFont="1" applyBorder="1" applyAlignment="1" applyProtection="1">
      <alignment vertical="center" wrapText="1"/>
      <protection locked="0"/>
    </xf>
    <xf numFmtId="0" fontId="10" fillId="0" borderId="15" xfId="3" applyFont="1" applyBorder="1" applyAlignment="1" applyProtection="1">
      <alignment vertical="center" wrapText="1"/>
      <protection locked="0"/>
    </xf>
    <xf numFmtId="0" fontId="2" fillId="0" borderId="5" xfId="3" applyFont="1" applyBorder="1" applyAlignment="1" applyProtection="1">
      <alignment vertical="center" wrapText="1"/>
      <protection locked="0"/>
    </xf>
    <xf numFmtId="0" fontId="2" fillId="0" borderId="10" xfId="3" applyFont="1" applyBorder="1" applyAlignment="1" applyProtection="1">
      <alignment vertical="center" wrapText="1"/>
      <protection locked="0"/>
    </xf>
    <xf numFmtId="0" fontId="2" fillId="0" borderId="15" xfId="3" applyFont="1" applyBorder="1" applyAlignment="1" applyProtection="1">
      <alignment vertical="center" wrapText="1"/>
      <protection locked="0"/>
    </xf>
    <xf numFmtId="0" fontId="2" fillId="0" borderId="13" xfId="3" applyFont="1" applyBorder="1" applyAlignment="1">
      <alignment horizontal="left" vertical="center" wrapText="1"/>
    </xf>
    <xf numFmtId="0" fontId="2" fillId="0" borderId="11" xfId="3" applyFont="1" applyBorder="1" applyAlignment="1">
      <alignment horizontal="left" vertical="center" wrapText="1"/>
    </xf>
    <xf numFmtId="0" fontId="2" fillId="0" borderId="16" xfId="3" applyFont="1" applyBorder="1" applyAlignment="1">
      <alignment horizontal="left" vertical="center" wrapText="1"/>
    </xf>
    <xf numFmtId="0" fontId="2" fillId="14" borderId="5" xfId="3" applyFont="1" applyFill="1" applyBorder="1" applyAlignment="1" applyProtection="1">
      <alignment horizontal="left" vertical="center" wrapText="1"/>
      <protection locked="0"/>
    </xf>
    <xf numFmtId="0" fontId="2" fillId="14" borderId="10" xfId="3" applyFont="1" applyFill="1" applyBorder="1" applyAlignment="1" applyProtection="1">
      <alignment horizontal="left" vertical="center" wrapText="1"/>
      <protection locked="0"/>
    </xf>
    <xf numFmtId="0" fontId="2" fillId="14" borderId="15" xfId="3" applyFont="1" applyFill="1" applyBorder="1" applyAlignment="1" applyProtection="1">
      <alignment horizontal="left" vertical="center" wrapText="1"/>
      <protection locked="0"/>
    </xf>
    <xf numFmtId="0" fontId="25" fillId="0" borderId="29" xfId="1" applyFont="1" applyBorder="1" applyAlignment="1" applyProtection="1">
      <alignment horizontal="center" vertical="center" wrapText="1"/>
      <protection hidden="1"/>
    </xf>
    <xf numFmtId="0" fontId="10" fillId="14" borderId="1" xfId="0" applyFont="1" applyFill="1" applyBorder="1" applyAlignment="1" applyProtection="1">
      <alignment horizontal="left" vertical="center" wrapText="1"/>
      <protection hidden="1"/>
    </xf>
    <xf numFmtId="0" fontId="10" fillId="14" borderId="4" xfId="0" applyFont="1" applyFill="1" applyBorder="1" applyAlignment="1" applyProtection="1">
      <alignment horizontal="left" vertical="center" wrapText="1"/>
      <protection hidden="1"/>
    </xf>
    <xf numFmtId="0" fontId="10" fillId="0" borderId="0" xfId="3" applyFont="1" applyAlignment="1" applyProtection="1">
      <alignment vertical="center" wrapText="1"/>
      <protection locked="0"/>
    </xf>
    <xf numFmtId="0" fontId="24" fillId="0" borderId="15" xfId="3" applyFont="1" applyBorder="1" applyAlignment="1" applyProtection="1">
      <alignment vertical="center" wrapText="1"/>
      <protection locked="0"/>
    </xf>
    <xf numFmtId="0" fontId="24" fillId="0" borderId="1" xfId="3" applyFont="1" applyBorder="1" applyAlignment="1" applyProtection="1">
      <alignment vertical="center" wrapText="1"/>
      <protection locked="0"/>
    </xf>
    <xf numFmtId="0" fontId="24" fillId="0" borderId="2" xfId="3" applyFont="1" applyBorder="1" applyAlignment="1" applyProtection="1">
      <alignment vertical="center" wrapText="1"/>
      <protection locked="0"/>
    </xf>
    <xf numFmtId="0" fontId="2" fillId="0" borderId="1" xfId="0" applyFont="1" applyBorder="1" applyAlignment="1" applyProtection="1">
      <alignment horizontal="center" vertical="center" wrapText="1"/>
      <protection locked="0" hidden="1"/>
    </xf>
    <xf numFmtId="0" fontId="10" fillId="7" borderId="1" xfId="0" applyFont="1" applyFill="1" applyBorder="1" applyAlignment="1" applyProtection="1">
      <alignment horizontal="center" vertical="center" wrapText="1"/>
      <protection hidden="1"/>
    </xf>
    <xf numFmtId="0" fontId="10" fillId="0" borderId="1" xfId="0" applyFont="1" applyBorder="1" applyAlignment="1" applyProtection="1">
      <alignment vertical="center" wrapText="1"/>
      <protection locked="0" hidden="1"/>
    </xf>
    <xf numFmtId="0" fontId="2" fillId="0" borderId="1" xfId="0" applyFont="1" applyBorder="1" applyAlignment="1" applyProtection="1">
      <alignment horizontal="left" vertical="center" wrapText="1"/>
      <protection locked="0" hidden="1"/>
    </xf>
    <xf numFmtId="0" fontId="2" fillId="14" borderId="1" xfId="0" applyFont="1" applyFill="1" applyBorder="1" applyAlignment="1" applyProtection="1">
      <alignment horizontal="center" vertical="center" wrapText="1"/>
      <protection locked="0" hidden="1"/>
    </xf>
    <xf numFmtId="0" fontId="2" fillId="14" borderId="1" xfId="0" applyFont="1" applyFill="1" applyBorder="1" applyAlignment="1" applyProtection="1">
      <alignment horizontal="left" vertical="center" wrapText="1"/>
      <protection locked="0" hidden="1"/>
    </xf>
    <xf numFmtId="0" fontId="25" fillId="0" borderId="0" xfId="1" applyFont="1" applyBorder="1" applyAlignment="1" applyProtection="1">
      <alignment horizontal="center" vertical="center" wrapText="1"/>
      <protection hidden="1"/>
    </xf>
    <xf numFmtId="0" fontId="25" fillId="0" borderId="7" xfId="1" applyFont="1" applyBorder="1" applyAlignment="1" applyProtection="1">
      <alignment horizontal="center" vertical="center" wrapText="1"/>
      <protection hidden="1"/>
    </xf>
    <xf numFmtId="0" fontId="2" fillId="14" borderId="1" xfId="0" applyFont="1" applyFill="1" applyBorder="1" applyAlignment="1">
      <alignment horizontal="center" vertical="center" wrapText="1"/>
    </xf>
    <xf numFmtId="49" fontId="2" fillId="14" borderId="1" xfId="1" applyNumberFormat="1" applyFont="1" applyFill="1" applyBorder="1" applyAlignment="1" applyProtection="1">
      <alignment horizontal="left" vertical="center" wrapText="1"/>
      <protection locked="0"/>
    </xf>
    <xf numFmtId="0" fontId="2" fillId="14" borderId="1" xfId="0" applyFont="1" applyFill="1" applyBorder="1" applyAlignment="1">
      <alignment horizontal="left" vertical="center" wrapText="1"/>
    </xf>
    <xf numFmtId="0" fontId="2" fillId="14" borderId="8" xfId="0" applyFont="1" applyFill="1" applyBorder="1" applyAlignment="1">
      <alignment horizontal="left" vertical="center" wrapText="1"/>
    </xf>
    <xf numFmtId="0" fontId="2" fillId="0" borderId="5" xfId="3" applyFont="1" applyFill="1" applyBorder="1" applyAlignment="1">
      <alignment horizontal="left" vertical="center" wrapText="1"/>
    </xf>
    <xf numFmtId="0" fontId="2" fillId="0" borderId="10" xfId="3" applyFont="1" applyFill="1" applyBorder="1" applyAlignment="1">
      <alignment horizontal="left" vertical="center" wrapText="1"/>
    </xf>
    <xf numFmtId="0" fontId="2" fillId="0" borderId="15" xfId="3" applyFont="1" applyFill="1" applyBorder="1" applyAlignment="1">
      <alignment horizontal="left" vertical="center" wrapText="1"/>
    </xf>
    <xf numFmtId="0" fontId="2" fillId="0" borderId="17" xfId="3" applyFont="1" applyFill="1" applyBorder="1" applyAlignment="1" applyProtection="1">
      <alignment vertical="center" wrapText="1"/>
      <protection locked="0"/>
    </xf>
    <xf numFmtId="0" fontId="2" fillId="0" borderId="18" xfId="3" applyFont="1" applyFill="1" applyBorder="1" applyAlignment="1" applyProtection="1">
      <alignment vertical="center" wrapText="1"/>
      <protection locked="0"/>
    </xf>
    <xf numFmtId="0" fontId="2" fillId="0" borderId="19" xfId="3" applyFont="1" applyFill="1" applyBorder="1" applyAlignment="1" applyProtection="1">
      <alignment vertical="center" wrapText="1"/>
      <protection locked="0"/>
    </xf>
  </cellXfs>
  <cellStyles count="6">
    <cellStyle name="一般" xfId="0" builtinId="0"/>
    <cellStyle name="一般 2" xfId="2" xr:uid="{00000000-0005-0000-0000-000001000000}"/>
    <cellStyle name="一般 3" xfId="3" xr:uid="{00000000-0005-0000-0000-000002000000}"/>
    <cellStyle name="一般 4" xfId="4" xr:uid="{00000000-0005-0000-0000-000003000000}"/>
    <cellStyle name="一般_Asset &amp; RA彙總表_050822" xfId="1" xr:uid="{00000000-0005-0000-0000-000004000000}"/>
    <cellStyle name="一般_資訊資產清單KHL-W-P-003-001-A0-PWC_I-DC-D006 威脅與弱點評估表_v0.23_資料類資產_風險評鑑_Jane" xfId="5" xr:uid="{00000000-0005-0000-0000-000005000000}"/>
  </cellStyles>
  <dxfs count="0"/>
  <tableStyles count="0" defaultTableStyle="TableStyleMedium2" defaultPivotStyle="PivotStyleLight16"/>
  <colors>
    <mruColors>
      <color rgb="FFFF614C"/>
      <color rgb="FF99CCFF"/>
      <color rgb="FFFEC636"/>
      <color rgb="FF6BCBC5"/>
      <color rgb="FF6699CC"/>
      <color rgb="FF003366"/>
      <color rgb="FF85509D"/>
      <color rgb="FFE1D4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xdr:col>
      <xdr:colOff>0</xdr:colOff>
      <xdr:row>0</xdr:row>
      <xdr:rowOff>19049</xdr:rowOff>
    </xdr:from>
    <xdr:to>
      <xdr:col>10</xdr:col>
      <xdr:colOff>9525</xdr:colOff>
      <xdr:row>1</xdr:row>
      <xdr:rowOff>28575</xdr:rowOff>
    </xdr:to>
    <xdr:sp macro="" textlink="">
      <xdr:nvSpPr>
        <xdr:cNvPr id="3" name="Text Box 1">
          <a:extLst>
            <a:ext uri="{FF2B5EF4-FFF2-40B4-BE49-F238E27FC236}">
              <a16:creationId xmlns:a16="http://schemas.microsoft.com/office/drawing/2014/main" id="{00000000-0008-0000-0000-000003000000}"/>
            </a:ext>
          </a:extLst>
        </xdr:cNvPr>
        <xdr:cNvSpPr txBox="1">
          <a:spLocks noChangeArrowheads="1"/>
        </xdr:cNvSpPr>
      </xdr:nvSpPr>
      <xdr:spPr bwMode="auto">
        <a:xfrm>
          <a:off x="685800" y="19049"/>
          <a:ext cx="6572250" cy="219076"/>
        </a:xfrm>
        <a:prstGeom prst="rect">
          <a:avLst/>
        </a:prstGeom>
        <a:solidFill>
          <a:srgbClr val="003366"/>
        </a:solidFill>
        <a:ln>
          <a:noFill/>
        </a:ln>
        <a:effectLst/>
      </xdr:spPr>
      <xdr:txBody>
        <a:bodyPr vertOverflow="clip" wrap="square" lIns="219456" tIns="219456" rIns="219456" bIns="219456" anchor="t" upright="1"/>
        <a:lstStyle/>
        <a:p>
          <a:pPr algn="l" rtl="0">
            <a:lnSpc>
              <a:spcPts val="12100"/>
            </a:lnSpc>
            <a:defRPr sz="1000"/>
          </a:pPr>
          <a:endParaRPr lang="zh-TW" altLang="en-US" sz="9000" b="0" i="0" u="none" strike="noStrike" baseline="0">
            <a:solidFill>
              <a:srgbClr val="FFFFFF"/>
            </a:solidFill>
            <a:latin typeface="Microsoft JhengHei UI"/>
            <a:ea typeface="Microsoft JhengHei UI"/>
          </a:endParaRPr>
        </a:p>
        <a:p>
          <a:pPr algn="l" rtl="0">
            <a:lnSpc>
              <a:spcPts val="12100"/>
            </a:lnSpc>
            <a:defRPr sz="1000"/>
          </a:pPr>
          <a:endParaRPr lang="zh-TW" altLang="en-US" sz="9000" b="0" i="0" u="none" strike="noStrike" baseline="0">
            <a:solidFill>
              <a:srgbClr val="FFFFFF"/>
            </a:solidFill>
            <a:latin typeface="Microsoft JhengHei UI"/>
            <a:ea typeface="Microsoft JhengHei UI"/>
          </a:endParaRPr>
        </a:p>
      </xdr:txBody>
    </xdr:sp>
    <xdr:clientData/>
  </xdr:twoCellAnchor>
  <xdr:twoCellAnchor editAs="oneCell">
    <xdr:from>
      <xdr:col>10</xdr:col>
      <xdr:colOff>0</xdr:colOff>
      <xdr:row>0</xdr:row>
      <xdr:rowOff>0</xdr:rowOff>
    </xdr:from>
    <xdr:to>
      <xdr:col>11</xdr:col>
      <xdr:colOff>107507</xdr:colOff>
      <xdr:row>1</xdr:row>
      <xdr:rowOff>100381</xdr:rowOff>
    </xdr:to>
    <xdr:pic>
      <xdr:nvPicPr>
        <xdr:cNvPr id="5" name="圖片 4">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91216" y="0"/>
          <a:ext cx="721657" cy="2965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495300</xdr:colOff>
          <xdr:row>11</xdr:row>
          <xdr:rowOff>165100</xdr:rowOff>
        </xdr:from>
        <xdr:to>
          <xdr:col>16</xdr:col>
          <xdr:colOff>495300</xdr:colOff>
          <xdr:row>14</xdr:row>
          <xdr:rowOff>76200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新細明體"/>
                  <a:ea typeface="新細明體"/>
                </a:rPr>
                <a:t>完成後請按</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304800</xdr:colOff>
          <xdr:row>0</xdr:row>
          <xdr:rowOff>323850</xdr:rowOff>
        </xdr:from>
        <xdr:to>
          <xdr:col>11</xdr:col>
          <xdr:colOff>469900</xdr:colOff>
          <xdr:row>1</xdr:row>
          <xdr:rowOff>247650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200-000004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新細明體"/>
                  <a:ea typeface="新細明體"/>
                </a:rPr>
                <a:t>CIA關聯校驗</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20</xdr:col>
      <xdr:colOff>688881</xdr:colOff>
      <xdr:row>36</xdr:row>
      <xdr:rowOff>177458</xdr:rowOff>
    </xdr:from>
    <xdr:ext cx="65" cy="172227"/>
    <xdr:sp macro="" textlink="">
      <xdr:nvSpPr>
        <xdr:cNvPr id="2" name="文字方塊 1">
          <a:extLst>
            <a:ext uri="{FF2B5EF4-FFF2-40B4-BE49-F238E27FC236}">
              <a16:creationId xmlns:a16="http://schemas.microsoft.com/office/drawing/2014/main" id="{00000000-0008-0000-0300-000002000000}"/>
            </a:ext>
          </a:extLst>
        </xdr:cNvPr>
        <xdr:cNvSpPr txBox="1"/>
      </xdr:nvSpPr>
      <xdr:spPr>
        <a:xfrm>
          <a:off x="7811835" y="34185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TW" altLang="en-US" sz="1100"/>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20</xdr:col>
      <xdr:colOff>688881</xdr:colOff>
      <xdr:row>36</xdr:row>
      <xdr:rowOff>177458</xdr:rowOff>
    </xdr:from>
    <xdr:ext cx="65" cy="172227"/>
    <xdr:sp macro="" textlink="">
      <xdr:nvSpPr>
        <xdr:cNvPr id="2" name="文字方塊 1">
          <a:extLst>
            <a:ext uri="{FF2B5EF4-FFF2-40B4-BE49-F238E27FC236}">
              <a16:creationId xmlns:a16="http://schemas.microsoft.com/office/drawing/2014/main" id="{00000000-0008-0000-0400-000002000000}"/>
            </a:ext>
          </a:extLst>
        </xdr:cNvPr>
        <xdr:cNvSpPr txBox="1"/>
      </xdr:nvSpPr>
      <xdr:spPr>
        <a:xfrm>
          <a:off x="7710654" y="11832646"/>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TW" altLang="en-US"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24037;&#20316;&#38917;&#30446;\FY105\&#39135;&#21697;&#30740;&#31350;&#25152;\&#39135;&#21697;&#30740;&#31350;&#25152;-&#39080;&#38570;&#35413;&#37969;\&#22521;&#33775;&#31684;&#20363;\20150707\20150707\RA\&#39080;&#38570;&#35413;&#37969;_&#20154;&#21729;&#39006;_2015070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38568;&#36523;&#30879;backup(101.7.26)\&#28450;&#27665;&#31185;&#25216;\RA\&#36575;&#39636;&#39006;&#36039;&#29986;.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資產清單資訊"/>
      <sheetName val="人員資產群組清單"/>
      <sheetName val="人員風險_PE_01"/>
      <sheetName val="人員風險_PE_03"/>
      <sheetName val="人員風險_PE_10"/>
      <sheetName val="人員風險_PE_11"/>
      <sheetName val="人員風險_PE_13"/>
      <sheetName val="人員風險_PE_12"/>
      <sheetName val="人員風險_PE_14"/>
      <sheetName val="人員風險_PE_15"/>
      <sheetName val="人員風險_16"/>
      <sheetName val="人員風險_PE_17"/>
      <sheetName val="人員風險_PE_18"/>
      <sheetName val="人員風險_PE_21"/>
      <sheetName val="人員風險_PE_22"/>
      <sheetName val="人員風險_PE_23"/>
      <sheetName val="人員風險_PE_25"/>
      <sheetName val="人員風險_PE_28"/>
      <sheetName val="人員風險_PE_36"/>
      <sheetName val="Ref"/>
      <sheetName val="工作表1"/>
    </sheetNames>
    <sheetDataSet>
      <sheetData sheetId="0">
        <row r="4">
          <cell r="D4" t="str">
            <v>漢民</v>
          </cell>
        </row>
      </sheetData>
      <sheetData sheetId="1">
        <row r="10">
          <cell r="D10" t="str">
            <v>(01) 管理階層</v>
          </cell>
        </row>
        <row r="11">
          <cell r="D11" t="str">
            <v>(06) Service Desk 人員</v>
          </cell>
        </row>
        <row r="12">
          <cell r="D12" t="str">
            <v>(06) Service Desk 人員</v>
          </cell>
        </row>
        <row r="13">
          <cell r="D13" t="str">
            <v>(06) Service Desk 人員</v>
          </cell>
        </row>
        <row r="14">
          <cell r="D14" t="str">
            <v>(06) Service Desk 人員</v>
          </cell>
        </row>
        <row r="15">
          <cell r="D15" t="str">
            <v>(06) Service Desk 人員</v>
          </cell>
        </row>
        <row r="16">
          <cell r="D16" t="str">
            <v>(06) Service Desk 人員</v>
          </cell>
        </row>
        <row r="17">
          <cell r="D17" t="str">
            <v>(06) Service Desk 人員</v>
          </cell>
        </row>
        <row r="18">
          <cell r="D18" t="str">
            <v>(06) Service Desk 人員</v>
          </cell>
        </row>
        <row r="19">
          <cell r="D19" t="str">
            <v>(05) 專案Leader</v>
          </cell>
        </row>
        <row r="20">
          <cell r="D20" t="str">
            <v>(03) MIS人員</v>
          </cell>
        </row>
        <row r="21">
          <cell r="D21" t="str">
            <v>(03) MIS人員</v>
          </cell>
        </row>
        <row r="22">
          <cell r="D22" t="str">
            <v>(05) 專案Leader</v>
          </cell>
        </row>
        <row r="23">
          <cell r="D23" t="str">
            <v>(03) MIS人員</v>
          </cell>
        </row>
        <row r="24">
          <cell r="D24" t="str">
            <v>(03) MIS人員</v>
          </cell>
        </row>
        <row r="25">
          <cell r="D25" t="str">
            <v>(03) MIS人員</v>
          </cell>
        </row>
        <row r="26">
          <cell r="D26" t="str">
            <v>(06) Service Desk 人員</v>
          </cell>
        </row>
        <row r="27">
          <cell r="D27" t="str">
            <v>(03) MIS人員</v>
          </cell>
        </row>
        <row r="28">
          <cell r="D28" t="str">
            <v>(05) 專案Leader</v>
          </cell>
        </row>
        <row r="29">
          <cell r="D29" t="str">
            <v>(03) MIS人員</v>
          </cell>
        </row>
        <row r="30">
          <cell r="D30" t="str">
            <v>(03) MIS人員</v>
          </cell>
        </row>
        <row r="31">
          <cell r="D31" t="str">
            <v>(03) MIS人員</v>
          </cell>
        </row>
        <row r="32">
          <cell r="D32" t="str">
            <v>(03) MIS人員</v>
          </cell>
        </row>
        <row r="33">
          <cell r="D33" t="str">
            <v>(03) MIS人員</v>
          </cell>
        </row>
        <row r="34">
          <cell r="D34" t="str">
            <v>(09) 合作夥伴(供應鏈上下游)</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3">
          <cell r="C3" t="str">
            <v>(01) 管理階層</v>
          </cell>
          <cell r="D3">
            <v>1</v>
          </cell>
          <cell r="M3">
            <v>1</v>
          </cell>
          <cell r="P3">
            <v>1</v>
          </cell>
          <cell r="S3">
            <v>1</v>
          </cell>
          <cell r="V3">
            <v>1</v>
          </cell>
          <cell r="Y3">
            <v>1</v>
          </cell>
          <cell r="AB3">
            <v>1</v>
          </cell>
          <cell r="AE3" t="str">
            <v>Y</v>
          </cell>
        </row>
        <row r="4">
          <cell r="C4" t="str">
            <v>(02) 研發人員</v>
          </cell>
          <cell r="D4">
            <v>0</v>
          </cell>
          <cell r="M4">
            <v>2</v>
          </cell>
          <cell r="P4">
            <v>2</v>
          </cell>
          <cell r="S4">
            <v>2</v>
          </cell>
          <cell r="V4">
            <v>2</v>
          </cell>
          <cell r="Y4">
            <v>2</v>
          </cell>
          <cell r="AB4">
            <v>2</v>
          </cell>
          <cell r="AE4" t="str">
            <v>N</v>
          </cell>
        </row>
        <row r="5">
          <cell r="C5" t="str">
            <v>(03) MIS人員</v>
          </cell>
          <cell r="D5">
            <v>11</v>
          </cell>
          <cell r="M5">
            <v>3</v>
          </cell>
          <cell r="P5">
            <v>3</v>
          </cell>
          <cell r="S5">
            <v>3</v>
          </cell>
          <cell r="V5">
            <v>3</v>
          </cell>
          <cell r="Y5">
            <v>3</v>
          </cell>
          <cell r="AB5">
            <v>3</v>
          </cell>
        </row>
        <row r="6">
          <cell r="C6" t="str">
            <v>(04) 工讀生</v>
          </cell>
          <cell r="D6">
            <v>0</v>
          </cell>
          <cell r="M6">
            <v>4</v>
          </cell>
          <cell r="P6">
            <v>4</v>
          </cell>
          <cell r="S6">
            <v>4</v>
          </cell>
          <cell r="V6">
            <v>4</v>
          </cell>
          <cell r="Y6">
            <v>4</v>
          </cell>
          <cell r="AB6">
            <v>4</v>
          </cell>
        </row>
        <row r="7">
          <cell r="C7" t="str">
            <v>(05) 專案Leader</v>
          </cell>
          <cell r="D7">
            <v>0</v>
          </cell>
        </row>
        <row r="8">
          <cell r="C8" t="str">
            <v>(06) Service Desk 人員</v>
          </cell>
          <cell r="D8">
            <v>1</v>
          </cell>
        </row>
        <row r="9">
          <cell r="C9" t="str">
            <v>(07) 駐點人員</v>
          </cell>
          <cell r="D9">
            <v>0</v>
          </cell>
        </row>
        <row r="10">
          <cell r="C10" t="str">
            <v>(08) 清潔人員</v>
          </cell>
          <cell r="D10">
            <v>0</v>
          </cell>
        </row>
        <row r="11">
          <cell r="C11" t="str">
            <v>(09) 合作夥伴(供應鏈上下游)</v>
          </cell>
          <cell r="D11">
            <v>0</v>
          </cell>
        </row>
        <row r="12">
          <cell r="C12" t="str">
            <v>(05) 聘僱人員</v>
          </cell>
          <cell r="D12">
            <v>0</v>
          </cell>
        </row>
      </sheetData>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資產清單資訊"/>
      <sheetName val="軟體資產群組清單"/>
      <sheetName val="軟體風險_SW_01"/>
      <sheetName val="軟體風險_SW_02"/>
      <sheetName val="Ref"/>
    </sheetNames>
    <sheetDataSet>
      <sheetData sheetId="0"/>
      <sheetData sheetId="1">
        <row r="11">
          <cell r="A11" t="str">
            <v>SW-01</v>
          </cell>
          <cell r="B11" t="str">
            <v>05</v>
          </cell>
          <cell r="C11" t="str">
            <v>01</v>
          </cell>
          <cell r="D11" t="str">
            <v>(05) 套裝軟體</v>
          </cell>
          <cell r="E11" t="str">
            <v>oracle</v>
          </cell>
          <cell r="J11">
            <v>4</v>
          </cell>
          <cell r="L11">
            <v>1</v>
          </cell>
          <cell r="N11">
            <v>2</v>
          </cell>
          <cell r="P11">
            <v>3</v>
          </cell>
          <cell r="R11">
            <v>4</v>
          </cell>
        </row>
        <row r="12">
          <cell r="A12" t="str">
            <v>SW-02</v>
          </cell>
          <cell r="B12" t="str">
            <v>03</v>
          </cell>
          <cell r="C12" t="str">
            <v>02</v>
          </cell>
          <cell r="D12" t="str">
            <v>(03) 資料庫</v>
          </cell>
          <cell r="E12" t="str">
            <v>人員資料庫</v>
          </cell>
          <cell r="G12" t="str">
            <v>機房</v>
          </cell>
          <cell r="J12">
            <v>4</v>
          </cell>
          <cell r="L12">
            <v>4</v>
          </cell>
          <cell r="N12">
            <v>4</v>
          </cell>
          <cell r="P12">
            <v>4</v>
          </cell>
          <cell r="R12">
            <v>4</v>
          </cell>
        </row>
        <row r="13">
          <cell r="A13" t="str">
            <v>SW-03</v>
          </cell>
          <cell r="B13" t="str">
            <v>01</v>
          </cell>
          <cell r="C13" t="str">
            <v>03</v>
          </cell>
          <cell r="D13" t="str">
            <v>(01) 應用系統</v>
          </cell>
          <cell r="E13" t="str">
            <v>官網</v>
          </cell>
          <cell r="F13" t="str">
            <v>自行開發</v>
          </cell>
          <cell r="G13" t="str">
            <v>機房</v>
          </cell>
          <cell r="R13">
            <v>0</v>
          </cell>
        </row>
        <row r="14">
          <cell r="A14" t="str">
            <v>SW-04</v>
          </cell>
          <cell r="B14" t="str">
            <v>01</v>
          </cell>
          <cell r="C14" t="str">
            <v>04</v>
          </cell>
          <cell r="D14" t="str">
            <v>(01) 應用系統</v>
          </cell>
          <cell r="E14" t="str">
            <v>人事系統</v>
          </cell>
          <cell r="F14" t="str">
            <v>委外開發</v>
          </cell>
          <cell r="G14" t="str">
            <v>機房</v>
          </cell>
          <cell r="R14">
            <v>0</v>
          </cell>
        </row>
        <row r="15">
          <cell r="A15" t="str">
            <v>未輸入</v>
          </cell>
          <cell r="B15" t="str">
            <v/>
          </cell>
          <cell r="R15">
            <v>0</v>
          </cell>
        </row>
        <row r="16">
          <cell r="A16" t="str">
            <v>未輸入</v>
          </cell>
          <cell r="B16" t="str">
            <v/>
          </cell>
          <cell r="R16">
            <v>0</v>
          </cell>
        </row>
        <row r="17">
          <cell r="A17" t="str">
            <v>未輸入</v>
          </cell>
          <cell r="B17" t="str">
            <v/>
          </cell>
          <cell r="R17">
            <v>0</v>
          </cell>
        </row>
        <row r="18">
          <cell r="A18" t="str">
            <v>未輸入</v>
          </cell>
          <cell r="B18" t="str">
            <v/>
          </cell>
          <cell r="R18">
            <v>0</v>
          </cell>
        </row>
        <row r="19">
          <cell r="A19" t="str">
            <v>未輸入</v>
          </cell>
          <cell r="B19" t="str">
            <v/>
          </cell>
          <cell r="R19">
            <v>0</v>
          </cell>
        </row>
        <row r="20">
          <cell r="A20" t="str">
            <v>未輸入</v>
          </cell>
          <cell r="B20" t="str">
            <v/>
          </cell>
          <cell r="R20">
            <v>0</v>
          </cell>
        </row>
        <row r="21">
          <cell r="A21" t="str">
            <v>未輸入</v>
          </cell>
          <cell r="B21" t="str">
            <v/>
          </cell>
          <cell r="R21">
            <v>0</v>
          </cell>
        </row>
        <row r="22">
          <cell r="A22" t="str">
            <v>未輸入</v>
          </cell>
          <cell r="B22" t="str">
            <v/>
          </cell>
          <cell r="R22">
            <v>0</v>
          </cell>
        </row>
        <row r="23">
          <cell r="A23" t="str">
            <v>未輸入</v>
          </cell>
          <cell r="B23" t="str">
            <v/>
          </cell>
          <cell r="R23">
            <v>0</v>
          </cell>
        </row>
        <row r="24">
          <cell r="A24" t="str">
            <v>未輸入</v>
          </cell>
          <cell r="B24" t="str">
            <v/>
          </cell>
          <cell r="R24">
            <v>0</v>
          </cell>
        </row>
        <row r="25">
          <cell r="A25" t="str">
            <v>未輸入</v>
          </cell>
          <cell r="B25" t="str">
            <v/>
          </cell>
          <cell r="R25">
            <v>0</v>
          </cell>
        </row>
        <row r="26">
          <cell r="A26" t="str">
            <v>未輸入</v>
          </cell>
          <cell r="R26">
            <v>0</v>
          </cell>
        </row>
        <row r="27">
          <cell r="A27" t="str">
            <v>未輸入</v>
          </cell>
          <cell r="R27">
            <v>0</v>
          </cell>
        </row>
        <row r="28">
          <cell r="A28" t="str">
            <v>未輸入</v>
          </cell>
          <cell r="R28">
            <v>0</v>
          </cell>
        </row>
        <row r="29">
          <cell r="A29" t="str">
            <v>未輸入</v>
          </cell>
          <cell r="R29">
            <v>0</v>
          </cell>
        </row>
        <row r="30">
          <cell r="A30" t="str">
            <v>未輸入</v>
          </cell>
          <cell r="R30">
            <v>0</v>
          </cell>
        </row>
        <row r="31">
          <cell r="A31" t="str">
            <v>未輸入</v>
          </cell>
          <cell r="R31">
            <v>0</v>
          </cell>
        </row>
        <row r="32">
          <cell r="A32" t="str">
            <v>未輸入</v>
          </cell>
          <cell r="R32">
            <v>0</v>
          </cell>
        </row>
        <row r="33">
          <cell r="A33" t="str">
            <v>未輸入</v>
          </cell>
          <cell r="R33">
            <v>0</v>
          </cell>
        </row>
        <row r="34">
          <cell r="A34" t="str">
            <v>未輸入</v>
          </cell>
          <cell r="R34">
            <v>0</v>
          </cell>
        </row>
        <row r="35">
          <cell r="A35" t="str">
            <v>未輸入</v>
          </cell>
          <cell r="R35">
            <v>0</v>
          </cell>
        </row>
        <row r="36">
          <cell r="A36" t="str">
            <v>未輸入</v>
          </cell>
          <cell r="R36">
            <v>0</v>
          </cell>
        </row>
        <row r="37">
          <cell r="A37" t="str">
            <v>未輸入</v>
          </cell>
          <cell r="R37">
            <v>0</v>
          </cell>
        </row>
        <row r="38">
          <cell r="A38" t="str">
            <v>未輸入</v>
          </cell>
          <cell r="R38">
            <v>0</v>
          </cell>
        </row>
        <row r="39">
          <cell r="A39" t="str">
            <v>未輸入</v>
          </cell>
          <cell r="R39">
            <v>0</v>
          </cell>
        </row>
        <row r="40">
          <cell r="A40" t="str">
            <v>未輸入</v>
          </cell>
          <cell r="R40">
            <v>0</v>
          </cell>
        </row>
        <row r="41">
          <cell r="A41" t="str">
            <v>未輸入</v>
          </cell>
          <cell r="R41">
            <v>0</v>
          </cell>
        </row>
        <row r="42">
          <cell r="A42" t="str">
            <v>未輸入</v>
          </cell>
          <cell r="R42">
            <v>0</v>
          </cell>
        </row>
        <row r="43">
          <cell r="A43" t="str">
            <v>未輸入</v>
          </cell>
          <cell r="R43">
            <v>0</v>
          </cell>
        </row>
        <row r="44">
          <cell r="A44" t="str">
            <v>未輸入</v>
          </cell>
          <cell r="R44">
            <v>0</v>
          </cell>
        </row>
        <row r="45">
          <cell r="A45" t="str">
            <v>未輸入</v>
          </cell>
          <cell r="R45">
            <v>0</v>
          </cell>
        </row>
        <row r="46">
          <cell r="A46" t="str">
            <v>未輸入</v>
          </cell>
          <cell r="R46">
            <v>0</v>
          </cell>
        </row>
        <row r="47">
          <cell r="A47" t="str">
            <v>未輸入</v>
          </cell>
          <cell r="R47">
            <v>0</v>
          </cell>
        </row>
        <row r="48">
          <cell r="A48" t="str">
            <v>未輸入</v>
          </cell>
          <cell r="R48">
            <v>0</v>
          </cell>
        </row>
        <row r="49">
          <cell r="A49" t="str">
            <v>未輸入</v>
          </cell>
          <cell r="R49">
            <v>0</v>
          </cell>
        </row>
        <row r="50">
          <cell r="A50" t="str">
            <v>未輸入</v>
          </cell>
          <cell r="R50">
            <v>0</v>
          </cell>
        </row>
      </sheetData>
      <sheetData sheetId="2"/>
      <sheetData sheetId="3"/>
      <sheetData sheetId="4">
        <row r="3">
          <cell r="C3" t="str">
            <v>(01) 應用系統</v>
          </cell>
        </row>
      </sheetData>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4"/>
  </sheetPr>
  <dimension ref="B3:J15"/>
  <sheetViews>
    <sheetView topLeftCell="A7" zoomScale="78" zoomScaleNormal="78" workbookViewId="0">
      <selection activeCell="M13" sqref="M13"/>
    </sheetView>
  </sheetViews>
  <sheetFormatPr defaultColWidth="9" defaultRowHeight="15.5"/>
  <cols>
    <col min="1" max="1" width="9" style="5"/>
    <col min="2" max="2" width="14.08984375" style="5" customWidth="1"/>
    <col min="3" max="16384" width="9" style="5"/>
  </cols>
  <sheetData>
    <row r="3" spans="2:10" ht="63.5" customHeight="1">
      <c r="B3" s="83" t="s">
        <v>166</v>
      </c>
      <c r="C3" s="83"/>
      <c r="D3" s="83"/>
      <c r="E3" s="83"/>
      <c r="F3" s="83"/>
      <c r="G3" s="83"/>
      <c r="H3" s="83"/>
      <c r="I3" s="83"/>
      <c r="J3" s="83"/>
    </row>
    <row r="4" spans="2:10" ht="78.75" customHeight="1">
      <c r="B4" s="84" t="s">
        <v>32</v>
      </c>
      <c r="C4" s="85"/>
      <c r="D4" s="85"/>
      <c r="E4" s="85"/>
      <c r="F4" s="85"/>
      <c r="G4" s="85"/>
      <c r="H4" s="85"/>
      <c r="I4" s="85"/>
      <c r="J4" s="85"/>
    </row>
    <row r="5" spans="2:10" ht="78.75" customHeight="1">
      <c r="B5" s="86" t="s">
        <v>30</v>
      </c>
      <c r="C5" s="86"/>
      <c r="D5" s="86"/>
      <c r="E5" s="86"/>
      <c r="F5" s="86"/>
      <c r="G5" s="86"/>
      <c r="H5" s="86"/>
      <c r="I5" s="86"/>
      <c r="J5" s="86"/>
    </row>
    <row r="7" spans="2:10" ht="98.5" customHeight="1">
      <c r="B7" s="100" t="s">
        <v>76</v>
      </c>
      <c r="C7" s="100"/>
      <c r="D7" s="100"/>
      <c r="E7" s="100"/>
      <c r="F7" s="100"/>
      <c r="G7" s="100"/>
      <c r="H7" s="100"/>
      <c r="I7" s="100"/>
      <c r="J7" s="100"/>
    </row>
    <row r="9" spans="2:10" ht="16" hidden="1">
      <c r="B9" s="1" t="s">
        <v>43</v>
      </c>
      <c r="C9" s="87"/>
      <c r="D9" s="88"/>
      <c r="E9" s="88"/>
      <c r="F9" s="88"/>
      <c r="G9" s="88"/>
      <c r="H9" s="88"/>
      <c r="I9" s="88"/>
      <c r="J9" s="89"/>
    </row>
    <row r="10" spans="2:10" ht="16">
      <c r="B10" s="1" t="s">
        <v>44</v>
      </c>
      <c r="C10" s="90" t="s">
        <v>182</v>
      </c>
      <c r="D10" s="91"/>
      <c r="E10" s="91"/>
      <c r="F10" s="91"/>
      <c r="G10" s="91"/>
      <c r="H10" s="91"/>
      <c r="I10" s="91"/>
      <c r="J10" s="92"/>
    </row>
    <row r="11" spans="2:10" ht="16">
      <c r="B11" s="1" t="s">
        <v>45</v>
      </c>
      <c r="C11" s="94" t="s">
        <v>214</v>
      </c>
      <c r="D11" s="95"/>
      <c r="E11" s="95"/>
      <c r="F11" s="95"/>
      <c r="G11" s="95"/>
      <c r="H11" s="95"/>
      <c r="I11" s="95"/>
      <c r="J11" s="96"/>
    </row>
    <row r="12" spans="2:10" ht="16">
      <c r="B12" s="1" t="s">
        <v>0</v>
      </c>
      <c r="C12" s="97">
        <v>1</v>
      </c>
      <c r="D12" s="98"/>
      <c r="E12" s="98"/>
      <c r="F12" s="98"/>
      <c r="G12" s="98"/>
      <c r="H12" s="98"/>
      <c r="I12" s="98"/>
      <c r="J12" s="99"/>
    </row>
    <row r="13" spans="2:10" ht="16">
      <c r="B13" s="1" t="s">
        <v>1</v>
      </c>
      <c r="C13" s="87" t="s">
        <v>33</v>
      </c>
      <c r="D13" s="88"/>
      <c r="E13" s="88"/>
      <c r="F13" s="88"/>
      <c r="G13" s="88"/>
      <c r="H13" s="88"/>
      <c r="I13" s="88"/>
      <c r="J13" s="89"/>
    </row>
    <row r="15" spans="2:10">
      <c r="B15" s="93" t="s">
        <v>181</v>
      </c>
      <c r="C15" s="93"/>
      <c r="D15" s="93"/>
      <c r="E15" s="93"/>
      <c r="F15" s="93"/>
      <c r="G15" s="93"/>
      <c r="H15" s="93"/>
      <c r="I15" s="93"/>
      <c r="J15" s="93"/>
    </row>
  </sheetData>
  <mergeCells count="10">
    <mergeCell ref="B15:J15"/>
    <mergeCell ref="C11:J11"/>
    <mergeCell ref="C12:J12"/>
    <mergeCell ref="C13:J13"/>
    <mergeCell ref="B7:J7"/>
    <mergeCell ref="B3:J3"/>
    <mergeCell ref="B4:J4"/>
    <mergeCell ref="B5:J5"/>
    <mergeCell ref="C9:J9"/>
    <mergeCell ref="C10:J10"/>
  </mergeCells>
  <phoneticPr fontId="1" type="noConversion"/>
  <dataValidations count="1">
    <dataValidation type="list" allowBlank="1" showInputMessage="1" showErrorMessage="1" sqref="C13:J13" xr:uid="{00000000-0002-0000-0000-000000000000}">
      <formula1>"一般,限閱級,密級,機密級"</formula1>
    </dataValidation>
  </dataValidations>
  <pageMargins left="1.9685039370078741" right="0.70866141732283472" top="0.74803149606299213" bottom="0.74803149606299213" header="0.31496062992125984" footer="0.31496062992125984"/>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theme="9" tint="-0.249977111117893"/>
    <pageSetUpPr fitToPage="1"/>
  </sheetPr>
  <dimension ref="A1:Q11"/>
  <sheetViews>
    <sheetView zoomScaleNormal="100" workbookViewId="0">
      <pane xSplit="2" ySplit="9" topLeftCell="D10" activePane="bottomRight" state="frozen"/>
      <selection pane="topRight" activeCell="C1" sqref="C1"/>
      <selection pane="bottomLeft" activeCell="A10" sqref="A10"/>
      <selection pane="bottomRight" activeCell="O10" sqref="O10"/>
    </sheetView>
  </sheetViews>
  <sheetFormatPr defaultColWidth="9" defaultRowHeight="15.5"/>
  <cols>
    <col min="1" max="1" width="12.90625" style="26" customWidth="1"/>
    <col min="2" max="2" width="17.08984375" style="24" hidden="1" customWidth="1"/>
    <col min="3" max="3" width="16.7265625" style="24" customWidth="1"/>
    <col min="4" max="4" width="18.90625" style="24" customWidth="1"/>
    <col min="5" max="5" width="16.7265625" style="24" customWidth="1"/>
    <col min="6" max="6" width="6.08984375" style="24" customWidth="1"/>
    <col min="7" max="7" width="8.90625" style="16" customWidth="1"/>
    <col min="8" max="8" width="6.08984375" style="24" customWidth="1"/>
    <col min="9" max="9" width="13.36328125" style="24" customWidth="1"/>
    <col min="10" max="10" width="6.08984375" style="24" customWidth="1"/>
    <col min="11" max="11" width="13.36328125" style="24" customWidth="1"/>
    <col min="12" max="12" width="6.08984375" style="24" customWidth="1"/>
    <col min="13" max="13" width="13.36328125" style="24" customWidth="1"/>
    <col min="14" max="14" width="6.08984375" style="24" customWidth="1"/>
    <col min="15" max="15" width="13.36328125" style="24" customWidth="1"/>
    <col min="16" max="16" width="6.08984375" style="24" customWidth="1"/>
    <col min="17" max="17" width="8.90625" style="16" customWidth="1"/>
    <col min="18" max="16384" width="9" style="24"/>
  </cols>
  <sheetData>
    <row r="1" spans="1:17" s="21" customFormat="1">
      <c r="A1" s="101" t="str">
        <f>資訊清單資訊!B3</f>
        <v>石油與天然氣輸儲查核與檢測雲端平台</v>
      </c>
      <c r="B1" s="101"/>
      <c r="C1" s="101"/>
      <c r="D1" s="101"/>
      <c r="E1" s="101"/>
      <c r="F1" s="101"/>
      <c r="G1" s="101"/>
      <c r="H1" s="101"/>
      <c r="I1" s="101"/>
      <c r="J1" s="101"/>
      <c r="K1" s="101"/>
      <c r="L1" s="101"/>
      <c r="M1" s="101"/>
      <c r="N1" s="101"/>
      <c r="O1" s="101"/>
      <c r="P1" s="101"/>
      <c r="Q1" s="101"/>
    </row>
    <row r="2" spans="1:17" s="21" customFormat="1">
      <c r="A2" s="101" t="str">
        <f>資訊清單資訊!B7 &amp;"資訊資產清冊"</f>
        <v>軟體類(SW)資訊資產清冊</v>
      </c>
      <c r="B2" s="101"/>
      <c r="C2" s="101"/>
      <c r="D2" s="101"/>
      <c r="E2" s="101"/>
      <c r="F2" s="101"/>
      <c r="G2" s="101"/>
      <c r="H2" s="101"/>
      <c r="I2" s="101"/>
      <c r="J2" s="101"/>
      <c r="K2" s="101"/>
      <c r="L2" s="101"/>
      <c r="M2" s="101"/>
      <c r="N2" s="101"/>
      <c r="O2" s="101"/>
      <c r="P2" s="101"/>
      <c r="Q2" s="101"/>
    </row>
    <row r="3" spans="1:17" s="4" customFormat="1" hidden="1">
      <c r="A3" s="102" t="str">
        <f>資訊清單資訊!B9&amp; " : " &amp;資訊清單資訊!C9</f>
        <v xml:space="preserve">計畫代號 : </v>
      </c>
      <c r="B3" s="102"/>
      <c r="C3" s="102"/>
      <c r="D3" s="102"/>
      <c r="E3" s="102"/>
      <c r="F3" s="102"/>
      <c r="G3" s="102"/>
      <c r="H3" s="102"/>
      <c r="I3" s="102"/>
      <c r="J3" s="102"/>
      <c r="K3" s="102"/>
      <c r="L3" s="102"/>
      <c r="M3" s="102"/>
      <c r="N3" s="102"/>
      <c r="O3" s="102"/>
      <c r="P3" s="102"/>
      <c r="Q3" s="102"/>
    </row>
    <row r="4" spans="1:17" s="22" customFormat="1">
      <c r="A4" s="102" t="str">
        <f>資訊清單資訊!B10&amp; " : " &amp;資訊清單資訊!C10</f>
        <v>編號 : 材1-1</v>
      </c>
      <c r="B4" s="102"/>
      <c r="C4" s="102"/>
      <c r="D4" s="102"/>
      <c r="E4" s="102"/>
      <c r="F4" s="102"/>
      <c r="G4" s="102"/>
      <c r="H4" s="102"/>
      <c r="I4" s="102"/>
      <c r="J4" s="102"/>
      <c r="K4" s="102"/>
      <c r="L4" s="102"/>
      <c r="M4" s="102"/>
      <c r="N4" s="102"/>
      <c r="O4" s="102"/>
      <c r="P4" s="102"/>
      <c r="Q4" s="102"/>
    </row>
    <row r="5" spans="1:17" s="22" customFormat="1">
      <c r="A5" s="102" t="str">
        <f>資訊清單資訊!B11&amp; " : " &amp;資訊清單資訊!C11</f>
        <v>日期 : 113/3/19</v>
      </c>
      <c r="B5" s="102"/>
      <c r="C5" s="102"/>
      <c r="D5" s="102"/>
      <c r="E5" s="102"/>
      <c r="F5" s="102"/>
      <c r="G5" s="102"/>
      <c r="H5" s="102"/>
      <c r="I5" s="102"/>
      <c r="J5" s="102"/>
      <c r="K5" s="102"/>
      <c r="L5" s="102"/>
      <c r="M5" s="102"/>
      <c r="N5" s="102"/>
      <c r="O5" s="102"/>
      <c r="P5" s="102"/>
      <c r="Q5" s="102"/>
    </row>
    <row r="6" spans="1:17" s="22" customFormat="1">
      <c r="A6" s="102" t="str">
        <f>資訊清單資訊!B12&amp; " : " &amp;資訊清單資訊!C12</f>
        <v>版本 : 1</v>
      </c>
      <c r="B6" s="102"/>
      <c r="C6" s="102"/>
      <c r="D6" s="102"/>
      <c r="E6" s="102"/>
      <c r="F6" s="102"/>
      <c r="G6" s="102"/>
      <c r="H6" s="102"/>
      <c r="I6" s="102"/>
      <c r="J6" s="102"/>
      <c r="K6" s="102"/>
      <c r="L6" s="102"/>
      <c r="M6" s="102"/>
      <c r="N6" s="102"/>
      <c r="O6" s="102"/>
      <c r="P6" s="102"/>
      <c r="Q6" s="102"/>
    </row>
    <row r="7" spans="1:17" s="22" customFormat="1">
      <c r="A7" s="103" t="str">
        <f>資訊清單資訊!B13&amp; " : " &amp;資訊清單資訊!C13</f>
        <v>機密等級 : 限閱級</v>
      </c>
      <c r="B7" s="102"/>
      <c r="C7" s="102"/>
      <c r="D7" s="102"/>
      <c r="E7" s="102"/>
      <c r="F7" s="102"/>
      <c r="G7" s="102"/>
      <c r="H7" s="102"/>
      <c r="I7" s="102"/>
      <c r="J7" s="102"/>
      <c r="K7" s="102"/>
      <c r="L7" s="102"/>
      <c r="M7" s="102"/>
      <c r="N7" s="102"/>
      <c r="O7" s="102"/>
      <c r="P7" s="102"/>
      <c r="Q7" s="102"/>
    </row>
    <row r="8" spans="1:17" s="13" customFormat="1">
      <c r="A8" s="29"/>
      <c r="B8" s="104" t="s">
        <v>55</v>
      </c>
      <c r="C8" s="104"/>
      <c r="D8" s="104"/>
      <c r="E8" s="104"/>
      <c r="F8" s="104"/>
      <c r="G8" s="105"/>
      <c r="H8" s="106" t="s">
        <v>70</v>
      </c>
      <c r="I8" s="107"/>
      <c r="J8" s="107"/>
      <c r="K8" s="107"/>
      <c r="L8" s="107"/>
      <c r="M8" s="107"/>
      <c r="N8" s="107"/>
      <c r="O8" s="107"/>
      <c r="P8" s="107"/>
      <c r="Q8" s="108"/>
    </row>
    <row r="9" spans="1:17" s="16" customFormat="1" ht="31">
      <c r="A9" s="30" t="s">
        <v>71</v>
      </c>
      <c r="B9" s="27" t="s">
        <v>2</v>
      </c>
      <c r="C9" s="14" t="s">
        <v>56</v>
      </c>
      <c r="D9" s="14" t="s">
        <v>57</v>
      </c>
      <c r="E9" s="14" t="s">
        <v>58</v>
      </c>
      <c r="F9" s="14" t="s">
        <v>59</v>
      </c>
      <c r="G9" s="14" t="s">
        <v>60</v>
      </c>
      <c r="H9" s="12" t="s">
        <v>61</v>
      </c>
      <c r="I9" s="12" t="s">
        <v>62</v>
      </c>
      <c r="J9" s="12" t="s">
        <v>63</v>
      </c>
      <c r="K9" s="12" t="s">
        <v>64</v>
      </c>
      <c r="L9" s="12" t="s">
        <v>65</v>
      </c>
      <c r="M9" s="12" t="s">
        <v>62</v>
      </c>
      <c r="N9" s="12" t="s">
        <v>66</v>
      </c>
      <c r="O9" s="12" t="s">
        <v>67</v>
      </c>
      <c r="P9" s="12" t="s">
        <v>68</v>
      </c>
      <c r="Q9" s="15" t="s">
        <v>69</v>
      </c>
    </row>
    <row r="10" spans="1:17" s="75" customFormat="1" ht="46.5">
      <c r="A10" s="28" t="s">
        <v>179</v>
      </c>
      <c r="B10" s="74"/>
      <c r="C10" s="74" t="s">
        <v>172</v>
      </c>
      <c r="D10" s="74" t="s">
        <v>204</v>
      </c>
      <c r="E10" s="180" t="s">
        <v>167</v>
      </c>
      <c r="F10" s="77">
        <v>1</v>
      </c>
      <c r="G10" s="179" t="s">
        <v>215</v>
      </c>
      <c r="H10" s="79">
        <v>3</v>
      </c>
      <c r="I10" s="80" t="s">
        <v>168</v>
      </c>
      <c r="J10" s="79">
        <v>3</v>
      </c>
      <c r="K10" s="80" t="s">
        <v>169</v>
      </c>
      <c r="L10" s="79">
        <v>2</v>
      </c>
      <c r="M10" s="181" t="s">
        <v>187</v>
      </c>
      <c r="N10" s="79">
        <v>3</v>
      </c>
      <c r="O10" s="76" t="s">
        <v>170</v>
      </c>
      <c r="P10" s="79">
        <f t="shared" ref="P10:P11" si="0">MAX(H10,J10,L10,N10)</f>
        <v>3</v>
      </c>
      <c r="Q10" s="78" t="s">
        <v>171</v>
      </c>
    </row>
    <row r="11" spans="1:17" s="75" customFormat="1" ht="46.5">
      <c r="A11" s="28" t="s">
        <v>180</v>
      </c>
      <c r="B11" s="76"/>
      <c r="C11" s="74" t="s">
        <v>174</v>
      </c>
      <c r="D11" s="74" t="s">
        <v>173</v>
      </c>
      <c r="E11" s="180" t="s">
        <v>167</v>
      </c>
      <c r="F11" s="77">
        <v>1</v>
      </c>
      <c r="G11" s="179" t="s">
        <v>215</v>
      </c>
      <c r="H11" s="79">
        <v>3</v>
      </c>
      <c r="I11" s="80" t="s">
        <v>168</v>
      </c>
      <c r="J11" s="77">
        <v>3</v>
      </c>
      <c r="K11" s="80" t="s">
        <v>169</v>
      </c>
      <c r="L11" s="77">
        <v>2</v>
      </c>
      <c r="M11" s="181" t="s">
        <v>187</v>
      </c>
      <c r="N11" s="77">
        <v>3</v>
      </c>
      <c r="O11" s="76" t="s">
        <v>170</v>
      </c>
      <c r="P11" s="79">
        <f t="shared" si="0"/>
        <v>3</v>
      </c>
      <c r="Q11" s="78" t="s">
        <v>171</v>
      </c>
    </row>
  </sheetData>
  <sheetProtection formatCells="0" formatColumns="0" formatRows="0" insertColumns="0" insertRows="0" insertHyperlinks="0" deleteColumns="0" deleteRows="0" sort="0" autoFilter="0" pivotTables="0"/>
  <autoFilter ref="A9:Q9" xr:uid="{00000000-0009-0000-0000-000001000000}"/>
  <mergeCells count="9">
    <mergeCell ref="A1:Q1"/>
    <mergeCell ref="A2:Q2"/>
    <mergeCell ref="A3:Q3"/>
    <mergeCell ref="A7:Q7"/>
    <mergeCell ref="B8:G8"/>
    <mergeCell ref="H8:Q8"/>
    <mergeCell ref="A4:Q4"/>
    <mergeCell ref="A5:Q5"/>
    <mergeCell ref="A6:Q6"/>
  </mergeCells>
  <phoneticPr fontId="1" type="noConversion"/>
  <dataValidations count="3">
    <dataValidation type="list" allowBlank="1" showInputMessage="1" showErrorMessage="1" sqref="N10:N11 L10:L419 H10:H419 J10:J419" xr:uid="{00000000-0002-0000-0100-000000000000}">
      <formula1>"1,2,3,4"</formula1>
    </dataValidation>
    <dataValidation type="list" allowBlank="1" showInputMessage="1" showErrorMessage="1" sqref="N1:N8 N12:N1048576" xr:uid="{00000000-0002-0000-0100-000001000000}">
      <formula1>"2,3,4,NA"</formula1>
    </dataValidation>
    <dataValidation type="list" allowBlank="1" showInputMessage="1" showErrorMessage="1" sqref="B10:B419" xr:uid="{00000000-0002-0000-0100-000002000000}">
      <formula1>PE_SUBLIST</formula1>
    </dataValidation>
  </dataValidations>
  <pageMargins left="0" right="0" top="0.39370078740157483" bottom="0.59055118110236227" header="0.31496062992125984" footer="0.19685039370078741"/>
  <pageSetup paperSize="9" scale="83" fitToHeight="0" orientation="landscape" r:id="rId1"/>
  <headerFooter>
    <oddFooter>第 &amp;P 頁，共 &amp;N 頁</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產生清單">
                <anchor moveWithCells="1" sizeWithCells="1">
                  <from>
                    <xdr:col>14</xdr:col>
                    <xdr:colOff>495300</xdr:colOff>
                    <xdr:row>11</xdr:row>
                    <xdr:rowOff>165100</xdr:rowOff>
                  </from>
                  <to>
                    <xdr:col>16</xdr:col>
                    <xdr:colOff>495300</xdr:colOff>
                    <xdr:row>14</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theme="4"/>
  </sheetPr>
  <dimension ref="A1:I59"/>
  <sheetViews>
    <sheetView topLeftCell="E7" workbookViewId="0">
      <selection activeCell="L6" sqref="L6"/>
    </sheetView>
  </sheetViews>
  <sheetFormatPr defaultColWidth="9" defaultRowHeight="52.65" customHeight="1"/>
  <cols>
    <col min="1" max="1" width="7.36328125" style="2" customWidth="1"/>
    <col min="2" max="2" width="76.90625" style="51" customWidth="1"/>
    <col min="3" max="3" width="4" style="2" customWidth="1"/>
    <col min="4" max="4" width="7" style="10" customWidth="1"/>
    <col min="5" max="5" width="18.08984375" style="10" customWidth="1"/>
    <col min="6" max="6" width="72.90625" style="51" customWidth="1"/>
    <col min="7" max="7" width="5.36328125" style="2" customWidth="1"/>
    <col min="8" max="8" width="29.7265625" style="2" customWidth="1"/>
    <col min="9" max="16384" width="9" style="2"/>
  </cols>
  <sheetData>
    <row r="1" spans="1:9" ht="52.65" customHeight="1">
      <c r="A1" s="109" t="s">
        <v>77</v>
      </c>
      <c r="B1" s="109"/>
      <c r="D1" s="110" t="s">
        <v>78</v>
      </c>
      <c r="E1" s="110"/>
      <c r="F1" s="110"/>
      <c r="H1" s="111" t="s">
        <v>79</v>
      </c>
      <c r="I1" s="111"/>
    </row>
    <row r="2" spans="1:9" ht="52.65" customHeight="1">
      <c r="A2" s="46" t="s">
        <v>80</v>
      </c>
      <c r="B2" s="47" t="s">
        <v>81</v>
      </c>
      <c r="D2" s="112" t="s">
        <v>46</v>
      </c>
      <c r="E2" s="112"/>
      <c r="F2" s="113"/>
      <c r="H2" s="48" t="s">
        <v>23</v>
      </c>
      <c r="I2" s="48" t="s">
        <v>82</v>
      </c>
    </row>
    <row r="3" spans="1:9" ht="52.65" customHeight="1">
      <c r="A3" s="49">
        <v>1</v>
      </c>
      <c r="B3" s="50" t="s">
        <v>83</v>
      </c>
      <c r="D3" s="8" t="s">
        <v>48</v>
      </c>
      <c r="E3" s="8" t="s">
        <v>35</v>
      </c>
      <c r="F3" s="8" t="s">
        <v>34</v>
      </c>
      <c r="H3" s="70" t="s">
        <v>160</v>
      </c>
      <c r="I3" s="49" t="s">
        <v>84</v>
      </c>
    </row>
    <row r="4" spans="1:9" ht="52.65" customHeight="1">
      <c r="A4" s="49">
        <v>2</v>
      </c>
      <c r="B4" s="50" t="s">
        <v>85</v>
      </c>
      <c r="D4" s="9">
        <v>1</v>
      </c>
      <c r="E4" s="9" t="s">
        <v>36</v>
      </c>
      <c r="F4" s="50" t="s">
        <v>49</v>
      </c>
      <c r="H4" s="70" t="s">
        <v>127</v>
      </c>
      <c r="I4" s="49" t="s">
        <v>84</v>
      </c>
    </row>
    <row r="5" spans="1:9" ht="52.65" customHeight="1">
      <c r="A5" s="49">
        <v>3</v>
      </c>
      <c r="B5" s="50" t="s">
        <v>86</v>
      </c>
      <c r="D5" s="9">
        <v>2</v>
      </c>
      <c r="E5" s="9" t="s">
        <v>37</v>
      </c>
      <c r="F5" s="50" t="s">
        <v>50</v>
      </c>
      <c r="H5" s="70" t="s">
        <v>159</v>
      </c>
      <c r="I5" s="49" t="s">
        <v>91</v>
      </c>
    </row>
    <row r="6" spans="1:9" ht="52.65" customHeight="1">
      <c r="A6" s="49">
        <v>4</v>
      </c>
      <c r="B6" s="50" t="s">
        <v>88</v>
      </c>
      <c r="D6" s="9">
        <v>3</v>
      </c>
      <c r="E6" s="9" t="s">
        <v>38</v>
      </c>
      <c r="F6" s="50" t="s">
        <v>47</v>
      </c>
      <c r="H6" s="70" t="s">
        <v>133</v>
      </c>
      <c r="I6" s="49" t="s">
        <v>87</v>
      </c>
    </row>
    <row r="7" spans="1:9" ht="52.65" customHeight="1">
      <c r="D7" s="9">
        <v>4</v>
      </c>
      <c r="E7" s="9" t="s">
        <v>39</v>
      </c>
      <c r="F7" s="50" t="s">
        <v>51</v>
      </c>
      <c r="H7" s="70" t="s">
        <v>158</v>
      </c>
      <c r="I7" s="49" t="s">
        <v>91</v>
      </c>
    </row>
    <row r="8" spans="1:9" ht="52.65" customHeight="1">
      <c r="A8" s="46" t="s">
        <v>80</v>
      </c>
      <c r="B8" s="47" t="s">
        <v>89</v>
      </c>
      <c r="H8" s="70" t="s">
        <v>146</v>
      </c>
      <c r="I8" s="49" t="s">
        <v>161</v>
      </c>
    </row>
    <row r="9" spans="1:9" ht="52.65" customHeight="1">
      <c r="A9" s="49">
        <v>1</v>
      </c>
      <c r="B9" s="50" t="s">
        <v>90</v>
      </c>
      <c r="H9" s="70" t="s">
        <v>149</v>
      </c>
      <c r="I9" s="49" t="s">
        <v>161</v>
      </c>
    </row>
    <row r="10" spans="1:9" ht="52.65" customHeight="1">
      <c r="A10" s="49">
        <v>2</v>
      </c>
      <c r="B10" s="50" t="s">
        <v>92</v>
      </c>
      <c r="D10" s="112" t="s">
        <v>52</v>
      </c>
      <c r="E10" s="112"/>
      <c r="F10" s="112"/>
      <c r="H10" s="70" t="s">
        <v>157</v>
      </c>
      <c r="I10" s="49" t="s">
        <v>84</v>
      </c>
    </row>
    <row r="11" spans="1:9" ht="52.65" customHeight="1">
      <c r="A11" s="49">
        <v>3</v>
      </c>
      <c r="B11" s="50" t="s">
        <v>93</v>
      </c>
      <c r="D11" s="8" t="s">
        <v>48</v>
      </c>
      <c r="E11" s="8" t="s">
        <v>35</v>
      </c>
      <c r="F11" s="8" t="s">
        <v>34</v>
      </c>
      <c r="H11" s="70" t="s">
        <v>156</v>
      </c>
      <c r="I11" s="49" t="s">
        <v>91</v>
      </c>
    </row>
    <row r="12" spans="1:9" ht="52.65" customHeight="1">
      <c r="A12" s="49">
        <v>4</v>
      </c>
      <c r="B12" s="50" t="s">
        <v>94</v>
      </c>
      <c r="D12" s="9">
        <v>1</v>
      </c>
      <c r="E12" s="9" t="s">
        <v>53</v>
      </c>
      <c r="F12" s="50" t="s">
        <v>54</v>
      </c>
    </row>
    <row r="13" spans="1:9" ht="52.65" customHeight="1">
      <c r="D13" s="9">
        <v>2</v>
      </c>
      <c r="E13" s="9" t="s">
        <v>40</v>
      </c>
      <c r="F13" s="50" t="s">
        <v>95</v>
      </c>
    </row>
    <row r="14" spans="1:9" ht="52.65" customHeight="1">
      <c r="A14" s="46" t="s">
        <v>80</v>
      </c>
      <c r="B14" s="47" t="s">
        <v>96</v>
      </c>
      <c r="D14" s="9">
        <v>3</v>
      </c>
      <c r="E14" s="9" t="s">
        <v>41</v>
      </c>
      <c r="F14" s="50" t="s">
        <v>97</v>
      </c>
    </row>
    <row r="15" spans="1:9" ht="57.75" customHeight="1">
      <c r="A15" s="49">
        <v>1</v>
      </c>
      <c r="B15" s="50" t="s">
        <v>98</v>
      </c>
      <c r="D15" s="9">
        <v>4</v>
      </c>
      <c r="E15" s="9" t="s">
        <v>42</v>
      </c>
      <c r="F15" s="50" t="s">
        <v>99</v>
      </c>
    </row>
    <row r="16" spans="1:9" ht="52.65" customHeight="1">
      <c r="A16" s="49">
        <v>2</v>
      </c>
      <c r="B16" s="50" t="s">
        <v>100</v>
      </c>
    </row>
    <row r="17" spans="1:6" ht="52.65" customHeight="1">
      <c r="A17" s="49">
        <v>3</v>
      </c>
      <c r="B17" s="50" t="s">
        <v>101</v>
      </c>
    </row>
    <row r="18" spans="1:6" ht="52.65" customHeight="1">
      <c r="A18" s="49">
        <v>4</v>
      </c>
      <c r="B18" s="50" t="s">
        <v>102</v>
      </c>
    </row>
    <row r="20" spans="1:6" ht="52.65" customHeight="1">
      <c r="A20" s="46" t="s">
        <v>80</v>
      </c>
      <c r="B20" s="47" t="s">
        <v>103</v>
      </c>
    </row>
    <row r="21" spans="1:6" ht="52.65" customHeight="1">
      <c r="A21" s="49">
        <v>1</v>
      </c>
      <c r="B21" s="50" t="s">
        <v>104</v>
      </c>
    </row>
    <row r="22" spans="1:6" ht="52.65" customHeight="1">
      <c r="A22" s="49">
        <v>2</v>
      </c>
      <c r="B22" s="50" t="s">
        <v>105</v>
      </c>
    </row>
    <row r="23" spans="1:6" ht="52.65" customHeight="1">
      <c r="A23" s="49">
        <v>3</v>
      </c>
      <c r="B23" s="50" t="s">
        <v>106</v>
      </c>
    </row>
    <row r="24" spans="1:6" ht="52.65" customHeight="1">
      <c r="A24" s="49">
        <v>4</v>
      </c>
      <c r="B24" s="50" t="s">
        <v>107</v>
      </c>
    </row>
    <row r="26" spans="1:6" ht="52.65" customHeight="1">
      <c r="A26" s="46" t="s">
        <v>80</v>
      </c>
      <c r="B26" s="47" t="s">
        <v>108</v>
      </c>
    </row>
    <row r="27" spans="1:6" ht="52.65" customHeight="1">
      <c r="A27" s="49">
        <v>3</v>
      </c>
      <c r="B27" s="50" t="s">
        <v>109</v>
      </c>
    </row>
    <row r="28" spans="1:6" ht="52.65" customHeight="1">
      <c r="A28" s="49">
        <v>4</v>
      </c>
      <c r="B28" s="50" t="s">
        <v>110</v>
      </c>
    </row>
    <row r="31" spans="1:6" s="3" customFormat="1" ht="52.65" customHeight="1">
      <c r="A31" s="2"/>
      <c r="B31" s="51"/>
      <c r="D31" s="10"/>
      <c r="E31" s="10"/>
      <c r="F31" s="51"/>
    </row>
    <row r="32" spans="1:6" s="3" customFormat="1" ht="52.65" customHeight="1">
      <c r="A32" s="2"/>
      <c r="B32" s="51"/>
      <c r="D32" s="11"/>
      <c r="E32" s="11"/>
      <c r="F32" s="52"/>
    </row>
    <row r="33" spans="1:6" s="3" customFormat="1" ht="52.65" customHeight="1">
      <c r="A33" s="2"/>
      <c r="B33" s="51"/>
      <c r="D33" s="11"/>
      <c r="E33" s="11"/>
      <c r="F33" s="52"/>
    </row>
    <row r="34" spans="1:6" s="3" customFormat="1" ht="52.65" customHeight="1">
      <c r="B34" s="11"/>
      <c r="D34" s="11"/>
      <c r="E34" s="11"/>
      <c r="F34" s="52"/>
    </row>
    <row r="35" spans="1:6" s="3" customFormat="1" ht="52.65" customHeight="1">
      <c r="B35" s="11"/>
      <c r="D35" s="11"/>
      <c r="E35" s="11"/>
      <c r="F35" s="52"/>
    </row>
    <row r="36" spans="1:6" s="3" customFormat="1" ht="52.65" customHeight="1">
      <c r="B36" s="11"/>
      <c r="D36" s="11"/>
      <c r="E36" s="11"/>
      <c r="F36" s="52"/>
    </row>
    <row r="37" spans="1:6" s="3" customFormat="1" ht="52.65" customHeight="1">
      <c r="B37" s="11"/>
      <c r="D37" s="11"/>
      <c r="E37" s="11"/>
      <c r="F37" s="52"/>
    </row>
    <row r="38" spans="1:6" s="3" customFormat="1" ht="52.65" customHeight="1">
      <c r="B38" s="11"/>
      <c r="D38" s="11"/>
      <c r="E38" s="11"/>
      <c r="F38" s="52"/>
    </row>
    <row r="39" spans="1:6" s="3" customFormat="1" ht="52.65" customHeight="1">
      <c r="B39" s="11"/>
      <c r="D39" s="11"/>
      <c r="E39" s="11"/>
      <c r="F39" s="52"/>
    </row>
    <row r="40" spans="1:6" s="3" customFormat="1" ht="52.65" customHeight="1">
      <c r="B40" s="11"/>
      <c r="D40" s="11"/>
      <c r="E40" s="11"/>
      <c r="F40" s="52"/>
    </row>
    <row r="41" spans="1:6" s="3" customFormat="1" ht="52.65" customHeight="1">
      <c r="B41" s="11"/>
      <c r="D41" s="11"/>
      <c r="E41" s="11"/>
      <c r="F41" s="52"/>
    </row>
    <row r="42" spans="1:6" s="3" customFormat="1" ht="52.65" customHeight="1">
      <c r="B42" s="11"/>
      <c r="D42" s="11"/>
      <c r="E42" s="11"/>
      <c r="F42" s="52"/>
    </row>
    <row r="43" spans="1:6" s="3" customFormat="1" ht="52.65" customHeight="1">
      <c r="B43" s="11"/>
      <c r="D43" s="11"/>
      <c r="E43" s="11"/>
      <c r="F43" s="52"/>
    </row>
    <row r="44" spans="1:6" s="3" customFormat="1" ht="52.65" customHeight="1">
      <c r="B44" s="11"/>
      <c r="D44" s="11"/>
      <c r="E44" s="11"/>
      <c r="F44" s="52"/>
    </row>
    <row r="45" spans="1:6" s="3" customFormat="1" ht="52.65" customHeight="1">
      <c r="B45" s="11"/>
      <c r="D45" s="11"/>
      <c r="E45" s="11"/>
      <c r="F45" s="52"/>
    </row>
    <row r="46" spans="1:6" s="3" customFormat="1" ht="52.65" customHeight="1">
      <c r="B46" s="11"/>
      <c r="D46" s="11"/>
      <c r="E46" s="11"/>
      <c r="F46" s="52"/>
    </row>
    <row r="47" spans="1:6" s="3" customFormat="1" ht="52.65" customHeight="1">
      <c r="A47" s="53"/>
      <c r="B47" s="52"/>
      <c r="D47" s="11"/>
      <c r="E47" s="11"/>
      <c r="F47" s="52"/>
    </row>
    <row r="48" spans="1:6" s="3" customFormat="1" ht="52.65" customHeight="1">
      <c r="A48" s="53"/>
      <c r="B48" s="52"/>
      <c r="D48" s="11"/>
      <c r="E48" s="11"/>
      <c r="F48" s="52"/>
    </row>
    <row r="49" spans="1:6" s="3" customFormat="1" ht="52.65" customHeight="1">
      <c r="A49" s="53"/>
      <c r="B49" s="52"/>
      <c r="D49" s="11"/>
      <c r="E49" s="11"/>
      <c r="F49" s="52"/>
    </row>
    <row r="50" spans="1:6" s="3" customFormat="1" ht="52.65" customHeight="1">
      <c r="A50" s="53"/>
      <c r="B50" s="52"/>
      <c r="D50" s="11"/>
      <c r="E50" s="11"/>
      <c r="F50" s="52"/>
    </row>
    <row r="51" spans="1:6" s="3" customFormat="1" ht="52.65" customHeight="1">
      <c r="B51" s="52"/>
      <c r="D51" s="11"/>
      <c r="E51" s="11"/>
      <c r="F51" s="52"/>
    </row>
    <row r="52" spans="1:6" s="3" customFormat="1" ht="52.65" customHeight="1">
      <c r="B52" s="52"/>
      <c r="D52" s="11"/>
      <c r="E52" s="11"/>
      <c r="F52" s="52"/>
    </row>
    <row r="53" spans="1:6" s="3" customFormat="1" ht="52.65" customHeight="1">
      <c r="B53" s="52"/>
      <c r="D53" s="11"/>
      <c r="E53" s="11"/>
      <c r="F53" s="52"/>
    </row>
    <row r="54" spans="1:6" s="3" customFormat="1" ht="52.65" customHeight="1">
      <c r="B54" s="52"/>
      <c r="D54" s="11"/>
      <c r="E54" s="11"/>
      <c r="F54" s="52"/>
    </row>
    <row r="55" spans="1:6" s="3" customFormat="1" ht="52.65" customHeight="1">
      <c r="B55" s="52"/>
      <c r="D55" s="11"/>
      <c r="E55" s="11"/>
      <c r="F55" s="52"/>
    </row>
    <row r="56" spans="1:6" s="3" customFormat="1" ht="52.65" customHeight="1">
      <c r="B56" s="52"/>
      <c r="D56" s="11"/>
      <c r="E56" s="11"/>
      <c r="F56" s="52"/>
    </row>
    <row r="57" spans="1:6" ht="52.65" customHeight="1">
      <c r="A57" s="3"/>
      <c r="B57" s="52"/>
      <c r="D57" s="11"/>
      <c r="E57" s="11"/>
      <c r="F57" s="52"/>
    </row>
    <row r="58" spans="1:6" ht="52.65" customHeight="1">
      <c r="A58" s="3"/>
      <c r="B58" s="52"/>
    </row>
    <row r="59" spans="1:6" ht="52.65" customHeight="1">
      <c r="A59" s="3"/>
      <c r="B59" s="52"/>
    </row>
  </sheetData>
  <mergeCells count="5">
    <mergeCell ref="A1:B1"/>
    <mergeCell ref="D1:F1"/>
    <mergeCell ref="H1:I1"/>
    <mergeCell ref="D2:F2"/>
    <mergeCell ref="D10:F10"/>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40" r:id="rId4" name="Button 4">
              <controlPr defaultSize="0" print="0" autoFill="0" autoPict="0" macro="[0]!CIA比對">
                <anchor moveWithCells="1" sizeWithCells="1">
                  <from>
                    <xdr:col>9</xdr:col>
                    <xdr:colOff>304800</xdr:colOff>
                    <xdr:row>0</xdr:row>
                    <xdr:rowOff>323850</xdr:rowOff>
                  </from>
                  <to>
                    <xdr:col>11</xdr:col>
                    <xdr:colOff>469900</xdr:colOff>
                    <xdr:row>1</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4">
    <tabColor rgb="FFFF0000"/>
    <pageSetUpPr fitToPage="1"/>
  </sheetPr>
  <dimension ref="A1:Z40"/>
  <sheetViews>
    <sheetView topLeftCell="M1" zoomScale="97" zoomScaleNormal="97" workbookViewId="0">
      <selection activeCell="N6" sqref="N6:P6"/>
    </sheetView>
  </sheetViews>
  <sheetFormatPr defaultRowHeight="15.5"/>
  <cols>
    <col min="1" max="1" width="7.90625" style="39" hidden="1" customWidth="1"/>
    <col min="2" max="2" width="11.90625" style="39" hidden="1" customWidth="1"/>
    <col min="3" max="4" width="9.90625" style="39" hidden="1" customWidth="1"/>
    <col min="5" max="5" width="5.90625" style="39" hidden="1" customWidth="1"/>
    <col min="6" max="6" width="7.90625" style="39" hidden="1" customWidth="1"/>
    <col min="7" max="7" width="3.08984375" style="39" hidden="1" customWidth="1"/>
    <col min="8" max="8" width="2.26953125" style="39" hidden="1" customWidth="1"/>
    <col min="9" max="9" width="3.08984375" style="39" hidden="1" customWidth="1"/>
    <col min="10" max="10" width="5.26953125" style="39" hidden="1" customWidth="1"/>
    <col min="11" max="11" width="9.90625" style="39" hidden="1" customWidth="1"/>
    <col min="12" max="12" width="5.90625" style="39" hidden="1" customWidth="1"/>
    <col min="13" max="13" width="21.08984375" style="6" customWidth="1"/>
    <col min="14" max="14" width="8.90625" style="6" customWidth="1"/>
    <col min="15" max="15" width="11.36328125" style="6" customWidth="1"/>
    <col min="16" max="16" width="8.90625" style="6" customWidth="1"/>
    <col min="17" max="17" width="8.90625" style="40" customWidth="1"/>
    <col min="18" max="18" width="16.90625" style="6" customWidth="1"/>
    <col min="19" max="19" width="16.90625" style="40" customWidth="1"/>
    <col min="20" max="20" width="10" style="6" customWidth="1"/>
    <col min="21" max="21" width="10" style="40" customWidth="1"/>
    <col min="22" max="22" width="17.7265625" style="6" customWidth="1"/>
    <col min="23" max="23" width="10" style="6" customWidth="1"/>
    <col min="24" max="24" width="17.7265625" style="6" customWidth="1"/>
    <col min="25" max="25" width="10" style="6" customWidth="1"/>
    <col min="26" max="26" width="5.90625" style="6" customWidth="1"/>
    <col min="27" max="261" width="9" style="6"/>
    <col min="262" max="262" width="16.26953125" style="6" customWidth="1"/>
    <col min="263" max="263" width="9" style="6"/>
    <col min="264" max="264" width="11.36328125" style="6" customWidth="1"/>
    <col min="265" max="266" width="9" style="6"/>
    <col min="267" max="267" width="23" style="6" bestFit="1" customWidth="1"/>
    <col min="268" max="268" width="10" style="6" customWidth="1"/>
    <col min="269" max="269" width="6.26953125" style="6" bestFit="1" customWidth="1"/>
    <col min="270" max="270" width="7.26953125" style="6" bestFit="1" customWidth="1"/>
    <col min="271" max="271" width="16.7265625" style="6" customWidth="1"/>
    <col min="272" max="272" width="7.26953125" style="6" bestFit="1" customWidth="1"/>
    <col min="273" max="273" width="16.7265625" style="6" customWidth="1"/>
    <col min="274" max="517" width="9" style="6"/>
    <col min="518" max="518" width="16.26953125" style="6" customWidth="1"/>
    <col min="519" max="519" width="9" style="6"/>
    <col min="520" max="520" width="11.36328125" style="6" customWidth="1"/>
    <col min="521" max="522" width="9" style="6"/>
    <col min="523" max="523" width="23" style="6" bestFit="1" customWidth="1"/>
    <col min="524" max="524" width="10" style="6" customWidth="1"/>
    <col min="525" max="525" width="6.26953125" style="6" bestFit="1" customWidth="1"/>
    <col min="526" max="526" width="7.26953125" style="6" bestFit="1" customWidth="1"/>
    <col min="527" max="527" width="16.7265625" style="6" customWidth="1"/>
    <col min="528" max="528" width="7.26953125" style="6" bestFit="1" customWidth="1"/>
    <col min="529" max="529" width="16.7265625" style="6" customWidth="1"/>
    <col min="530" max="773" width="9" style="6"/>
    <col min="774" max="774" width="16.26953125" style="6" customWidth="1"/>
    <col min="775" max="775" width="9" style="6"/>
    <col min="776" max="776" width="11.36328125" style="6" customWidth="1"/>
    <col min="777" max="778" width="9" style="6"/>
    <col min="779" max="779" width="23" style="6" bestFit="1" customWidth="1"/>
    <col min="780" max="780" width="10" style="6" customWidth="1"/>
    <col min="781" max="781" width="6.26953125" style="6" bestFit="1" customWidth="1"/>
    <col min="782" max="782" width="7.26953125" style="6" bestFit="1" customWidth="1"/>
    <col min="783" max="783" width="16.7265625" style="6" customWidth="1"/>
    <col min="784" max="784" width="7.26953125" style="6" bestFit="1" customWidth="1"/>
    <col min="785" max="785" width="16.7265625" style="6" customWidth="1"/>
    <col min="786" max="1029" width="9" style="6"/>
    <col min="1030" max="1030" width="16.26953125" style="6" customWidth="1"/>
    <col min="1031" max="1031" width="9" style="6"/>
    <col min="1032" max="1032" width="11.36328125" style="6" customWidth="1"/>
    <col min="1033" max="1034" width="9" style="6"/>
    <col min="1035" max="1035" width="23" style="6" bestFit="1" customWidth="1"/>
    <col min="1036" max="1036" width="10" style="6" customWidth="1"/>
    <col min="1037" max="1037" width="6.26953125" style="6" bestFit="1" customWidth="1"/>
    <col min="1038" max="1038" width="7.26953125" style="6" bestFit="1" customWidth="1"/>
    <col min="1039" max="1039" width="16.7265625" style="6" customWidth="1"/>
    <col min="1040" max="1040" width="7.26953125" style="6" bestFit="1" customWidth="1"/>
    <col min="1041" max="1041" width="16.7265625" style="6" customWidth="1"/>
    <col min="1042" max="1285" width="9" style="6"/>
    <col min="1286" max="1286" width="16.26953125" style="6" customWidth="1"/>
    <col min="1287" max="1287" width="9" style="6"/>
    <col min="1288" max="1288" width="11.36328125" style="6" customWidth="1"/>
    <col min="1289" max="1290" width="9" style="6"/>
    <col min="1291" max="1291" width="23" style="6" bestFit="1" customWidth="1"/>
    <col min="1292" max="1292" width="10" style="6" customWidth="1"/>
    <col min="1293" max="1293" width="6.26953125" style="6" bestFit="1" customWidth="1"/>
    <col min="1294" max="1294" width="7.26953125" style="6" bestFit="1" customWidth="1"/>
    <col min="1295" max="1295" width="16.7265625" style="6" customWidth="1"/>
    <col min="1296" max="1296" width="7.26953125" style="6" bestFit="1" customWidth="1"/>
    <col min="1297" max="1297" width="16.7265625" style="6" customWidth="1"/>
    <col min="1298" max="1541" width="9" style="6"/>
    <col min="1542" max="1542" width="16.26953125" style="6" customWidth="1"/>
    <col min="1543" max="1543" width="9" style="6"/>
    <col min="1544" max="1544" width="11.36328125" style="6" customWidth="1"/>
    <col min="1545" max="1546" width="9" style="6"/>
    <col min="1547" max="1547" width="23" style="6" bestFit="1" customWidth="1"/>
    <col min="1548" max="1548" width="10" style="6" customWidth="1"/>
    <col min="1549" max="1549" width="6.26953125" style="6" bestFit="1" customWidth="1"/>
    <col min="1550" max="1550" width="7.26953125" style="6" bestFit="1" customWidth="1"/>
    <col min="1551" max="1551" width="16.7265625" style="6" customWidth="1"/>
    <col min="1552" max="1552" width="7.26953125" style="6" bestFit="1" customWidth="1"/>
    <col min="1553" max="1553" width="16.7265625" style="6" customWidth="1"/>
    <col min="1554" max="1797" width="9" style="6"/>
    <col min="1798" max="1798" width="16.26953125" style="6" customWidth="1"/>
    <col min="1799" max="1799" width="9" style="6"/>
    <col min="1800" max="1800" width="11.36328125" style="6" customWidth="1"/>
    <col min="1801" max="1802" width="9" style="6"/>
    <col min="1803" max="1803" width="23" style="6" bestFit="1" customWidth="1"/>
    <col min="1804" max="1804" width="10" style="6" customWidth="1"/>
    <col min="1805" max="1805" width="6.26953125" style="6" bestFit="1" customWidth="1"/>
    <col min="1806" max="1806" width="7.26953125" style="6" bestFit="1" customWidth="1"/>
    <col min="1807" max="1807" width="16.7265625" style="6" customWidth="1"/>
    <col min="1808" max="1808" width="7.26953125" style="6" bestFit="1" customWidth="1"/>
    <col min="1809" max="1809" width="16.7265625" style="6" customWidth="1"/>
    <col min="1810" max="2053" width="9" style="6"/>
    <col min="2054" max="2054" width="16.26953125" style="6" customWidth="1"/>
    <col min="2055" max="2055" width="9" style="6"/>
    <col min="2056" max="2056" width="11.36328125" style="6" customWidth="1"/>
    <col min="2057" max="2058" width="9" style="6"/>
    <col min="2059" max="2059" width="23" style="6" bestFit="1" customWidth="1"/>
    <col min="2060" max="2060" width="10" style="6" customWidth="1"/>
    <col min="2061" max="2061" width="6.26953125" style="6" bestFit="1" customWidth="1"/>
    <col min="2062" max="2062" width="7.26953125" style="6" bestFit="1" customWidth="1"/>
    <col min="2063" max="2063" width="16.7265625" style="6" customWidth="1"/>
    <col min="2064" max="2064" width="7.26953125" style="6" bestFit="1" customWidth="1"/>
    <col min="2065" max="2065" width="16.7265625" style="6" customWidth="1"/>
    <col min="2066" max="2309" width="9" style="6"/>
    <col min="2310" max="2310" width="16.26953125" style="6" customWidth="1"/>
    <col min="2311" max="2311" width="9" style="6"/>
    <col min="2312" max="2312" width="11.36328125" style="6" customWidth="1"/>
    <col min="2313" max="2314" width="9" style="6"/>
    <col min="2315" max="2315" width="23" style="6" bestFit="1" customWidth="1"/>
    <col min="2316" max="2316" width="10" style="6" customWidth="1"/>
    <col min="2317" max="2317" width="6.26953125" style="6" bestFit="1" customWidth="1"/>
    <col min="2318" max="2318" width="7.26953125" style="6" bestFit="1" customWidth="1"/>
    <col min="2319" max="2319" width="16.7265625" style="6" customWidth="1"/>
    <col min="2320" max="2320" width="7.26953125" style="6" bestFit="1" customWidth="1"/>
    <col min="2321" max="2321" width="16.7265625" style="6" customWidth="1"/>
    <col min="2322" max="2565" width="9" style="6"/>
    <col min="2566" max="2566" width="16.26953125" style="6" customWidth="1"/>
    <col min="2567" max="2567" width="9" style="6"/>
    <col min="2568" max="2568" width="11.36328125" style="6" customWidth="1"/>
    <col min="2569" max="2570" width="9" style="6"/>
    <col min="2571" max="2571" width="23" style="6" bestFit="1" customWidth="1"/>
    <col min="2572" max="2572" width="10" style="6" customWidth="1"/>
    <col min="2573" max="2573" width="6.26953125" style="6" bestFit="1" customWidth="1"/>
    <col min="2574" max="2574" width="7.26953125" style="6" bestFit="1" customWidth="1"/>
    <col min="2575" max="2575" width="16.7265625" style="6" customWidth="1"/>
    <col min="2576" max="2576" width="7.26953125" style="6" bestFit="1" customWidth="1"/>
    <col min="2577" max="2577" width="16.7265625" style="6" customWidth="1"/>
    <col min="2578" max="2821" width="9" style="6"/>
    <col min="2822" max="2822" width="16.26953125" style="6" customWidth="1"/>
    <col min="2823" max="2823" width="9" style="6"/>
    <col min="2824" max="2824" width="11.36328125" style="6" customWidth="1"/>
    <col min="2825" max="2826" width="9" style="6"/>
    <col min="2827" max="2827" width="23" style="6" bestFit="1" customWidth="1"/>
    <col min="2828" max="2828" width="10" style="6" customWidth="1"/>
    <col min="2829" max="2829" width="6.26953125" style="6" bestFit="1" customWidth="1"/>
    <col min="2830" max="2830" width="7.26953125" style="6" bestFit="1" customWidth="1"/>
    <col min="2831" max="2831" width="16.7265625" style="6" customWidth="1"/>
    <col min="2832" max="2832" width="7.26953125" style="6" bestFit="1" customWidth="1"/>
    <col min="2833" max="2833" width="16.7265625" style="6" customWidth="1"/>
    <col min="2834" max="3077" width="9" style="6"/>
    <col min="3078" max="3078" width="16.26953125" style="6" customWidth="1"/>
    <col min="3079" max="3079" width="9" style="6"/>
    <col min="3080" max="3080" width="11.36328125" style="6" customWidth="1"/>
    <col min="3081" max="3082" width="9" style="6"/>
    <col min="3083" max="3083" width="23" style="6" bestFit="1" customWidth="1"/>
    <col min="3084" max="3084" width="10" style="6" customWidth="1"/>
    <col min="3085" max="3085" width="6.26953125" style="6" bestFit="1" customWidth="1"/>
    <col min="3086" max="3086" width="7.26953125" style="6" bestFit="1" customWidth="1"/>
    <col min="3087" max="3087" width="16.7265625" style="6" customWidth="1"/>
    <col min="3088" max="3088" width="7.26953125" style="6" bestFit="1" customWidth="1"/>
    <col min="3089" max="3089" width="16.7265625" style="6" customWidth="1"/>
    <col min="3090" max="3333" width="9" style="6"/>
    <col min="3334" max="3334" width="16.26953125" style="6" customWidth="1"/>
    <col min="3335" max="3335" width="9" style="6"/>
    <col min="3336" max="3336" width="11.36328125" style="6" customWidth="1"/>
    <col min="3337" max="3338" width="9" style="6"/>
    <col min="3339" max="3339" width="23" style="6" bestFit="1" customWidth="1"/>
    <col min="3340" max="3340" width="10" style="6" customWidth="1"/>
    <col min="3341" max="3341" width="6.26953125" style="6" bestFit="1" customWidth="1"/>
    <col min="3342" max="3342" width="7.26953125" style="6" bestFit="1" customWidth="1"/>
    <col min="3343" max="3343" width="16.7265625" style="6" customWidth="1"/>
    <col min="3344" max="3344" width="7.26953125" style="6" bestFit="1" customWidth="1"/>
    <col min="3345" max="3345" width="16.7265625" style="6" customWidth="1"/>
    <col min="3346" max="3589" width="9" style="6"/>
    <col min="3590" max="3590" width="16.26953125" style="6" customWidth="1"/>
    <col min="3591" max="3591" width="9" style="6"/>
    <col min="3592" max="3592" width="11.36328125" style="6" customWidth="1"/>
    <col min="3593" max="3594" width="9" style="6"/>
    <col min="3595" max="3595" width="23" style="6" bestFit="1" customWidth="1"/>
    <col min="3596" max="3596" width="10" style="6" customWidth="1"/>
    <col min="3597" max="3597" width="6.26953125" style="6" bestFit="1" customWidth="1"/>
    <col min="3598" max="3598" width="7.26953125" style="6" bestFit="1" customWidth="1"/>
    <col min="3599" max="3599" width="16.7265625" style="6" customWidth="1"/>
    <col min="3600" max="3600" width="7.26953125" style="6" bestFit="1" customWidth="1"/>
    <col min="3601" max="3601" width="16.7265625" style="6" customWidth="1"/>
    <col min="3602" max="3845" width="9" style="6"/>
    <col min="3846" max="3846" width="16.26953125" style="6" customWidth="1"/>
    <col min="3847" max="3847" width="9" style="6"/>
    <col min="3848" max="3848" width="11.36328125" style="6" customWidth="1"/>
    <col min="3849" max="3850" width="9" style="6"/>
    <col min="3851" max="3851" width="23" style="6" bestFit="1" customWidth="1"/>
    <col min="3852" max="3852" width="10" style="6" customWidth="1"/>
    <col min="3853" max="3853" width="6.26953125" style="6" bestFit="1" customWidth="1"/>
    <col min="3854" max="3854" width="7.26953125" style="6" bestFit="1" customWidth="1"/>
    <col min="3855" max="3855" width="16.7265625" style="6" customWidth="1"/>
    <col min="3856" max="3856" width="7.26953125" style="6" bestFit="1" customWidth="1"/>
    <col min="3857" max="3857" width="16.7265625" style="6" customWidth="1"/>
    <col min="3858" max="4101" width="9" style="6"/>
    <col min="4102" max="4102" width="16.26953125" style="6" customWidth="1"/>
    <col min="4103" max="4103" width="9" style="6"/>
    <col min="4104" max="4104" width="11.36328125" style="6" customWidth="1"/>
    <col min="4105" max="4106" width="9" style="6"/>
    <col min="4107" max="4107" width="23" style="6" bestFit="1" customWidth="1"/>
    <col min="4108" max="4108" width="10" style="6" customWidth="1"/>
    <col min="4109" max="4109" width="6.26953125" style="6" bestFit="1" customWidth="1"/>
    <col min="4110" max="4110" width="7.26953125" style="6" bestFit="1" customWidth="1"/>
    <col min="4111" max="4111" width="16.7265625" style="6" customWidth="1"/>
    <col min="4112" max="4112" width="7.26953125" style="6" bestFit="1" customWidth="1"/>
    <col min="4113" max="4113" width="16.7265625" style="6" customWidth="1"/>
    <col min="4114" max="4357" width="9" style="6"/>
    <col min="4358" max="4358" width="16.26953125" style="6" customWidth="1"/>
    <col min="4359" max="4359" width="9" style="6"/>
    <col min="4360" max="4360" width="11.36328125" style="6" customWidth="1"/>
    <col min="4361" max="4362" width="9" style="6"/>
    <col min="4363" max="4363" width="23" style="6" bestFit="1" customWidth="1"/>
    <col min="4364" max="4364" width="10" style="6" customWidth="1"/>
    <col min="4365" max="4365" width="6.26953125" style="6" bestFit="1" customWidth="1"/>
    <col min="4366" max="4366" width="7.26953125" style="6" bestFit="1" customWidth="1"/>
    <col min="4367" max="4367" width="16.7265625" style="6" customWidth="1"/>
    <col min="4368" max="4368" width="7.26953125" style="6" bestFit="1" customWidth="1"/>
    <col min="4369" max="4369" width="16.7265625" style="6" customWidth="1"/>
    <col min="4370" max="4613" width="9" style="6"/>
    <col min="4614" max="4614" width="16.26953125" style="6" customWidth="1"/>
    <col min="4615" max="4615" width="9" style="6"/>
    <col min="4616" max="4616" width="11.36328125" style="6" customWidth="1"/>
    <col min="4617" max="4618" width="9" style="6"/>
    <col min="4619" max="4619" width="23" style="6" bestFit="1" customWidth="1"/>
    <col min="4620" max="4620" width="10" style="6" customWidth="1"/>
    <col min="4621" max="4621" width="6.26953125" style="6" bestFit="1" customWidth="1"/>
    <col min="4622" max="4622" width="7.26953125" style="6" bestFit="1" customWidth="1"/>
    <col min="4623" max="4623" width="16.7265625" style="6" customWidth="1"/>
    <col min="4624" max="4624" width="7.26953125" style="6" bestFit="1" customWidth="1"/>
    <col min="4625" max="4625" width="16.7265625" style="6" customWidth="1"/>
    <col min="4626" max="4869" width="9" style="6"/>
    <col min="4870" max="4870" width="16.26953125" style="6" customWidth="1"/>
    <col min="4871" max="4871" width="9" style="6"/>
    <col min="4872" max="4872" width="11.36328125" style="6" customWidth="1"/>
    <col min="4873" max="4874" width="9" style="6"/>
    <col min="4875" max="4875" width="23" style="6" bestFit="1" customWidth="1"/>
    <col min="4876" max="4876" width="10" style="6" customWidth="1"/>
    <col min="4877" max="4877" width="6.26953125" style="6" bestFit="1" customWidth="1"/>
    <col min="4878" max="4878" width="7.26953125" style="6" bestFit="1" customWidth="1"/>
    <col min="4879" max="4879" width="16.7265625" style="6" customWidth="1"/>
    <col min="4880" max="4880" width="7.26953125" style="6" bestFit="1" customWidth="1"/>
    <col min="4881" max="4881" width="16.7265625" style="6" customWidth="1"/>
    <col min="4882" max="5125" width="9" style="6"/>
    <col min="5126" max="5126" width="16.26953125" style="6" customWidth="1"/>
    <col min="5127" max="5127" width="9" style="6"/>
    <col min="5128" max="5128" width="11.36328125" style="6" customWidth="1"/>
    <col min="5129" max="5130" width="9" style="6"/>
    <col min="5131" max="5131" width="23" style="6" bestFit="1" customWidth="1"/>
    <col min="5132" max="5132" width="10" style="6" customWidth="1"/>
    <col min="5133" max="5133" width="6.26953125" style="6" bestFit="1" customWidth="1"/>
    <col min="5134" max="5134" width="7.26953125" style="6" bestFit="1" customWidth="1"/>
    <col min="5135" max="5135" width="16.7265625" style="6" customWidth="1"/>
    <col min="5136" max="5136" width="7.26953125" style="6" bestFit="1" customWidth="1"/>
    <col min="5137" max="5137" width="16.7265625" style="6" customWidth="1"/>
    <col min="5138" max="5381" width="9" style="6"/>
    <col min="5382" max="5382" width="16.26953125" style="6" customWidth="1"/>
    <col min="5383" max="5383" width="9" style="6"/>
    <col min="5384" max="5384" width="11.36328125" style="6" customWidth="1"/>
    <col min="5385" max="5386" width="9" style="6"/>
    <col min="5387" max="5387" width="23" style="6" bestFit="1" customWidth="1"/>
    <col min="5388" max="5388" width="10" style="6" customWidth="1"/>
    <col min="5389" max="5389" width="6.26953125" style="6" bestFit="1" customWidth="1"/>
    <col min="5390" max="5390" width="7.26953125" style="6" bestFit="1" customWidth="1"/>
    <col min="5391" max="5391" width="16.7265625" style="6" customWidth="1"/>
    <col min="5392" max="5392" width="7.26953125" style="6" bestFit="1" customWidth="1"/>
    <col min="5393" max="5393" width="16.7265625" style="6" customWidth="1"/>
    <col min="5394" max="5637" width="9" style="6"/>
    <col min="5638" max="5638" width="16.26953125" style="6" customWidth="1"/>
    <col min="5639" max="5639" width="9" style="6"/>
    <col min="5640" max="5640" width="11.36328125" style="6" customWidth="1"/>
    <col min="5641" max="5642" width="9" style="6"/>
    <col min="5643" max="5643" width="23" style="6" bestFit="1" customWidth="1"/>
    <col min="5644" max="5644" width="10" style="6" customWidth="1"/>
    <col min="5645" max="5645" width="6.26953125" style="6" bestFit="1" customWidth="1"/>
    <col min="5646" max="5646" width="7.26953125" style="6" bestFit="1" customWidth="1"/>
    <col min="5647" max="5647" width="16.7265625" style="6" customWidth="1"/>
    <col min="5648" max="5648" width="7.26953125" style="6" bestFit="1" customWidth="1"/>
    <col min="5649" max="5649" width="16.7265625" style="6" customWidth="1"/>
    <col min="5650" max="5893" width="9" style="6"/>
    <col min="5894" max="5894" width="16.26953125" style="6" customWidth="1"/>
    <col min="5895" max="5895" width="9" style="6"/>
    <col min="5896" max="5896" width="11.36328125" style="6" customWidth="1"/>
    <col min="5897" max="5898" width="9" style="6"/>
    <col min="5899" max="5899" width="23" style="6" bestFit="1" customWidth="1"/>
    <col min="5900" max="5900" width="10" style="6" customWidth="1"/>
    <col min="5901" max="5901" width="6.26953125" style="6" bestFit="1" customWidth="1"/>
    <col min="5902" max="5902" width="7.26953125" style="6" bestFit="1" customWidth="1"/>
    <col min="5903" max="5903" width="16.7265625" style="6" customWidth="1"/>
    <col min="5904" max="5904" width="7.26953125" style="6" bestFit="1" customWidth="1"/>
    <col min="5905" max="5905" width="16.7265625" style="6" customWidth="1"/>
    <col min="5906" max="6149" width="9" style="6"/>
    <col min="6150" max="6150" width="16.26953125" style="6" customWidth="1"/>
    <col min="6151" max="6151" width="9" style="6"/>
    <col min="6152" max="6152" width="11.36328125" style="6" customWidth="1"/>
    <col min="6153" max="6154" width="9" style="6"/>
    <col min="6155" max="6155" width="23" style="6" bestFit="1" customWidth="1"/>
    <col min="6156" max="6156" width="10" style="6" customWidth="1"/>
    <col min="6157" max="6157" width="6.26953125" style="6" bestFit="1" customWidth="1"/>
    <col min="6158" max="6158" width="7.26953125" style="6" bestFit="1" customWidth="1"/>
    <col min="6159" max="6159" width="16.7265625" style="6" customWidth="1"/>
    <col min="6160" max="6160" width="7.26953125" style="6" bestFit="1" customWidth="1"/>
    <col min="6161" max="6161" width="16.7265625" style="6" customWidth="1"/>
    <col min="6162" max="6405" width="9" style="6"/>
    <col min="6406" max="6406" width="16.26953125" style="6" customWidth="1"/>
    <col min="6407" max="6407" width="9" style="6"/>
    <col min="6408" max="6408" width="11.36328125" style="6" customWidth="1"/>
    <col min="6409" max="6410" width="9" style="6"/>
    <col min="6411" max="6411" width="23" style="6" bestFit="1" customWidth="1"/>
    <col min="6412" max="6412" width="10" style="6" customWidth="1"/>
    <col min="6413" max="6413" width="6.26953125" style="6" bestFit="1" customWidth="1"/>
    <col min="6414" max="6414" width="7.26953125" style="6" bestFit="1" customWidth="1"/>
    <col min="6415" max="6415" width="16.7265625" style="6" customWidth="1"/>
    <col min="6416" max="6416" width="7.26953125" style="6" bestFit="1" customWidth="1"/>
    <col min="6417" max="6417" width="16.7265625" style="6" customWidth="1"/>
    <col min="6418" max="6661" width="9" style="6"/>
    <col min="6662" max="6662" width="16.26953125" style="6" customWidth="1"/>
    <col min="6663" max="6663" width="9" style="6"/>
    <col min="6664" max="6664" width="11.36328125" style="6" customWidth="1"/>
    <col min="6665" max="6666" width="9" style="6"/>
    <col min="6667" max="6667" width="23" style="6" bestFit="1" customWidth="1"/>
    <col min="6668" max="6668" width="10" style="6" customWidth="1"/>
    <col min="6669" max="6669" width="6.26953125" style="6" bestFit="1" customWidth="1"/>
    <col min="6670" max="6670" width="7.26953125" style="6" bestFit="1" customWidth="1"/>
    <col min="6671" max="6671" width="16.7265625" style="6" customWidth="1"/>
    <col min="6672" max="6672" width="7.26953125" style="6" bestFit="1" customWidth="1"/>
    <col min="6673" max="6673" width="16.7265625" style="6" customWidth="1"/>
    <col min="6674" max="6917" width="9" style="6"/>
    <col min="6918" max="6918" width="16.26953125" style="6" customWidth="1"/>
    <col min="6919" max="6919" width="9" style="6"/>
    <col min="6920" max="6920" width="11.36328125" style="6" customWidth="1"/>
    <col min="6921" max="6922" width="9" style="6"/>
    <col min="6923" max="6923" width="23" style="6" bestFit="1" customWidth="1"/>
    <col min="6924" max="6924" width="10" style="6" customWidth="1"/>
    <col min="6925" max="6925" width="6.26953125" style="6" bestFit="1" customWidth="1"/>
    <col min="6926" max="6926" width="7.26953125" style="6" bestFit="1" customWidth="1"/>
    <col min="6927" max="6927" width="16.7265625" style="6" customWidth="1"/>
    <col min="6928" max="6928" width="7.26953125" style="6" bestFit="1" customWidth="1"/>
    <col min="6929" max="6929" width="16.7265625" style="6" customWidth="1"/>
    <col min="6930" max="7173" width="9" style="6"/>
    <col min="7174" max="7174" width="16.26953125" style="6" customWidth="1"/>
    <col min="7175" max="7175" width="9" style="6"/>
    <col min="7176" max="7176" width="11.36328125" style="6" customWidth="1"/>
    <col min="7177" max="7178" width="9" style="6"/>
    <col min="7179" max="7179" width="23" style="6" bestFit="1" customWidth="1"/>
    <col min="7180" max="7180" width="10" style="6" customWidth="1"/>
    <col min="7181" max="7181" width="6.26953125" style="6" bestFit="1" customWidth="1"/>
    <col min="7182" max="7182" width="7.26953125" style="6" bestFit="1" customWidth="1"/>
    <col min="7183" max="7183" width="16.7265625" style="6" customWidth="1"/>
    <col min="7184" max="7184" width="7.26953125" style="6" bestFit="1" customWidth="1"/>
    <col min="7185" max="7185" width="16.7265625" style="6" customWidth="1"/>
    <col min="7186" max="7429" width="9" style="6"/>
    <col min="7430" max="7430" width="16.26953125" style="6" customWidth="1"/>
    <col min="7431" max="7431" width="9" style="6"/>
    <col min="7432" max="7432" width="11.36328125" style="6" customWidth="1"/>
    <col min="7433" max="7434" width="9" style="6"/>
    <col min="7435" max="7435" width="23" style="6" bestFit="1" customWidth="1"/>
    <col min="7436" max="7436" width="10" style="6" customWidth="1"/>
    <col min="7437" max="7437" width="6.26953125" style="6" bestFit="1" customWidth="1"/>
    <col min="7438" max="7438" width="7.26953125" style="6" bestFit="1" customWidth="1"/>
    <col min="7439" max="7439" width="16.7265625" style="6" customWidth="1"/>
    <col min="7440" max="7440" width="7.26953125" style="6" bestFit="1" customWidth="1"/>
    <col min="7441" max="7441" width="16.7265625" style="6" customWidth="1"/>
    <col min="7442" max="7685" width="9" style="6"/>
    <col min="7686" max="7686" width="16.26953125" style="6" customWidth="1"/>
    <col min="7687" max="7687" width="9" style="6"/>
    <col min="7688" max="7688" width="11.36328125" style="6" customWidth="1"/>
    <col min="7689" max="7690" width="9" style="6"/>
    <col min="7691" max="7691" width="23" style="6" bestFit="1" customWidth="1"/>
    <col min="7692" max="7692" width="10" style="6" customWidth="1"/>
    <col min="7693" max="7693" width="6.26953125" style="6" bestFit="1" customWidth="1"/>
    <col min="7694" max="7694" width="7.26953125" style="6" bestFit="1" customWidth="1"/>
    <col min="7695" max="7695" width="16.7265625" style="6" customWidth="1"/>
    <col min="7696" max="7696" width="7.26953125" style="6" bestFit="1" customWidth="1"/>
    <col min="7697" max="7697" width="16.7265625" style="6" customWidth="1"/>
    <col min="7698" max="7941" width="9" style="6"/>
    <col min="7942" max="7942" width="16.26953125" style="6" customWidth="1"/>
    <col min="7943" max="7943" width="9" style="6"/>
    <col min="7944" max="7944" width="11.36328125" style="6" customWidth="1"/>
    <col min="7945" max="7946" width="9" style="6"/>
    <col min="7947" max="7947" width="23" style="6" bestFit="1" customWidth="1"/>
    <col min="7948" max="7948" width="10" style="6" customWidth="1"/>
    <col min="7949" max="7949" width="6.26953125" style="6" bestFit="1" customWidth="1"/>
    <col min="7950" max="7950" width="7.26953125" style="6" bestFit="1" customWidth="1"/>
    <col min="7951" max="7951" width="16.7265625" style="6" customWidth="1"/>
    <col min="7952" max="7952" width="7.26953125" style="6" bestFit="1" customWidth="1"/>
    <col min="7953" max="7953" width="16.7265625" style="6" customWidth="1"/>
    <col min="7954" max="8197" width="9" style="6"/>
    <col min="8198" max="8198" width="16.26953125" style="6" customWidth="1"/>
    <col min="8199" max="8199" width="9" style="6"/>
    <col min="8200" max="8200" width="11.36328125" style="6" customWidth="1"/>
    <col min="8201" max="8202" width="9" style="6"/>
    <col min="8203" max="8203" width="23" style="6" bestFit="1" customWidth="1"/>
    <col min="8204" max="8204" width="10" style="6" customWidth="1"/>
    <col min="8205" max="8205" width="6.26953125" style="6" bestFit="1" customWidth="1"/>
    <col min="8206" max="8206" width="7.26953125" style="6" bestFit="1" customWidth="1"/>
    <col min="8207" max="8207" width="16.7265625" style="6" customWidth="1"/>
    <col min="8208" max="8208" width="7.26953125" style="6" bestFit="1" customWidth="1"/>
    <col min="8209" max="8209" width="16.7265625" style="6" customWidth="1"/>
    <col min="8210" max="8453" width="9" style="6"/>
    <col min="8454" max="8454" width="16.26953125" style="6" customWidth="1"/>
    <col min="8455" max="8455" width="9" style="6"/>
    <col min="8456" max="8456" width="11.36328125" style="6" customWidth="1"/>
    <col min="8457" max="8458" width="9" style="6"/>
    <col min="8459" max="8459" width="23" style="6" bestFit="1" customWidth="1"/>
    <col min="8460" max="8460" width="10" style="6" customWidth="1"/>
    <col min="8461" max="8461" width="6.26953125" style="6" bestFit="1" customWidth="1"/>
    <col min="8462" max="8462" width="7.26953125" style="6" bestFit="1" customWidth="1"/>
    <col min="8463" max="8463" width="16.7265625" style="6" customWidth="1"/>
    <col min="8464" max="8464" width="7.26953125" style="6" bestFit="1" customWidth="1"/>
    <col min="8465" max="8465" width="16.7265625" style="6" customWidth="1"/>
    <col min="8466" max="8709" width="9" style="6"/>
    <col min="8710" max="8710" width="16.26953125" style="6" customWidth="1"/>
    <col min="8711" max="8711" width="9" style="6"/>
    <col min="8712" max="8712" width="11.36328125" style="6" customWidth="1"/>
    <col min="8713" max="8714" width="9" style="6"/>
    <col min="8715" max="8715" width="23" style="6" bestFit="1" customWidth="1"/>
    <col min="8716" max="8716" width="10" style="6" customWidth="1"/>
    <col min="8717" max="8717" width="6.26953125" style="6" bestFit="1" customWidth="1"/>
    <col min="8718" max="8718" width="7.26953125" style="6" bestFit="1" customWidth="1"/>
    <col min="8719" max="8719" width="16.7265625" style="6" customWidth="1"/>
    <col min="8720" max="8720" width="7.26953125" style="6" bestFit="1" customWidth="1"/>
    <col min="8721" max="8721" width="16.7265625" style="6" customWidth="1"/>
    <col min="8722" max="8965" width="9" style="6"/>
    <col min="8966" max="8966" width="16.26953125" style="6" customWidth="1"/>
    <col min="8967" max="8967" width="9" style="6"/>
    <col min="8968" max="8968" width="11.36328125" style="6" customWidth="1"/>
    <col min="8969" max="8970" width="9" style="6"/>
    <col min="8971" max="8971" width="23" style="6" bestFit="1" customWidth="1"/>
    <col min="8972" max="8972" width="10" style="6" customWidth="1"/>
    <col min="8973" max="8973" width="6.26953125" style="6" bestFit="1" customWidth="1"/>
    <col min="8974" max="8974" width="7.26953125" style="6" bestFit="1" customWidth="1"/>
    <col min="8975" max="8975" width="16.7265625" style="6" customWidth="1"/>
    <col min="8976" max="8976" width="7.26953125" style="6" bestFit="1" customWidth="1"/>
    <col min="8977" max="8977" width="16.7265625" style="6" customWidth="1"/>
    <col min="8978" max="9221" width="9" style="6"/>
    <col min="9222" max="9222" width="16.26953125" style="6" customWidth="1"/>
    <col min="9223" max="9223" width="9" style="6"/>
    <col min="9224" max="9224" width="11.36328125" style="6" customWidth="1"/>
    <col min="9225" max="9226" width="9" style="6"/>
    <col min="9227" max="9227" width="23" style="6" bestFit="1" customWidth="1"/>
    <col min="9228" max="9228" width="10" style="6" customWidth="1"/>
    <col min="9229" max="9229" width="6.26953125" style="6" bestFit="1" customWidth="1"/>
    <col min="9230" max="9230" width="7.26953125" style="6" bestFit="1" customWidth="1"/>
    <col min="9231" max="9231" width="16.7265625" style="6" customWidth="1"/>
    <col min="9232" max="9232" width="7.26953125" style="6" bestFit="1" customWidth="1"/>
    <col min="9233" max="9233" width="16.7265625" style="6" customWidth="1"/>
    <col min="9234" max="9477" width="9" style="6"/>
    <col min="9478" max="9478" width="16.26953125" style="6" customWidth="1"/>
    <col min="9479" max="9479" width="9" style="6"/>
    <col min="9480" max="9480" width="11.36328125" style="6" customWidth="1"/>
    <col min="9481" max="9482" width="9" style="6"/>
    <col min="9483" max="9483" width="23" style="6" bestFit="1" customWidth="1"/>
    <col min="9484" max="9484" width="10" style="6" customWidth="1"/>
    <col min="9485" max="9485" width="6.26953125" style="6" bestFit="1" customWidth="1"/>
    <col min="9486" max="9486" width="7.26953125" style="6" bestFit="1" customWidth="1"/>
    <col min="9487" max="9487" width="16.7265625" style="6" customWidth="1"/>
    <col min="9488" max="9488" width="7.26953125" style="6" bestFit="1" customWidth="1"/>
    <col min="9489" max="9489" width="16.7265625" style="6" customWidth="1"/>
    <col min="9490" max="9733" width="9" style="6"/>
    <col min="9734" max="9734" width="16.26953125" style="6" customWidth="1"/>
    <col min="9735" max="9735" width="9" style="6"/>
    <col min="9736" max="9736" width="11.36328125" style="6" customWidth="1"/>
    <col min="9737" max="9738" width="9" style="6"/>
    <col min="9739" max="9739" width="23" style="6" bestFit="1" customWidth="1"/>
    <col min="9740" max="9740" width="10" style="6" customWidth="1"/>
    <col min="9741" max="9741" width="6.26953125" style="6" bestFit="1" customWidth="1"/>
    <col min="9742" max="9742" width="7.26953125" style="6" bestFit="1" customWidth="1"/>
    <col min="9743" max="9743" width="16.7265625" style="6" customWidth="1"/>
    <col min="9744" max="9744" width="7.26953125" style="6" bestFit="1" customWidth="1"/>
    <col min="9745" max="9745" width="16.7265625" style="6" customWidth="1"/>
    <col min="9746" max="9989" width="9" style="6"/>
    <col min="9990" max="9990" width="16.26953125" style="6" customWidth="1"/>
    <col min="9991" max="9991" width="9" style="6"/>
    <col min="9992" max="9992" width="11.36328125" style="6" customWidth="1"/>
    <col min="9993" max="9994" width="9" style="6"/>
    <col min="9995" max="9995" width="23" style="6" bestFit="1" customWidth="1"/>
    <col min="9996" max="9996" width="10" style="6" customWidth="1"/>
    <col min="9997" max="9997" width="6.26953125" style="6" bestFit="1" customWidth="1"/>
    <col min="9998" max="9998" width="7.26953125" style="6" bestFit="1" customWidth="1"/>
    <col min="9999" max="9999" width="16.7265625" style="6" customWidth="1"/>
    <col min="10000" max="10000" width="7.26953125" style="6" bestFit="1" customWidth="1"/>
    <col min="10001" max="10001" width="16.7265625" style="6" customWidth="1"/>
    <col min="10002" max="10245" width="9" style="6"/>
    <col min="10246" max="10246" width="16.26953125" style="6" customWidth="1"/>
    <col min="10247" max="10247" width="9" style="6"/>
    <col min="10248" max="10248" width="11.36328125" style="6" customWidth="1"/>
    <col min="10249" max="10250" width="9" style="6"/>
    <col min="10251" max="10251" width="23" style="6" bestFit="1" customWidth="1"/>
    <col min="10252" max="10252" width="10" style="6" customWidth="1"/>
    <col min="10253" max="10253" width="6.26953125" style="6" bestFit="1" customWidth="1"/>
    <col min="10254" max="10254" width="7.26953125" style="6" bestFit="1" customWidth="1"/>
    <col min="10255" max="10255" width="16.7265625" style="6" customWidth="1"/>
    <col min="10256" max="10256" width="7.26953125" style="6" bestFit="1" customWidth="1"/>
    <col min="10257" max="10257" width="16.7265625" style="6" customWidth="1"/>
    <col min="10258" max="10501" width="9" style="6"/>
    <col min="10502" max="10502" width="16.26953125" style="6" customWidth="1"/>
    <col min="10503" max="10503" width="9" style="6"/>
    <col min="10504" max="10504" width="11.36328125" style="6" customWidth="1"/>
    <col min="10505" max="10506" width="9" style="6"/>
    <col min="10507" max="10507" width="23" style="6" bestFit="1" customWidth="1"/>
    <col min="10508" max="10508" width="10" style="6" customWidth="1"/>
    <col min="10509" max="10509" width="6.26953125" style="6" bestFit="1" customWidth="1"/>
    <col min="10510" max="10510" width="7.26953125" style="6" bestFit="1" customWidth="1"/>
    <col min="10511" max="10511" width="16.7265625" style="6" customWidth="1"/>
    <col min="10512" max="10512" width="7.26953125" style="6" bestFit="1" customWidth="1"/>
    <col min="10513" max="10513" width="16.7265625" style="6" customWidth="1"/>
    <col min="10514" max="10757" width="9" style="6"/>
    <col min="10758" max="10758" width="16.26953125" style="6" customWidth="1"/>
    <col min="10759" max="10759" width="9" style="6"/>
    <col min="10760" max="10760" width="11.36328125" style="6" customWidth="1"/>
    <col min="10761" max="10762" width="9" style="6"/>
    <col min="10763" max="10763" width="23" style="6" bestFit="1" customWidth="1"/>
    <col min="10764" max="10764" width="10" style="6" customWidth="1"/>
    <col min="10765" max="10765" width="6.26953125" style="6" bestFit="1" customWidth="1"/>
    <col min="10766" max="10766" width="7.26953125" style="6" bestFit="1" customWidth="1"/>
    <col min="10767" max="10767" width="16.7265625" style="6" customWidth="1"/>
    <col min="10768" max="10768" width="7.26953125" style="6" bestFit="1" customWidth="1"/>
    <col min="10769" max="10769" width="16.7265625" style="6" customWidth="1"/>
    <col min="10770" max="11013" width="9" style="6"/>
    <col min="11014" max="11014" width="16.26953125" style="6" customWidth="1"/>
    <col min="11015" max="11015" width="9" style="6"/>
    <col min="11016" max="11016" width="11.36328125" style="6" customWidth="1"/>
    <col min="11017" max="11018" width="9" style="6"/>
    <col min="11019" max="11019" width="23" style="6" bestFit="1" customWidth="1"/>
    <col min="11020" max="11020" width="10" style="6" customWidth="1"/>
    <col min="11021" max="11021" width="6.26953125" style="6" bestFit="1" customWidth="1"/>
    <col min="11022" max="11022" width="7.26953125" style="6" bestFit="1" customWidth="1"/>
    <col min="11023" max="11023" width="16.7265625" style="6" customWidth="1"/>
    <col min="11024" max="11024" width="7.26953125" style="6" bestFit="1" customWidth="1"/>
    <col min="11025" max="11025" width="16.7265625" style="6" customWidth="1"/>
    <col min="11026" max="11269" width="9" style="6"/>
    <col min="11270" max="11270" width="16.26953125" style="6" customWidth="1"/>
    <col min="11271" max="11271" width="9" style="6"/>
    <col min="11272" max="11272" width="11.36328125" style="6" customWidth="1"/>
    <col min="11273" max="11274" width="9" style="6"/>
    <col min="11275" max="11275" width="23" style="6" bestFit="1" customWidth="1"/>
    <col min="11276" max="11276" width="10" style="6" customWidth="1"/>
    <col min="11277" max="11277" width="6.26953125" style="6" bestFit="1" customWidth="1"/>
    <col min="11278" max="11278" width="7.26953125" style="6" bestFit="1" customWidth="1"/>
    <col min="11279" max="11279" width="16.7265625" style="6" customWidth="1"/>
    <col min="11280" max="11280" width="7.26953125" style="6" bestFit="1" customWidth="1"/>
    <col min="11281" max="11281" width="16.7265625" style="6" customWidth="1"/>
    <col min="11282" max="11525" width="9" style="6"/>
    <col min="11526" max="11526" width="16.26953125" style="6" customWidth="1"/>
    <col min="11527" max="11527" width="9" style="6"/>
    <col min="11528" max="11528" width="11.36328125" style="6" customWidth="1"/>
    <col min="11529" max="11530" width="9" style="6"/>
    <col min="11531" max="11531" width="23" style="6" bestFit="1" customWidth="1"/>
    <col min="11532" max="11532" width="10" style="6" customWidth="1"/>
    <col min="11533" max="11533" width="6.26953125" style="6" bestFit="1" customWidth="1"/>
    <col min="11534" max="11534" width="7.26953125" style="6" bestFit="1" customWidth="1"/>
    <col min="11535" max="11535" width="16.7265625" style="6" customWidth="1"/>
    <col min="11536" max="11536" width="7.26953125" style="6" bestFit="1" customWidth="1"/>
    <col min="11537" max="11537" width="16.7265625" style="6" customWidth="1"/>
    <col min="11538" max="11781" width="9" style="6"/>
    <col min="11782" max="11782" width="16.26953125" style="6" customWidth="1"/>
    <col min="11783" max="11783" width="9" style="6"/>
    <col min="11784" max="11784" width="11.36328125" style="6" customWidth="1"/>
    <col min="11785" max="11786" width="9" style="6"/>
    <col min="11787" max="11787" width="23" style="6" bestFit="1" customWidth="1"/>
    <col min="11788" max="11788" width="10" style="6" customWidth="1"/>
    <col min="11789" max="11789" width="6.26953125" style="6" bestFit="1" customWidth="1"/>
    <col min="11790" max="11790" width="7.26953125" style="6" bestFit="1" customWidth="1"/>
    <col min="11791" max="11791" width="16.7265625" style="6" customWidth="1"/>
    <col min="11792" max="11792" width="7.26953125" style="6" bestFit="1" customWidth="1"/>
    <col min="11793" max="11793" width="16.7265625" style="6" customWidth="1"/>
    <col min="11794" max="12037" width="9" style="6"/>
    <col min="12038" max="12038" width="16.26953125" style="6" customWidth="1"/>
    <col min="12039" max="12039" width="9" style="6"/>
    <col min="12040" max="12040" width="11.36328125" style="6" customWidth="1"/>
    <col min="12041" max="12042" width="9" style="6"/>
    <col min="12043" max="12043" width="23" style="6" bestFit="1" customWidth="1"/>
    <col min="12044" max="12044" width="10" style="6" customWidth="1"/>
    <col min="12045" max="12045" width="6.26953125" style="6" bestFit="1" customWidth="1"/>
    <col min="12046" max="12046" width="7.26953125" style="6" bestFit="1" customWidth="1"/>
    <col min="12047" max="12047" width="16.7265625" style="6" customWidth="1"/>
    <col min="12048" max="12048" width="7.26953125" style="6" bestFit="1" customWidth="1"/>
    <col min="12049" max="12049" width="16.7265625" style="6" customWidth="1"/>
    <col min="12050" max="12293" width="9" style="6"/>
    <col min="12294" max="12294" width="16.26953125" style="6" customWidth="1"/>
    <col min="12295" max="12295" width="9" style="6"/>
    <col min="12296" max="12296" width="11.36328125" style="6" customWidth="1"/>
    <col min="12297" max="12298" width="9" style="6"/>
    <col min="12299" max="12299" width="23" style="6" bestFit="1" customWidth="1"/>
    <col min="12300" max="12300" width="10" style="6" customWidth="1"/>
    <col min="12301" max="12301" width="6.26953125" style="6" bestFit="1" customWidth="1"/>
    <col min="12302" max="12302" width="7.26953125" style="6" bestFit="1" customWidth="1"/>
    <col min="12303" max="12303" width="16.7265625" style="6" customWidth="1"/>
    <col min="12304" max="12304" width="7.26953125" style="6" bestFit="1" customWidth="1"/>
    <col min="12305" max="12305" width="16.7265625" style="6" customWidth="1"/>
    <col min="12306" max="12549" width="9" style="6"/>
    <col min="12550" max="12550" width="16.26953125" style="6" customWidth="1"/>
    <col min="12551" max="12551" width="9" style="6"/>
    <col min="12552" max="12552" width="11.36328125" style="6" customWidth="1"/>
    <col min="12553" max="12554" width="9" style="6"/>
    <col min="12555" max="12555" width="23" style="6" bestFit="1" customWidth="1"/>
    <col min="12556" max="12556" width="10" style="6" customWidth="1"/>
    <col min="12557" max="12557" width="6.26953125" style="6" bestFit="1" customWidth="1"/>
    <col min="12558" max="12558" width="7.26953125" style="6" bestFit="1" customWidth="1"/>
    <col min="12559" max="12559" width="16.7265625" style="6" customWidth="1"/>
    <col min="12560" max="12560" width="7.26953125" style="6" bestFit="1" customWidth="1"/>
    <col min="12561" max="12561" width="16.7265625" style="6" customWidth="1"/>
    <col min="12562" max="12805" width="9" style="6"/>
    <col min="12806" max="12806" width="16.26953125" style="6" customWidth="1"/>
    <col min="12807" max="12807" width="9" style="6"/>
    <col min="12808" max="12808" width="11.36328125" style="6" customWidth="1"/>
    <col min="12809" max="12810" width="9" style="6"/>
    <col min="12811" max="12811" width="23" style="6" bestFit="1" customWidth="1"/>
    <col min="12812" max="12812" width="10" style="6" customWidth="1"/>
    <col min="12813" max="12813" width="6.26953125" style="6" bestFit="1" customWidth="1"/>
    <col min="12814" max="12814" width="7.26953125" style="6" bestFit="1" customWidth="1"/>
    <col min="12815" max="12815" width="16.7265625" style="6" customWidth="1"/>
    <col min="12816" max="12816" width="7.26953125" style="6" bestFit="1" customWidth="1"/>
    <col min="12817" max="12817" width="16.7265625" style="6" customWidth="1"/>
    <col min="12818" max="13061" width="9" style="6"/>
    <col min="13062" max="13062" width="16.26953125" style="6" customWidth="1"/>
    <col min="13063" max="13063" width="9" style="6"/>
    <col min="13064" max="13064" width="11.36328125" style="6" customWidth="1"/>
    <col min="13065" max="13066" width="9" style="6"/>
    <col min="13067" max="13067" width="23" style="6" bestFit="1" customWidth="1"/>
    <col min="13068" max="13068" width="10" style="6" customWidth="1"/>
    <col min="13069" max="13069" width="6.26953125" style="6" bestFit="1" customWidth="1"/>
    <col min="13070" max="13070" width="7.26953125" style="6" bestFit="1" customWidth="1"/>
    <col min="13071" max="13071" width="16.7265625" style="6" customWidth="1"/>
    <col min="13072" max="13072" width="7.26953125" style="6" bestFit="1" customWidth="1"/>
    <col min="13073" max="13073" width="16.7265625" style="6" customWidth="1"/>
    <col min="13074" max="13317" width="9" style="6"/>
    <col min="13318" max="13318" width="16.26953125" style="6" customWidth="1"/>
    <col min="13319" max="13319" width="9" style="6"/>
    <col min="13320" max="13320" width="11.36328125" style="6" customWidth="1"/>
    <col min="13321" max="13322" width="9" style="6"/>
    <col min="13323" max="13323" width="23" style="6" bestFit="1" customWidth="1"/>
    <col min="13324" max="13324" width="10" style="6" customWidth="1"/>
    <col min="13325" max="13325" width="6.26953125" style="6" bestFit="1" customWidth="1"/>
    <col min="13326" max="13326" width="7.26953125" style="6" bestFit="1" customWidth="1"/>
    <col min="13327" max="13327" width="16.7265625" style="6" customWidth="1"/>
    <col min="13328" max="13328" width="7.26953125" style="6" bestFit="1" customWidth="1"/>
    <col min="13329" max="13329" width="16.7265625" style="6" customWidth="1"/>
    <col min="13330" max="13573" width="9" style="6"/>
    <col min="13574" max="13574" width="16.26953125" style="6" customWidth="1"/>
    <col min="13575" max="13575" width="9" style="6"/>
    <col min="13576" max="13576" width="11.36328125" style="6" customWidth="1"/>
    <col min="13577" max="13578" width="9" style="6"/>
    <col min="13579" max="13579" width="23" style="6" bestFit="1" customWidth="1"/>
    <col min="13580" max="13580" width="10" style="6" customWidth="1"/>
    <col min="13581" max="13581" width="6.26953125" style="6" bestFit="1" customWidth="1"/>
    <col min="13582" max="13582" width="7.26953125" style="6" bestFit="1" customWidth="1"/>
    <col min="13583" max="13583" width="16.7265625" style="6" customWidth="1"/>
    <col min="13584" max="13584" width="7.26953125" style="6" bestFit="1" customWidth="1"/>
    <col min="13585" max="13585" width="16.7265625" style="6" customWidth="1"/>
    <col min="13586" max="13829" width="9" style="6"/>
    <col min="13830" max="13830" width="16.26953125" style="6" customWidth="1"/>
    <col min="13831" max="13831" width="9" style="6"/>
    <col min="13832" max="13832" width="11.36328125" style="6" customWidth="1"/>
    <col min="13833" max="13834" width="9" style="6"/>
    <col min="13835" max="13835" width="23" style="6" bestFit="1" customWidth="1"/>
    <col min="13836" max="13836" width="10" style="6" customWidth="1"/>
    <col min="13837" max="13837" width="6.26953125" style="6" bestFit="1" customWidth="1"/>
    <col min="13838" max="13838" width="7.26953125" style="6" bestFit="1" customWidth="1"/>
    <col min="13839" max="13839" width="16.7265625" style="6" customWidth="1"/>
    <col min="13840" max="13840" width="7.26953125" style="6" bestFit="1" customWidth="1"/>
    <col min="13841" max="13841" width="16.7265625" style="6" customWidth="1"/>
    <col min="13842" max="14085" width="9" style="6"/>
    <col min="14086" max="14086" width="16.26953125" style="6" customWidth="1"/>
    <col min="14087" max="14087" width="9" style="6"/>
    <col min="14088" max="14088" width="11.36328125" style="6" customWidth="1"/>
    <col min="14089" max="14090" width="9" style="6"/>
    <col min="14091" max="14091" width="23" style="6" bestFit="1" customWidth="1"/>
    <col min="14092" max="14092" width="10" style="6" customWidth="1"/>
    <col min="14093" max="14093" width="6.26953125" style="6" bestFit="1" customWidth="1"/>
    <col min="14094" max="14094" width="7.26953125" style="6" bestFit="1" customWidth="1"/>
    <col min="14095" max="14095" width="16.7265625" style="6" customWidth="1"/>
    <col min="14096" max="14096" width="7.26953125" style="6" bestFit="1" customWidth="1"/>
    <col min="14097" max="14097" width="16.7265625" style="6" customWidth="1"/>
    <col min="14098" max="14341" width="9" style="6"/>
    <col min="14342" max="14342" width="16.26953125" style="6" customWidth="1"/>
    <col min="14343" max="14343" width="9" style="6"/>
    <col min="14344" max="14344" width="11.36328125" style="6" customWidth="1"/>
    <col min="14345" max="14346" width="9" style="6"/>
    <col min="14347" max="14347" width="23" style="6" bestFit="1" customWidth="1"/>
    <col min="14348" max="14348" width="10" style="6" customWidth="1"/>
    <col min="14349" max="14349" width="6.26953125" style="6" bestFit="1" customWidth="1"/>
    <col min="14350" max="14350" width="7.26953125" style="6" bestFit="1" customWidth="1"/>
    <col min="14351" max="14351" width="16.7265625" style="6" customWidth="1"/>
    <col min="14352" max="14352" width="7.26953125" style="6" bestFit="1" customWidth="1"/>
    <col min="14353" max="14353" width="16.7265625" style="6" customWidth="1"/>
    <col min="14354" max="14597" width="9" style="6"/>
    <col min="14598" max="14598" width="16.26953125" style="6" customWidth="1"/>
    <col min="14599" max="14599" width="9" style="6"/>
    <col min="14600" max="14600" width="11.36328125" style="6" customWidth="1"/>
    <col min="14601" max="14602" width="9" style="6"/>
    <col min="14603" max="14603" width="23" style="6" bestFit="1" customWidth="1"/>
    <col min="14604" max="14604" width="10" style="6" customWidth="1"/>
    <col min="14605" max="14605" width="6.26953125" style="6" bestFit="1" customWidth="1"/>
    <col min="14606" max="14606" width="7.26953125" style="6" bestFit="1" customWidth="1"/>
    <col min="14607" max="14607" width="16.7265625" style="6" customWidth="1"/>
    <col min="14608" max="14608" width="7.26953125" style="6" bestFit="1" customWidth="1"/>
    <col min="14609" max="14609" width="16.7265625" style="6" customWidth="1"/>
    <col min="14610" max="14853" width="9" style="6"/>
    <col min="14854" max="14854" width="16.26953125" style="6" customWidth="1"/>
    <col min="14855" max="14855" width="9" style="6"/>
    <col min="14856" max="14856" width="11.36328125" style="6" customWidth="1"/>
    <col min="14857" max="14858" width="9" style="6"/>
    <col min="14859" max="14859" width="23" style="6" bestFit="1" customWidth="1"/>
    <col min="14860" max="14860" width="10" style="6" customWidth="1"/>
    <col min="14861" max="14861" width="6.26953125" style="6" bestFit="1" customWidth="1"/>
    <col min="14862" max="14862" width="7.26953125" style="6" bestFit="1" customWidth="1"/>
    <col min="14863" max="14863" width="16.7265625" style="6" customWidth="1"/>
    <col min="14864" max="14864" width="7.26953125" style="6" bestFit="1" customWidth="1"/>
    <col min="14865" max="14865" width="16.7265625" style="6" customWidth="1"/>
    <col min="14866" max="15109" width="9" style="6"/>
    <col min="15110" max="15110" width="16.26953125" style="6" customWidth="1"/>
    <col min="15111" max="15111" width="9" style="6"/>
    <col min="15112" max="15112" width="11.36328125" style="6" customWidth="1"/>
    <col min="15113" max="15114" width="9" style="6"/>
    <col min="15115" max="15115" width="23" style="6" bestFit="1" customWidth="1"/>
    <col min="15116" max="15116" width="10" style="6" customWidth="1"/>
    <col min="15117" max="15117" width="6.26953125" style="6" bestFit="1" customWidth="1"/>
    <col min="15118" max="15118" width="7.26953125" style="6" bestFit="1" customWidth="1"/>
    <col min="15119" max="15119" width="16.7265625" style="6" customWidth="1"/>
    <col min="15120" max="15120" width="7.26953125" style="6" bestFit="1" customWidth="1"/>
    <col min="15121" max="15121" width="16.7265625" style="6" customWidth="1"/>
    <col min="15122" max="15365" width="9" style="6"/>
    <col min="15366" max="15366" width="16.26953125" style="6" customWidth="1"/>
    <col min="15367" max="15367" width="9" style="6"/>
    <col min="15368" max="15368" width="11.36328125" style="6" customWidth="1"/>
    <col min="15369" max="15370" width="9" style="6"/>
    <col min="15371" max="15371" width="23" style="6" bestFit="1" customWidth="1"/>
    <col min="15372" max="15372" width="10" style="6" customWidth="1"/>
    <col min="15373" max="15373" width="6.26953125" style="6" bestFit="1" customWidth="1"/>
    <col min="15374" max="15374" width="7.26953125" style="6" bestFit="1" customWidth="1"/>
    <col min="15375" max="15375" width="16.7265625" style="6" customWidth="1"/>
    <col min="15376" max="15376" width="7.26953125" style="6" bestFit="1" customWidth="1"/>
    <col min="15377" max="15377" width="16.7265625" style="6" customWidth="1"/>
    <col min="15378" max="15621" width="9" style="6"/>
    <col min="15622" max="15622" width="16.26953125" style="6" customWidth="1"/>
    <col min="15623" max="15623" width="9" style="6"/>
    <col min="15624" max="15624" width="11.36328125" style="6" customWidth="1"/>
    <col min="15625" max="15626" width="9" style="6"/>
    <col min="15627" max="15627" width="23" style="6" bestFit="1" customWidth="1"/>
    <col min="15628" max="15628" width="10" style="6" customWidth="1"/>
    <col min="15629" max="15629" width="6.26953125" style="6" bestFit="1" customWidth="1"/>
    <col min="15630" max="15630" width="7.26953125" style="6" bestFit="1" customWidth="1"/>
    <col min="15631" max="15631" width="16.7265625" style="6" customWidth="1"/>
    <col min="15632" max="15632" width="7.26953125" style="6" bestFit="1" customWidth="1"/>
    <col min="15633" max="15633" width="16.7265625" style="6" customWidth="1"/>
    <col min="15634" max="15877" width="9" style="6"/>
    <col min="15878" max="15878" width="16.26953125" style="6" customWidth="1"/>
    <col min="15879" max="15879" width="9" style="6"/>
    <col min="15880" max="15880" width="11.36328125" style="6" customWidth="1"/>
    <col min="15881" max="15882" width="9" style="6"/>
    <col min="15883" max="15883" width="23" style="6" bestFit="1" customWidth="1"/>
    <col min="15884" max="15884" width="10" style="6" customWidth="1"/>
    <col min="15885" max="15885" width="6.26953125" style="6" bestFit="1" customWidth="1"/>
    <col min="15886" max="15886" width="7.26953125" style="6" bestFit="1" customWidth="1"/>
    <col min="15887" max="15887" width="16.7265625" style="6" customWidth="1"/>
    <col min="15888" max="15888" width="7.26953125" style="6" bestFit="1" customWidth="1"/>
    <col min="15889" max="15889" width="16.7265625" style="6" customWidth="1"/>
    <col min="15890" max="16133" width="9" style="6"/>
    <col min="16134" max="16134" width="16.26953125" style="6" customWidth="1"/>
    <col min="16135" max="16135" width="9" style="6"/>
    <col min="16136" max="16136" width="11.36328125" style="6" customWidth="1"/>
    <col min="16137" max="16138" width="9" style="6"/>
    <col min="16139" max="16139" width="23" style="6" bestFit="1" customWidth="1"/>
    <col min="16140" max="16140" width="10" style="6" customWidth="1"/>
    <col min="16141" max="16141" width="6.26953125" style="6" bestFit="1" customWidth="1"/>
    <col min="16142" max="16142" width="7.26953125" style="6" bestFit="1" customWidth="1"/>
    <col min="16143" max="16143" width="16.7265625" style="6" customWidth="1"/>
    <col min="16144" max="16144" width="7.26953125" style="6" bestFit="1" customWidth="1"/>
    <col min="16145" max="16145" width="16.7265625" style="6" customWidth="1"/>
    <col min="16146" max="16384" width="9" style="6"/>
  </cols>
  <sheetData>
    <row r="1" spans="1:26" s="19" customFormat="1" ht="23.75" customHeight="1">
      <c r="A1" s="39"/>
      <c r="B1" s="39"/>
      <c r="C1" s="39"/>
      <c r="D1" s="39"/>
      <c r="E1" s="39"/>
      <c r="F1" s="39"/>
      <c r="G1" s="39"/>
      <c r="H1" s="39"/>
      <c r="I1" s="39"/>
      <c r="J1" s="39"/>
      <c r="K1" s="39"/>
      <c r="L1" s="39"/>
      <c r="M1" s="114" t="str">
        <f>資訊清單資訊!B3 &amp;資訊清單資訊!B7 &amp;資訊清單資訊!B5</f>
        <v>石油與天然氣輸儲查核與檢測雲端平台軟體類(SW)資訊資產風險評鑑</v>
      </c>
      <c r="N1" s="114"/>
      <c r="O1" s="114"/>
      <c r="P1" s="114"/>
      <c r="Q1" s="114"/>
      <c r="R1" s="114"/>
      <c r="S1" s="114"/>
      <c r="T1" s="114"/>
      <c r="U1" s="114"/>
      <c r="V1" s="114"/>
      <c r="W1" s="114"/>
      <c r="X1" s="114"/>
      <c r="Y1" s="114"/>
      <c r="Z1" s="114"/>
    </row>
    <row r="2" spans="1:26">
      <c r="M2" s="41" t="s">
        <v>9</v>
      </c>
      <c r="N2" s="152" t="str">
        <f>資訊清單資訊!B7</f>
        <v>軟體類(SW)</v>
      </c>
      <c r="O2" s="153"/>
      <c r="P2" s="154"/>
      <c r="Q2" s="45"/>
      <c r="R2" s="33" t="s">
        <v>11</v>
      </c>
      <c r="S2" s="17">
        <f>IF(ISNA(VLOOKUP($N$3,ALL_LIST,16,FALSE)), "",VLOOKUP($N$3,ALL_LIST,16,FALSE))</f>
        <v>3</v>
      </c>
    </row>
    <row r="3" spans="1:26" ht="31.75" customHeight="1">
      <c r="M3" s="44" t="s">
        <v>5</v>
      </c>
      <c r="N3" s="155" t="s">
        <v>177</v>
      </c>
      <c r="O3" s="156"/>
      <c r="P3" s="157"/>
      <c r="R3" s="32" t="s">
        <v>72</v>
      </c>
      <c r="S3" s="18">
        <f>IF(ISNA(VLOOKUP($N$3,ALL_LIST,8,FALSE)), "",VLOOKUP($N$3,ALL_LIST,8,FALSE))</f>
        <v>3</v>
      </c>
    </row>
    <row r="4" spans="1:26">
      <c r="M4" s="42" t="s">
        <v>10</v>
      </c>
      <c r="N4" s="158" t="str">
        <f>IF(ISNA(VLOOKUP($N$3,ALL_LIST,3,FALSE)), "",VLOOKUP($N$3,ALL_LIST,3,FALSE))</f>
        <v>石油與天然氣輸儲查核與檢測雲端平台</v>
      </c>
      <c r="O4" s="159"/>
      <c r="P4" s="160"/>
      <c r="Q4" s="45"/>
      <c r="R4" s="32" t="s">
        <v>73</v>
      </c>
      <c r="S4" s="18">
        <f>IF(ISNA(VLOOKUP($N$3,ALL_LIST,10,FALSE)), "",VLOOKUP($N$3,ALL_LIST,10,FALSE))</f>
        <v>3</v>
      </c>
    </row>
    <row r="5" spans="1:26">
      <c r="M5" s="41" t="s">
        <v>6</v>
      </c>
      <c r="N5" s="183" t="str">
        <f>IF(ISNA(VLOOKUP($N$3,ALL_LIST,17,FALSE)), "",VLOOKUP($N$3,ALL_LIST,17,FALSE))</f>
        <v>賴斐瓔 </v>
      </c>
      <c r="O5" s="184"/>
      <c r="P5" s="185"/>
      <c r="Q5" s="45"/>
      <c r="R5" s="32" t="s">
        <v>74</v>
      </c>
      <c r="S5" s="18">
        <f>IF(ISNA(VLOOKUP($N$3,ALL_LIST,12,FALSE)), " ",VLOOKUP($N$3,ALL_LIST,12,FALSE))</f>
        <v>2</v>
      </c>
    </row>
    <row r="6" spans="1:26">
      <c r="M6" s="43" t="s">
        <v>7</v>
      </c>
      <c r="N6" s="161" t="s">
        <v>205</v>
      </c>
      <c r="O6" s="162"/>
      <c r="P6" s="163"/>
      <c r="R6" s="32" t="s">
        <v>75</v>
      </c>
      <c r="S6" s="18">
        <f>IF(ISNA(VLOOKUP($N$3,ALL_LIST,14,FALSE)), "",VLOOKUP($N$3,ALL_LIST,14,FALSE))</f>
        <v>3</v>
      </c>
    </row>
    <row r="7" spans="1:26">
      <c r="M7" s="43" t="s">
        <v>8</v>
      </c>
      <c r="N7" s="186" t="s">
        <v>175</v>
      </c>
      <c r="O7" s="187"/>
      <c r="P7" s="188"/>
      <c r="Q7" s="45"/>
      <c r="R7" s="34" t="s">
        <v>12</v>
      </c>
      <c r="S7" s="25">
        <f>MAX(Y11:Y35)</f>
        <v>36</v>
      </c>
    </row>
    <row r="10" spans="1:26" s="20" customFormat="1" ht="16">
      <c r="A10" s="35" t="s">
        <v>13</v>
      </c>
      <c r="B10" s="35" t="s">
        <v>14</v>
      </c>
      <c r="C10" s="35" t="s">
        <v>15</v>
      </c>
      <c r="D10" s="35" t="s">
        <v>16</v>
      </c>
      <c r="E10" s="35" t="s">
        <v>3</v>
      </c>
      <c r="F10" s="35" t="s">
        <v>17</v>
      </c>
      <c r="G10" s="36" t="s">
        <v>18</v>
      </c>
      <c r="H10" s="36" t="s">
        <v>19</v>
      </c>
      <c r="I10" s="36" t="s">
        <v>20</v>
      </c>
      <c r="J10" s="36" t="s">
        <v>21</v>
      </c>
      <c r="K10" s="37" t="s">
        <v>22</v>
      </c>
      <c r="L10" s="38" t="s">
        <v>31</v>
      </c>
      <c r="M10" s="149" t="s">
        <v>23</v>
      </c>
      <c r="N10" s="150"/>
      <c r="O10" s="151"/>
      <c r="P10" s="149" t="s">
        <v>4</v>
      </c>
      <c r="Q10" s="150"/>
      <c r="R10" s="150"/>
      <c r="S10" s="151"/>
      <c r="T10" s="31" t="s">
        <v>24</v>
      </c>
      <c r="U10" s="31" t="s">
        <v>25</v>
      </c>
      <c r="V10" s="31" t="s">
        <v>26</v>
      </c>
      <c r="W10" s="31" t="s">
        <v>27</v>
      </c>
      <c r="X10" s="31" t="s">
        <v>26</v>
      </c>
      <c r="Y10" s="31" t="s">
        <v>28</v>
      </c>
      <c r="Z10" s="31" t="s">
        <v>29</v>
      </c>
    </row>
    <row r="11" spans="1:26" ht="31">
      <c r="A11" s="54" t="str">
        <f>$N$3</f>
        <v>材1-1-SW-01</v>
      </c>
      <c r="B11" s="55">
        <f t="shared" ref="B11:B25" si="0">VLOOKUP($N$3,ALL_LIST,2,FALSE)</f>
        <v>0</v>
      </c>
      <c r="C11" s="55" t="str">
        <f t="shared" ref="C11:C25" si="1">VLOOKUP($N$3,ALL_LIST,3,FALSE)</f>
        <v>石油與天然氣輸儲查核與檢測雲端平台</v>
      </c>
      <c r="D11" s="55" t="str">
        <f t="shared" ref="D11:D25" si="2">VLOOKUP($N$3,ALL_LIST,4,FALSE)</f>
        <v>承接計畫建置的系統</v>
      </c>
      <c r="E11" s="55">
        <f t="shared" ref="E11:E25" si="3">VLOOKUP($N$3,ALL_LIST,6,FALSE)</f>
        <v>1</v>
      </c>
      <c r="F11" s="55" t="str">
        <f t="shared" ref="F11:F25" si="4">VLOOKUP($N$3,ALL_LIST,7,FALSE)</f>
        <v>劉莉晶</v>
      </c>
      <c r="G11" s="55">
        <f t="shared" ref="G11:G25" si="5">VLOOKUP($N$3,ALL_LIST,8,FALSE)</f>
        <v>3</v>
      </c>
      <c r="H11" s="55">
        <f t="shared" ref="H11:H25" si="6">VLOOKUP($N$3,ALL_LIST,10,FALSE)</f>
        <v>3</v>
      </c>
      <c r="I11" s="55">
        <f t="shared" ref="I11:I25" si="7">VLOOKUP($N$3,ALL_LIST,12,FALSE)</f>
        <v>2</v>
      </c>
      <c r="J11" s="55">
        <f t="shared" ref="J11:J25" si="8">VLOOKUP($N$3,ALL_LIST,14,FALSE)</f>
        <v>3</v>
      </c>
      <c r="K11" s="56">
        <f t="shared" ref="K11:K25" si="9">VLOOKUP($N$3,ALL_LIST,16,FALSE)</f>
        <v>3</v>
      </c>
      <c r="L11" s="56">
        <f t="shared" ref="L11:L25" si="10">$S$7</f>
        <v>36</v>
      </c>
      <c r="M11" s="120" t="s">
        <v>160</v>
      </c>
      <c r="N11" s="121"/>
      <c r="O11" s="122"/>
      <c r="P11" s="118" t="s">
        <v>111</v>
      </c>
      <c r="Q11" s="119" t="s">
        <v>112</v>
      </c>
      <c r="R11" s="119" t="s">
        <v>112</v>
      </c>
      <c r="S11" s="119" t="s">
        <v>112</v>
      </c>
      <c r="T11" s="57" t="s">
        <v>113</v>
      </c>
      <c r="U11" s="57">
        <v>1</v>
      </c>
      <c r="V11" s="71" t="s">
        <v>203</v>
      </c>
      <c r="W11" s="57">
        <v>2</v>
      </c>
      <c r="X11" s="72" t="s">
        <v>163</v>
      </c>
      <c r="Y11" s="58">
        <f t="shared" ref="Y11:Y35" si="11">IF((T11="N"),"不適用",IF(COUNTA(U11,W11)&lt;2,"評鑑中",$S$2*U11*W11))</f>
        <v>6</v>
      </c>
      <c r="Z11" s="66"/>
    </row>
    <row r="12" spans="1:26" ht="31">
      <c r="A12" s="54" t="str">
        <f t="shared" ref="A12:A25" si="12">$N$3</f>
        <v>材1-1-SW-01</v>
      </c>
      <c r="B12" s="55">
        <f t="shared" si="0"/>
        <v>0</v>
      </c>
      <c r="C12" s="55" t="str">
        <f t="shared" si="1"/>
        <v>石油與天然氣輸儲查核與檢測雲端平台</v>
      </c>
      <c r="D12" s="55" t="str">
        <f t="shared" si="2"/>
        <v>承接計畫建置的系統</v>
      </c>
      <c r="E12" s="55">
        <f t="shared" si="3"/>
        <v>1</v>
      </c>
      <c r="F12" s="55" t="str">
        <f t="shared" si="4"/>
        <v>劉莉晶</v>
      </c>
      <c r="G12" s="55">
        <f t="shared" si="5"/>
        <v>3</v>
      </c>
      <c r="H12" s="55">
        <f t="shared" si="6"/>
        <v>3</v>
      </c>
      <c r="I12" s="55">
        <f t="shared" si="7"/>
        <v>2</v>
      </c>
      <c r="J12" s="55">
        <f t="shared" si="8"/>
        <v>3</v>
      </c>
      <c r="K12" s="56">
        <f t="shared" si="9"/>
        <v>3</v>
      </c>
      <c r="L12" s="56">
        <f t="shared" si="10"/>
        <v>36</v>
      </c>
      <c r="M12" s="128" t="s">
        <v>114</v>
      </c>
      <c r="N12" s="129"/>
      <c r="O12" s="130"/>
      <c r="P12" s="147" t="s">
        <v>115</v>
      </c>
      <c r="Q12" s="148" t="s">
        <v>116</v>
      </c>
      <c r="R12" s="148" t="s">
        <v>116</v>
      </c>
      <c r="S12" s="148" t="s">
        <v>116</v>
      </c>
      <c r="T12" s="57" t="s">
        <v>113</v>
      </c>
      <c r="U12" s="57">
        <v>1</v>
      </c>
      <c r="V12" s="72" t="s">
        <v>162</v>
      </c>
      <c r="W12" s="57">
        <v>2</v>
      </c>
      <c r="X12" s="72" t="s">
        <v>163</v>
      </c>
      <c r="Y12" s="58">
        <f t="shared" si="11"/>
        <v>6</v>
      </c>
      <c r="Z12" s="66"/>
    </row>
    <row r="13" spans="1:26" ht="31">
      <c r="A13" s="54" t="str">
        <f t="shared" si="12"/>
        <v>材1-1-SW-01</v>
      </c>
      <c r="B13" s="55">
        <f t="shared" si="0"/>
        <v>0</v>
      </c>
      <c r="C13" s="55" t="str">
        <f t="shared" si="1"/>
        <v>石油與天然氣輸儲查核與檢測雲端平台</v>
      </c>
      <c r="D13" s="55" t="str">
        <f t="shared" si="2"/>
        <v>承接計畫建置的系統</v>
      </c>
      <c r="E13" s="55">
        <f t="shared" si="3"/>
        <v>1</v>
      </c>
      <c r="F13" s="55" t="str">
        <f t="shared" si="4"/>
        <v>劉莉晶</v>
      </c>
      <c r="G13" s="55">
        <f t="shared" si="5"/>
        <v>3</v>
      </c>
      <c r="H13" s="55">
        <f t="shared" si="6"/>
        <v>3</v>
      </c>
      <c r="I13" s="55">
        <f t="shared" si="7"/>
        <v>2</v>
      </c>
      <c r="J13" s="55">
        <f t="shared" si="8"/>
        <v>3</v>
      </c>
      <c r="K13" s="56">
        <f t="shared" si="9"/>
        <v>3</v>
      </c>
      <c r="L13" s="56">
        <f t="shared" si="10"/>
        <v>36</v>
      </c>
      <c r="M13" s="128" t="s">
        <v>114</v>
      </c>
      <c r="N13" s="129"/>
      <c r="O13" s="130"/>
      <c r="P13" s="147" t="s">
        <v>117</v>
      </c>
      <c r="Q13" s="148" t="s">
        <v>118</v>
      </c>
      <c r="R13" s="148" t="s">
        <v>118</v>
      </c>
      <c r="S13" s="148" t="s">
        <v>118</v>
      </c>
      <c r="T13" s="57" t="s">
        <v>113</v>
      </c>
      <c r="U13" s="57">
        <v>1</v>
      </c>
      <c r="V13" s="71" t="s">
        <v>203</v>
      </c>
      <c r="W13" s="57">
        <v>2</v>
      </c>
      <c r="X13" s="72" t="s">
        <v>163</v>
      </c>
      <c r="Y13" s="58">
        <f t="shared" si="11"/>
        <v>6</v>
      </c>
      <c r="Z13" s="66"/>
    </row>
    <row r="14" spans="1:26" ht="31">
      <c r="A14" s="54" t="str">
        <f t="shared" si="12"/>
        <v>材1-1-SW-01</v>
      </c>
      <c r="B14" s="55">
        <f t="shared" si="0"/>
        <v>0</v>
      </c>
      <c r="C14" s="55" t="str">
        <f t="shared" si="1"/>
        <v>石油與天然氣輸儲查核與檢測雲端平台</v>
      </c>
      <c r="D14" s="55" t="str">
        <f t="shared" si="2"/>
        <v>承接計畫建置的系統</v>
      </c>
      <c r="E14" s="55">
        <f t="shared" si="3"/>
        <v>1</v>
      </c>
      <c r="F14" s="55" t="str">
        <f t="shared" si="4"/>
        <v>劉莉晶</v>
      </c>
      <c r="G14" s="55">
        <f t="shared" si="5"/>
        <v>3</v>
      </c>
      <c r="H14" s="55">
        <f t="shared" si="6"/>
        <v>3</v>
      </c>
      <c r="I14" s="55">
        <f t="shared" si="7"/>
        <v>2</v>
      </c>
      <c r="J14" s="55">
        <f t="shared" si="8"/>
        <v>3</v>
      </c>
      <c r="K14" s="56">
        <f t="shared" si="9"/>
        <v>3</v>
      </c>
      <c r="L14" s="56">
        <f t="shared" si="10"/>
        <v>36</v>
      </c>
      <c r="M14" s="128" t="s">
        <v>114</v>
      </c>
      <c r="N14" s="129"/>
      <c r="O14" s="130"/>
      <c r="P14" s="147" t="s">
        <v>119</v>
      </c>
      <c r="Q14" s="148" t="s">
        <v>120</v>
      </c>
      <c r="R14" s="148" t="s">
        <v>120</v>
      </c>
      <c r="S14" s="148" t="s">
        <v>120</v>
      </c>
      <c r="T14" s="57" t="s">
        <v>113</v>
      </c>
      <c r="U14" s="57">
        <v>1</v>
      </c>
      <c r="V14" s="72" t="s">
        <v>206</v>
      </c>
      <c r="W14" s="57">
        <v>2</v>
      </c>
      <c r="X14" s="72" t="s">
        <v>163</v>
      </c>
      <c r="Y14" s="58">
        <f t="shared" si="11"/>
        <v>6</v>
      </c>
      <c r="Z14" s="66"/>
    </row>
    <row r="15" spans="1:26" ht="46.5">
      <c r="A15" s="54" t="str">
        <f t="shared" si="12"/>
        <v>材1-1-SW-01</v>
      </c>
      <c r="B15" s="55">
        <f t="shared" si="0"/>
        <v>0</v>
      </c>
      <c r="C15" s="55" t="str">
        <f t="shared" si="1"/>
        <v>石油與天然氣輸儲查核與檢測雲端平台</v>
      </c>
      <c r="D15" s="55" t="str">
        <f t="shared" si="2"/>
        <v>承接計畫建置的系統</v>
      </c>
      <c r="E15" s="55">
        <f t="shared" si="3"/>
        <v>1</v>
      </c>
      <c r="F15" s="55" t="str">
        <f t="shared" si="4"/>
        <v>劉莉晶</v>
      </c>
      <c r="G15" s="55">
        <f t="shared" si="5"/>
        <v>3</v>
      </c>
      <c r="H15" s="55">
        <f t="shared" si="6"/>
        <v>3</v>
      </c>
      <c r="I15" s="55">
        <f t="shared" si="7"/>
        <v>2</v>
      </c>
      <c r="J15" s="55">
        <f t="shared" si="8"/>
        <v>3</v>
      </c>
      <c r="K15" s="56">
        <f t="shared" si="9"/>
        <v>3</v>
      </c>
      <c r="L15" s="56">
        <f t="shared" si="10"/>
        <v>36</v>
      </c>
      <c r="M15" s="128" t="s">
        <v>114</v>
      </c>
      <c r="N15" s="129"/>
      <c r="O15" s="130"/>
      <c r="P15" s="118" t="s">
        <v>121</v>
      </c>
      <c r="Q15" s="119" t="s">
        <v>122</v>
      </c>
      <c r="R15" s="119" t="s">
        <v>122</v>
      </c>
      <c r="S15" s="119" t="s">
        <v>122</v>
      </c>
      <c r="T15" s="57" t="s">
        <v>113</v>
      </c>
      <c r="U15" s="57">
        <v>1</v>
      </c>
      <c r="V15" s="72" t="s">
        <v>188</v>
      </c>
      <c r="W15" s="57">
        <v>2</v>
      </c>
      <c r="X15" s="72" t="s">
        <v>163</v>
      </c>
      <c r="Y15" s="58">
        <f t="shared" si="11"/>
        <v>6</v>
      </c>
      <c r="Z15" s="66"/>
    </row>
    <row r="16" spans="1:26" ht="31">
      <c r="A16" s="54" t="str">
        <f t="shared" si="12"/>
        <v>材1-1-SW-01</v>
      </c>
      <c r="B16" s="55">
        <f t="shared" si="0"/>
        <v>0</v>
      </c>
      <c r="C16" s="55" t="str">
        <f t="shared" si="1"/>
        <v>石油與天然氣輸儲查核與檢測雲端平台</v>
      </c>
      <c r="D16" s="55" t="str">
        <f t="shared" si="2"/>
        <v>承接計畫建置的系統</v>
      </c>
      <c r="E16" s="55">
        <f t="shared" si="3"/>
        <v>1</v>
      </c>
      <c r="F16" s="55" t="str">
        <f t="shared" si="4"/>
        <v>劉莉晶</v>
      </c>
      <c r="G16" s="55">
        <f t="shared" si="5"/>
        <v>3</v>
      </c>
      <c r="H16" s="55">
        <f t="shared" si="6"/>
        <v>3</v>
      </c>
      <c r="I16" s="55">
        <f t="shared" si="7"/>
        <v>2</v>
      </c>
      <c r="J16" s="55">
        <f t="shared" si="8"/>
        <v>3</v>
      </c>
      <c r="K16" s="56">
        <f t="shared" si="9"/>
        <v>3</v>
      </c>
      <c r="L16" s="56">
        <f t="shared" si="10"/>
        <v>36</v>
      </c>
      <c r="M16" s="128" t="s">
        <v>114</v>
      </c>
      <c r="N16" s="129"/>
      <c r="O16" s="130"/>
      <c r="P16" s="147" t="s">
        <v>123</v>
      </c>
      <c r="Q16" s="148" t="s">
        <v>124</v>
      </c>
      <c r="R16" s="148" t="s">
        <v>124</v>
      </c>
      <c r="S16" s="148" t="s">
        <v>124</v>
      </c>
      <c r="T16" s="57" t="s">
        <v>113</v>
      </c>
      <c r="U16" s="57">
        <v>1</v>
      </c>
      <c r="V16" s="72" t="s">
        <v>189</v>
      </c>
      <c r="W16" s="57">
        <v>2</v>
      </c>
      <c r="X16" s="72" t="s">
        <v>163</v>
      </c>
      <c r="Y16" s="58">
        <f t="shared" si="11"/>
        <v>6</v>
      </c>
      <c r="Z16" s="66"/>
    </row>
    <row r="17" spans="1:26" ht="46.5">
      <c r="A17" s="54" t="str">
        <f t="shared" si="12"/>
        <v>材1-1-SW-01</v>
      </c>
      <c r="B17" s="55">
        <f t="shared" si="0"/>
        <v>0</v>
      </c>
      <c r="C17" s="55" t="str">
        <f t="shared" si="1"/>
        <v>石油與天然氣輸儲查核與檢測雲端平台</v>
      </c>
      <c r="D17" s="55" t="str">
        <f t="shared" si="2"/>
        <v>承接計畫建置的系統</v>
      </c>
      <c r="E17" s="55">
        <f t="shared" si="3"/>
        <v>1</v>
      </c>
      <c r="F17" s="55" t="str">
        <f t="shared" si="4"/>
        <v>劉莉晶</v>
      </c>
      <c r="G17" s="55">
        <f t="shared" si="5"/>
        <v>3</v>
      </c>
      <c r="H17" s="55">
        <f t="shared" si="6"/>
        <v>3</v>
      </c>
      <c r="I17" s="55">
        <f t="shared" si="7"/>
        <v>2</v>
      </c>
      <c r="J17" s="55">
        <f t="shared" si="8"/>
        <v>3</v>
      </c>
      <c r="K17" s="56">
        <f t="shared" si="9"/>
        <v>3</v>
      </c>
      <c r="L17" s="56">
        <f t="shared" si="10"/>
        <v>36</v>
      </c>
      <c r="M17" s="120" t="s">
        <v>127</v>
      </c>
      <c r="N17" s="121"/>
      <c r="O17" s="122"/>
      <c r="P17" s="118" t="s">
        <v>125</v>
      </c>
      <c r="Q17" s="119" t="s">
        <v>126</v>
      </c>
      <c r="R17" s="119" t="s">
        <v>126</v>
      </c>
      <c r="S17" s="119" t="s">
        <v>126</v>
      </c>
      <c r="T17" s="57" t="s">
        <v>113</v>
      </c>
      <c r="U17" s="57">
        <v>1</v>
      </c>
      <c r="V17" s="72" t="s">
        <v>188</v>
      </c>
      <c r="W17" s="57">
        <v>2</v>
      </c>
      <c r="X17" s="72"/>
      <c r="Y17" s="58">
        <f t="shared" si="11"/>
        <v>6</v>
      </c>
      <c r="Z17" s="66"/>
    </row>
    <row r="18" spans="1:26" ht="46.5">
      <c r="A18" s="54" t="str">
        <f t="shared" si="12"/>
        <v>材1-1-SW-01</v>
      </c>
      <c r="B18" s="55">
        <f t="shared" si="0"/>
        <v>0</v>
      </c>
      <c r="C18" s="55" t="str">
        <f t="shared" si="1"/>
        <v>石油與天然氣輸儲查核與檢測雲端平台</v>
      </c>
      <c r="D18" s="55" t="str">
        <f t="shared" si="2"/>
        <v>承接計畫建置的系統</v>
      </c>
      <c r="E18" s="55">
        <f t="shared" si="3"/>
        <v>1</v>
      </c>
      <c r="F18" s="55" t="str">
        <f t="shared" si="4"/>
        <v>劉莉晶</v>
      </c>
      <c r="G18" s="55">
        <f t="shared" si="5"/>
        <v>3</v>
      </c>
      <c r="H18" s="55">
        <f t="shared" si="6"/>
        <v>3</v>
      </c>
      <c r="I18" s="55">
        <f t="shared" si="7"/>
        <v>2</v>
      </c>
      <c r="J18" s="55">
        <f t="shared" si="8"/>
        <v>3</v>
      </c>
      <c r="K18" s="56">
        <f t="shared" si="9"/>
        <v>3</v>
      </c>
      <c r="L18" s="56">
        <f t="shared" si="10"/>
        <v>36</v>
      </c>
      <c r="M18" s="142" t="s">
        <v>127</v>
      </c>
      <c r="N18" s="143"/>
      <c r="O18" s="144"/>
      <c r="P18" s="118" t="s">
        <v>128</v>
      </c>
      <c r="Q18" s="119" t="s">
        <v>129</v>
      </c>
      <c r="R18" s="119" t="s">
        <v>129</v>
      </c>
      <c r="S18" s="119" t="s">
        <v>129</v>
      </c>
      <c r="T18" s="57" t="s">
        <v>113</v>
      </c>
      <c r="U18" s="57">
        <v>1</v>
      </c>
      <c r="V18" s="72" t="s">
        <v>188</v>
      </c>
      <c r="W18" s="57">
        <v>2</v>
      </c>
      <c r="X18" s="72"/>
      <c r="Y18" s="58">
        <f t="shared" si="11"/>
        <v>6</v>
      </c>
      <c r="Z18" s="66"/>
    </row>
    <row r="19" spans="1:26" ht="16.649999999999999" customHeight="1">
      <c r="A19" s="54" t="str">
        <f t="shared" si="12"/>
        <v>材1-1-SW-01</v>
      </c>
      <c r="B19" s="55">
        <f t="shared" si="0"/>
        <v>0</v>
      </c>
      <c r="C19" s="55" t="str">
        <f t="shared" si="1"/>
        <v>石油與天然氣輸儲查核與檢測雲端平台</v>
      </c>
      <c r="D19" s="55" t="str">
        <f t="shared" si="2"/>
        <v>承接計畫建置的系統</v>
      </c>
      <c r="E19" s="55">
        <f t="shared" si="3"/>
        <v>1</v>
      </c>
      <c r="F19" s="55" t="str">
        <f t="shared" si="4"/>
        <v>劉莉晶</v>
      </c>
      <c r="G19" s="55">
        <f t="shared" si="5"/>
        <v>3</v>
      </c>
      <c r="H19" s="55">
        <f t="shared" si="6"/>
        <v>3</v>
      </c>
      <c r="I19" s="55">
        <f t="shared" si="7"/>
        <v>2</v>
      </c>
      <c r="J19" s="55">
        <f t="shared" si="8"/>
        <v>3</v>
      </c>
      <c r="K19" s="56">
        <f t="shared" si="9"/>
        <v>3</v>
      </c>
      <c r="L19" s="56">
        <f t="shared" si="10"/>
        <v>36</v>
      </c>
      <c r="M19" s="120" t="s">
        <v>159</v>
      </c>
      <c r="N19" s="121"/>
      <c r="O19" s="122"/>
      <c r="P19" s="145" t="s">
        <v>130</v>
      </c>
      <c r="Q19" s="146" t="s">
        <v>131</v>
      </c>
      <c r="R19" s="146" t="s">
        <v>131</v>
      </c>
      <c r="S19" s="146" t="s">
        <v>131</v>
      </c>
      <c r="T19" s="57" t="s">
        <v>113</v>
      </c>
      <c r="U19" s="57">
        <v>1</v>
      </c>
      <c r="V19" s="72" t="s">
        <v>190</v>
      </c>
      <c r="W19" s="57">
        <v>2</v>
      </c>
      <c r="X19" s="72" t="s">
        <v>163</v>
      </c>
      <c r="Y19" s="58">
        <f t="shared" si="11"/>
        <v>6</v>
      </c>
      <c r="Z19" s="66"/>
    </row>
    <row r="20" spans="1:26" ht="31">
      <c r="A20" s="54" t="str">
        <f t="shared" si="12"/>
        <v>材1-1-SW-01</v>
      </c>
      <c r="B20" s="55">
        <f t="shared" si="0"/>
        <v>0</v>
      </c>
      <c r="C20" s="55" t="str">
        <f t="shared" si="1"/>
        <v>石油與天然氣輸儲查核與檢測雲端平台</v>
      </c>
      <c r="D20" s="55" t="str">
        <f t="shared" si="2"/>
        <v>承接計畫建置的系統</v>
      </c>
      <c r="E20" s="55">
        <f t="shared" si="3"/>
        <v>1</v>
      </c>
      <c r="F20" s="55" t="str">
        <f t="shared" si="4"/>
        <v>劉莉晶</v>
      </c>
      <c r="G20" s="55">
        <f t="shared" si="5"/>
        <v>3</v>
      </c>
      <c r="H20" s="55">
        <f t="shared" si="6"/>
        <v>3</v>
      </c>
      <c r="I20" s="55">
        <f t="shared" si="7"/>
        <v>2</v>
      </c>
      <c r="J20" s="55">
        <f t="shared" si="8"/>
        <v>3</v>
      </c>
      <c r="K20" s="56">
        <f t="shared" si="9"/>
        <v>3</v>
      </c>
      <c r="L20" s="56">
        <f t="shared" si="10"/>
        <v>36</v>
      </c>
      <c r="M20" s="120" t="s">
        <v>133</v>
      </c>
      <c r="N20" s="121"/>
      <c r="O20" s="122"/>
      <c r="P20" s="118" t="s">
        <v>115</v>
      </c>
      <c r="Q20" s="119" t="s">
        <v>132</v>
      </c>
      <c r="R20" s="119" t="s">
        <v>132</v>
      </c>
      <c r="S20" s="119" t="s">
        <v>132</v>
      </c>
      <c r="T20" s="57" t="s">
        <v>113</v>
      </c>
      <c r="U20" s="57">
        <v>1</v>
      </c>
      <c r="V20" s="72" t="s">
        <v>191</v>
      </c>
      <c r="W20" s="57">
        <v>1</v>
      </c>
      <c r="X20" s="71"/>
      <c r="Y20" s="58">
        <f t="shared" si="11"/>
        <v>3</v>
      </c>
      <c r="Z20" s="66"/>
    </row>
    <row r="21" spans="1:26" ht="31">
      <c r="A21" s="54" t="str">
        <f t="shared" si="12"/>
        <v>材1-1-SW-01</v>
      </c>
      <c r="B21" s="55">
        <f t="shared" si="0"/>
        <v>0</v>
      </c>
      <c r="C21" s="55" t="str">
        <f t="shared" si="1"/>
        <v>石油與天然氣輸儲查核與檢測雲端平台</v>
      </c>
      <c r="D21" s="55" t="str">
        <f t="shared" si="2"/>
        <v>承接計畫建置的系統</v>
      </c>
      <c r="E21" s="55">
        <f t="shared" si="3"/>
        <v>1</v>
      </c>
      <c r="F21" s="55" t="str">
        <f t="shared" si="4"/>
        <v>劉莉晶</v>
      </c>
      <c r="G21" s="55">
        <f t="shared" si="5"/>
        <v>3</v>
      </c>
      <c r="H21" s="55">
        <f t="shared" si="6"/>
        <v>3</v>
      </c>
      <c r="I21" s="55">
        <f t="shared" si="7"/>
        <v>2</v>
      </c>
      <c r="J21" s="55">
        <f t="shared" si="8"/>
        <v>3</v>
      </c>
      <c r="K21" s="56">
        <f t="shared" si="9"/>
        <v>3</v>
      </c>
      <c r="L21" s="56">
        <f t="shared" si="10"/>
        <v>36</v>
      </c>
      <c r="M21" s="128" t="s">
        <v>133</v>
      </c>
      <c r="N21" s="129"/>
      <c r="O21" s="130"/>
      <c r="P21" s="118" t="s">
        <v>134</v>
      </c>
      <c r="Q21" s="119" t="s">
        <v>135</v>
      </c>
      <c r="R21" s="119" t="s">
        <v>135</v>
      </c>
      <c r="S21" s="119" t="s">
        <v>135</v>
      </c>
      <c r="T21" s="57" t="s">
        <v>113</v>
      </c>
      <c r="U21" s="57">
        <v>1</v>
      </c>
      <c r="V21" s="71" t="s">
        <v>192</v>
      </c>
      <c r="W21" s="57">
        <v>1</v>
      </c>
      <c r="X21" s="57"/>
      <c r="Y21" s="58">
        <f t="shared" si="11"/>
        <v>3</v>
      </c>
      <c r="Z21" s="66"/>
    </row>
    <row r="22" spans="1:26">
      <c r="A22" s="54" t="str">
        <f t="shared" si="12"/>
        <v>材1-1-SW-01</v>
      </c>
      <c r="B22" s="55">
        <f t="shared" si="0"/>
        <v>0</v>
      </c>
      <c r="C22" s="55" t="str">
        <f t="shared" si="1"/>
        <v>石油與天然氣輸儲查核與檢測雲端平台</v>
      </c>
      <c r="D22" s="55" t="str">
        <f t="shared" si="2"/>
        <v>承接計畫建置的系統</v>
      </c>
      <c r="E22" s="55">
        <f t="shared" si="3"/>
        <v>1</v>
      </c>
      <c r="F22" s="55" t="str">
        <f t="shared" si="4"/>
        <v>劉莉晶</v>
      </c>
      <c r="G22" s="55">
        <f t="shared" si="5"/>
        <v>3</v>
      </c>
      <c r="H22" s="55">
        <f t="shared" si="6"/>
        <v>3</v>
      </c>
      <c r="I22" s="55">
        <f t="shared" si="7"/>
        <v>2</v>
      </c>
      <c r="J22" s="55">
        <f t="shared" si="8"/>
        <v>3</v>
      </c>
      <c r="K22" s="56">
        <f t="shared" si="9"/>
        <v>3</v>
      </c>
      <c r="L22" s="56">
        <f t="shared" si="10"/>
        <v>36</v>
      </c>
      <c r="M22" s="128" t="s">
        <v>133</v>
      </c>
      <c r="N22" s="129"/>
      <c r="O22" s="130"/>
      <c r="P22" s="118" t="s">
        <v>136</v>
      </c>
      <c r="Q22" s="119" t="s">
        <v>137</v>
      </c>
      <c r="R22" s="119" t="s">
        <v>137</v>
      </c>
      <c r="S22" s="119" t="s">
        <v>137</v>
      </c>
      <c r="T22" s="57" t="s">
        <v>113</v>
      </c>
      <c r="U22" s="57">
        <v>1</v>
      </c>
      <c r="V22" s="71" t="s">
        <v>193</v>
      </c>
      <c r="W22" s="57">
        <v>1</v>
      </c>
      <c r="X22" s="57"/>
      <c r="Y22" s="58">
        <f t="shared" si="11"/>
        <v>3</v>
      </c>
      <c r="Z22" s="66"/>
    </row>
    <row r="23" spans="1:26" ht="31">
      <c r="A23" s="54"/>
      <c r="B23" s="55"/>
      <c r="C23" s="55"/>
      <c r="D23" s="55"/>
      <c r="E23" s="55"/>
      <c r="F23" s="55"/>
      <c r="G23" s="55"/>
      <c r="H23" s="55"/>
      <c r="I23" s="55"/>
      <c r="J23" s="55"/>
      <c r="K23" s="56"/>
      <c r="L23" s="56"/>
      <c r="M23" s="164"/>
      <c r="N23" s="177"/>
      <c r="O23" s="178"/>
      <c r="P23" s="118" t="s">
        <v>207</v>
      </c>
      <c r="Q23" s="119" t="s">
        <v>138</v>
      </c>
      <c r="R23" s="119" t="s">
        <v>138</v>
      </c>
      <c r="S23" s="119" t="s">
        <v>138</v>
      </c>
      <c r="T23" s="171" t="s">
        <v>113</v>
      </c>
      <c r="U23" s="171">
        <v>1</v>
      </c>
      <c r="V23" s="174" t="s">
        <v>208</v>
      </c>
      <c r="W23" s="171">
        <v>2</v>
      </c>
      <c r="X23" s="174" t="s">
        <v>209</v>
      </c>
      <c r="Y23" s="172">
        <f t="shared" si="11"/>
        <v>6</v>
      </c>
      <c r="Z23" s="66"/>
    </row>
    <row r="24" spans="1:26" ht="59" customHeight="1">
      <c r="A24" s="54" t="str">
        <f t="shared" si="12"/>
        <v>材1-1-SW-01</v>
      </c>
      <c r="B24" s="55">
        <f t="shared" si="0"/>
        <v>0</v>
      </c>
      <c r="C24" s="55" t="str">
        <f t="shared" si="1"/>
        <v>石油與天然氣輸儲查核與檢測雲端平台</v>
      </c>
      <c r="D24" s="55" t="str">
        <f t="shared" si="2"/>
        <v>承接計畫建置的系統</v>
      </c>
      <c r="E24" s="55">
        <f t="shared" si="3"/>
        <v>1</v>
      </c>
      <c r="F24" s="55" t="str">
        <f t="shared" si="4"/>
        <v>劉莉晶</v>
      </c>
      <c r="G24" s="55">
        <f t="shared" si="5"/>
        <v>3</v>
      </c>
      <c r="H24" s="55">
        <f t="shared" si="6"/>
        <v>3</v>
      </c>
      <c r="I24" s="55">
        <f t="shared" si="7"/>
        <v>2</v>
      </c>
      <c r="J24" s="55">
        <f t="shared" si="8"/>
        <v>3</v>
      </c>
      <c r="K24" s="56">
        <f t="shared" si="9"/>
        <v>3</v>
      </c>
      <c r="L24" s="56">
        <f t="shared" si="10"/>
        <v>36</v>
      </c>
      <c r="M24" s="128" t="s">
        <v>133</v>
      </c>
      <c r="N24" s="129"/>
      <c r="O24" s="130"/>
      <c r="P24" s="166" t="s">
        <v>210</v>
      </c>
      <c r="Q24" s="165" t="s">
        <v>211</v>
      </c>
      <c r="R24" s="165" t="s">
        <v>211</v>
      </c>
      <c r="S24" s="165" t="s">
        <v>211</v>
      </c>
      <c r="T24" s="175" t="s">
        <v>113</v>
      </c>
      <c r="U24" s="175">
        <v>3</v>
      </c>
      <c r="V24" s="176" t="s">
        <v>212</v>
      </c>
      <c r="W24" s="175">
        <v>4</v>
      </c>
      <c r="X24" s="176" t="s">
        <v>213</v>
      </c>
      <c r="Y24" s="58">
        <f t="shared" si="11"/>
        <v>36</v>
      </c>
      <c r="Z24" s="66"/>
    </row>
    <row r="25" spans="1:26" ht="31.5" thickBot="1">
      <c r="A25" s="59" t="str">
        <f t="shared" si="12"/>
        <v>材1-1-SW-01</v>
      </c>
      <c r="B25" s="60">
        <f t="shared" si="0"/>
        <v>0</v>
      </c>
      <c r="C25" s="60" t="str">
        <f t="shared" si="1"/>
        <v>石油與天然氣輸儲查核與檢測雲端平台</v>
      </c>
      <c r="D25" s="60" t="str">
        <f t="shared" si="2"/>
        <v>承接計畫建置的系統</v>
      </c>
      <c r="E25" s="60">
        <f t="shared" si="3"/>
        <v>1</v>
      </c>
      <c r="F25" s="60" t="str">
        <f t="shared" si="4"/>
        <v>劉莉晶</v>
      </c>
      <c r="G25" s="60">
        <f t="shared" si="5"/>
        <v>3</v>
      </c>
      <c r="H25" s="60">
        <f t="shared" si="6"/>
        <v>3</v>
      </c>
      <c r="I25" s="60">
        <f t="shared" si="7"/>
        <v>2</v>
      </c>
      <c r="J25" s="60">
        <f t="shared" si="8"/>
        <v>3</v>
      </c>
      <c r="K25" s="61">
        <f t="shared" si="9"/>
        <v>3</v>
      </c>
      <c r="L25" s="61">
        <f t="shared" si="10"/>
        <v>36</v>
      </c>
      <c r="M25" s="120" t="s">
        <v>158</v>
      </c>
      <c r="N25" s="121"/>
      <c r="O25" s="122"/>
      <c r="P25" s="118" t="s">
        <v>139</v>
      </c>
      <c r="Q25" s="119" t="s">
        <v>140</v>
      </c>
      <c r="R25" s="119" t="s">
        <v>140</v>
      </c>
      <c r="S25" s="119" t="s">
        <v>140</v>
      </c>
      <c r="T25" s="57" t="s">
        <v>113</v>
      </c>
      <c r="U25" s="57">
        <v>1</v>
      </c>
      <c r="V25" s="81" t="s">
        <v>194</v>
      </c>
      <c r="W25" s="57">
        <v>2</v>
      </c>
      <c r="X25" s="72" t="s">
        <v>163</v>
      </c>
      <c r="Y25" s="58">
        <f t="shared" si="11"/>
        <v>6</v>
      </c>
      <c r="Z25" s="67"/>
    </row>
    <row r="26" spans="1:26" ht="31">
      <c r="A26" s="62"/>
      <c r="B26" s="62"/>
      <c r="C26" s="62"/>
      <c r="D26" s="62"/>
      <c r="E26" s="62"/>
      <c r="F26" s="62"/>
      <c r="G26" s="62"/>
      <c r="H26" s="62"/>
      <c r="I26" s="62"/>
      <c r="J26" s="62"/>
      <c r="K26" s="62"/>
      <c r="L26" s="62"/>
      <c r="M26" s="125" t="s">
        <v>141</v>
      </c>
      <c r="N26" s="126"/>
      <c r="O26" s="127"/>
      <c r="P26" s="118" t="s">
        <v>142</v>
      </c>
      <c r="Q26" s="119" t="s">
        <v>143</v>
      </c>
      <c r="R26" s="119" t="s">
        <v>143</v>
      </c>
      <c r="S26" s="119" t="s">
        <v>143</v>
      </c>
      <c r="T26" s="57" t="s">
        <v>113</v>
      </c>
      <c r="U26" s="57">
        <v>1</v>
      </c>
      <c r="V26" s="81" t="s">
        <v>195</v>
      </c>
      <c r="W26" s="57">
        <v>2</v>
      </c>
      <c r="X26" s="72" t="s">
        <v>163</v>
      </c>
      <c r="Y26" s="58">
        <f t="shared" si="11"/>
        <v>6</v>
      </c>
      <c r="Z26" s="67"/>
    </row>
    <row r="27" spans="1:26" s="64" customFormat="1" ht="31">
      <c r="A27" s="63"/>
      <c r="B27" s="63"/>
      <c r="C27" s="63"/>
      <c r="D27" s="63"/>
      <c r="E27" s="63"/>
      <c r="F27" s="63"/>
      <c r="G27" s="63"/>
      <c r="H27" s="63"/>
      <c r="I27" s="63"/>
      <c r="J27" s="63"/>
      <c r="K27" s="63"/>
      <c r="L27" s="63"/>
      <c r="M27" s="125" t="s">
        <v>141</v>
      </c>
      <c r="N27" s="126"/>
      <c r="O27" s="127"/>
      <c r="P27" s="118" t="s">
        <v>144</v>
      </c>
      <c r="Q27" s="119" t="s">
        <v>144</v>
      </c>
      <c r="R27" s="119" t="s">
        <v>144</v>
      </c>
      <c r="S27" s="119" t="s">
        <v>144</v>
      </c>
      <c r="T27" s="57" t="s">
        <v>113</v>
      </c>
      <c r="U27" s="57">
        <v>2</v>
      </c>
      <c r="V27" s="81" t="s">
        <v>196</v>
      </c>
      <c r="W27" s="57">
        <v>2</v>
      </c>
      <c r="X27" s="72" t="s">
        <v>163</v>
      </c>
      <c r="Y27" s="58">
        <f t="shared" si="11"/>
        <v>12</v>
      </c>
      <c r="Z27" s="67"/>
    </row>
    <row r="28" spans="1:26" s="64" customFormat="1" ht="32.25" customHeight="1">
      <c r="A28" s="63"/>
      <c r="B28" s="63"/>
      <c r="C28" s="63"/>
      <c r="D28" s="63"/>
      <c r="E28" s="63"/>
      <c r="F28" s="63"/>
      <c r="G28" s="63"/>
      <c r="H28" s="63"/>
      <c r="I28" s="63"/>
      <c r="J28" s="63"/>
      <c r="K28" s="63"/>
      <c r="L28" s="63"/>
      <c r="M28" s="120" t="s">
        <v>146</v>
      </c>
      <c r="N28" s="121"/>
      <c r="O28" s="122"/>
      <c r="P28" s="118" t="s">
        <v>145</v>
      </c>
      <c r="Q28" s="119"/>
      <c r="R28" s="119"/>
      <c r="S28" s="119"/>
      <c r="T28" s="57" t="s">
        <v>176</v>
      </c>
      <c r="U28" s="73">
        <v>1</v>
      </c>
      <c r="V28" s="81" t="s">
        <v>197</v>
      </c>
      <c r="W28" s="57">
        <v>2</v>
      </c>
      <c r="X28" s="72" t="s">
        <v>163</v>
      </c>
      <c r="Y28" s="58">
        <f t="shared" si="11"/>
        <v>6</v>
      </c>
      <c r="Z28" s="68"/>
    </row>
    <row r="29" spans="1:26" s="64" customFormat="1" ht="31">
      <c r="A29" s="63"/>
      <c r="B29" s="63"/>
      <c r="C29" s="63"/>
      <c r="D29" s="63"/>
      <c r="E29" s="63"/>
      <c r="F29" s="63"/>
      <c r="G29" s="63"/>
      <c r="H29" s="63"/>
      <c r="I29" s="63"/>
      <c r="J29" s="63"/>
      <c r="K29" s="63"/>
      <c r="L29" s="63"/>
      <c r="M29" s="133" t="s">
        <v>146</v>
      </c>
      <c r="N29" s="134"/>
      <c r="O29" s="135"/>
      <c r="P29" s="118" t="s">
        <v>147</v>
      </c>
      <c r="Q29" s="119"/>
      <c r="R29" s="119"/>
      <c r="S29" s="119"/>
      <c r="T29" s="57" t="s">
        <v>176</v>
      </c>
      <c r="U29" s="73">
        <v>1</v>
      </c>
      <c r="V29" s="81" t="s">
        <v>198</v>
      </c>
      <c r="W29" s="57">
        <v>2</v>
      </c>
      <c r="X29" s="72" t="s">
        <v>163</v>
      </c>
      <c r="Y29" s="58">
        <f t="shared" si="11"/>
        <v>6</v>
      </c>
      <c r="Z29" s="68"/>
    </row>
    <row r="30" spans="1:26" s="64" customFormat="1" ht="33" customHeight="1">
      <c r="A30" s="63"/>
      <c r="B30" s="63"/>
      <c r="C30" s="63"/>
      <c r="D30" s="63"/>
      <c r="E30" s="63"/>
      <c r="F30" s="63"/>
      <c r="G30" s="63"/>
      <c r="H30" s="63"/>
      <c r="I30" s="63"/>
      <c r="J30" s="63"/>
      <c r="K30" s="63"/>
      <c r="L30" s="63"/>
      <c r="M30" s="120" t="s">
        <v>149</v>
      </c>
      <c r="N30" s="121"/>
      <c r="O30" s="122"/>
      <c r="P30" s="118" t="s">
        <v>148</v>
      </c>
      <c r="Q30" s="119"/>
      <c r="R30" s="119"/>
      <c r="S30" s="119"/>
      <c r="T30" s="57" t="s">
        <v>176</v>
      </c>
      <c r="U30" s="73">
        <v>1</v>
      </c>
      <c r="V30" s="81" t="s">
        <v>199</v>
      </c>
      <c r="W30" s="57">
        <v>2</v>
      </c>
      <c r="X30" s="72" t="s">
        <v>163</v>
      </c>
      <c r="Y30" s="58">
        <f t="shared" si="11"/>
        <v>6</v>
      </c>
      <c r="Z30" s="68"/>
    </row>
    <row r="31" spans="1:26" s="64" customFormat="1">
      <c r="A31" s="63"/>
      <c r="B31" s="63"/>
      <c r="C31" s="63"/>
      <c r="D31" s="63"/>
      <c r="E31" s="63"/>
      <c r="F31" s="63"/>
      <c r="G31" s="63"/>
      <c r="H31" s="63"/>
      <c r="I31" s="63"/>
      <c r="J31" s="63"/>
      <c r="K31" s="63"/>
      <c r="L31" s="63"/>
      <c r="M31" s="133" t="s">
        <v>149</v>
      </c>
      <c r="N31" s="134"/>
      <c r="O31" s="135"/>
      <c r="P31" s="118" t="s">
        <v>150</v>
      </c>
      <c r="Q31" s="119"/>
      <c r="R31" s="119"/>
      <c r="S31" s="119"/>
      <c r="T31" s="57" t="s">
        <v>176</v>
      </c>
      <c r="U31" s="73">
        <v>1</v>
      </c>
      <c r="V31" s="81" t="s">
        <v>200</v>
      </c>
      <c r="W31" s="57">
        <v>2</v>
      </c>
      <c r="X31" s="72" t="s">
        <v>163</v>
      </c>
      <c r="Y31" s="58">
        <f t="shared" si="11"/>
        <v>6</v>
      </c>
      <c r="Z31" s="68"/>
    </row>
    <row r="32" spans="1:26" s="64" customFormat="1" ht="46.5">
      <c r="A32" s="63"/>
      <c r="B32" s="63"/>
      <c r="C32" s="63"/>
      <c r="D32" s="63"/>
      <c r="E32" s="63"/>
      <c r="F32" s="63"/>
      <c r="G32" s="63"/>
      <c r="H32" s="63"/>
      <c r="I32" s="63"/>
      <c r="J32" s="63"/>
      <c r="K32" s="63"/>
      <c r="L32" s="63"/>
      <c r="M32" s="115" t="s">
        <v>157</v>
      </c>
      <c r="N32" s="116"/>
      <c r="O32" s="117"/>
      <c r="P32" s="118" t="s">
        <v>151</v>
      </c>
      <c r="Q32" s="119"/>
      <c r="R32" s="119"/>
      <c r="S32" s="119"/>
      <c r="T32" s="57" t="s">
        <v>176</v>
      </c>
      <c r="U32" s="73">
        <v>1</v>
      </c>
      <c r="V32" s="81" t="s">
        <v>201</v>
      </c>
      <c r="W32" s="57">
        <v>2</v>
      </c>
      <c r="X32" s="72" t="s">
        <v>163</v>
      </c>
      <c r="Y32" s="58">
        <f t="shared" si="11"/>
        <v>6</v>
      </c>
      <c r="Z32" s="68"/>
    </row>
    <row r="33" spans="1:26" s="64" customFormat="1" ht="82.5" customHeight="1">
      <c r="A33" s="63"/>
      <c r="B33" s="63"/>
      <c r="C33" s="63"/>
      <c r="D33" s="63"/>
      <c r="E33" s="63"/>
      <c r="F33" s="63"/>
      <c r="G33" s="63"/>
      <c r="H33" s="63"/>
      <c r="I33" s="63"/>
      <c r="J33" s="63"/>
      <c r="K33" s="63"/>
      <c r="L33" s="63"/>
      <c r="M33" s="120" t="s">
        <v>156</v>
      </c>
      <c r="N33" s="121"/>
      <c r="O33" s="122"/>
      <c r="P33" s="123" t="s">
        <v>152</v>
      </c>
      <c r="Q33" s="124"/>
      <c r="R33" s="124"/>
      <c r="S33" s="124"/>
      <c r="T33" s="73" t="s">
        <v>113</v>
      </c>
      <c r="U33" s="73">
        <v>1</v>
      </c>
      <c r="V33" s="182" t="s">
        <v>165</v>
      </c>
      <c r="W33" s="73">
        <v>2</v>
      </c>
      <c r="X33" s="23" t="s">
        <v>163</v>
      </c>
      <c r="Y33" s="65">
        <f t="shared" si="11"/>
        <v>6</v>
      </c>
      <c r="Z33" s="68"/>
    </row>
    <row r="34" spans="1:26" s="64" customFormat="1" ht="46.5">
      <c r="A34" s="63"/>
      <c r="B34" s="63"/>
      <c r="C34" s="63"/>
      <c r="D34" s="63"/>
      <c r="E34" s="63"/>
      <c r="F34" s="63"/>
      <c r="G34" s="63"/>
      <c r="H34" s="63"/>
      <c r="I34" s="63"/>
      <c r="J34" s="63"/>
      <c r="K34" s="63"/>
      <c r="L34" s="63"/>
      <c r="M34" s="136" t="s">
        <v>183</v>
      </c>
      <c r="N34" s="137"/>
      <c r="O34" s="138"/>
      <c r="P34" s="139" t="s">
        <v>184</v>
      </c>
      <c r="Q34" s="140"/>
      <c r="R34" s="140"/>
      <c r="S34" s="141"/>
      <c r="T34" s="73" t="s">
        <v>113</v>
      </c>
      <c r="U34" s="73">
        <v>1</v>
      </c>
      <c r="V34" s="71" t="s">
        <v>185</v>
      </c>
      <c r="W34" s="57">
        <v>3</v>
      </c>
      <c r="X34" s="71" t="s">
        <v>186</v>
      </c>
      <c r="Y34" s="65">
        <f t="shared" si="11"/>
        <v>9</v>
      </c>
      <c r="Z34" s="68"/>
    </row>
    <row r="35" spans="1:26" s="64" customFormat="1">
      <c r="A35" s="63"/>
      <c r="B35" s="63"/>
      <c r="C35" s="63"/>
      <c r="D35" s="63"/>
      <c r="E35" s="63"/>
      <c r="F35" s="63"/>
      <c r="G35" s="63"/>
      <c r="H35" s="63"/>
      <c r="I35" s="63"/>
      <c r="J35" s="63"/>
      <c r="K35" s="63"/>
      <c r="L35" s="63"/>
      <c r="M35" s="131" t="s">
        <v>153</v>
      </c>
      <c r="N35" s="131"/>
      <c r="O35" s="131"/>
      <c r="P35" s="132" t="s">
        <v>154</v>
      </c>
      <c r="Q35" s="132"/>
      <c r="R35" s="132"/>
      <c r="S35" s="132"/>
      <c r="T35" s="57" t="s">
        <v>155</v>
      </c>
      <c r="U35" s="23"/>
      <c r="V35" s="23"/>
      <c r="W35" s="23"/>
      <c r="X35" s="23"/>
      <c r="Y35" s="69" t="str">
        <f t="shared" si="11"/>
        <v>不適用</v>
      </c>
      <c r="Z35" s="67"/>
    </row>
    <row r="40" spans="1:26">
      <c r="M40" s="7"/>
    </row>
  </sheetData>
  <sheetProtection formatCells="0" formatColumns="0" formatRows="0" insertColumns="0" insertRows="0" insertHyperlinks="0" deleteColumns="0" deleteRows="0" sort="0" autoFilter="0" pivotTables="0"/>
  <autoFilter ref="M10:Z10" xr:uid="{00000000-0009-0000-0000-000003000000}">
    <filterColumn colId="0" showButton="0"/>
    <filterColumn colId="1" showButton="0"/>
    <filterColumn colId="3" showButton="0"/>
    <filterColumn colId="4" showButton="0"/>
    <filterColumn colId="5" showButton="0"/>
  </autoFilter>
  <mergeCells count="59">
    <mergeCell ref="M11:O11"/>
    <mergeCell ref="P11:S11"/>
    <mergeCell ref="M12:O12"/>
    <mergeCell ref="P12:S12"/>
    <mergeCell ref="M13:O13"/>
    <mergeCell ref="P13:S13"/>
    <mergeCell ref="M10:O10"/>
    <mergeCell ref="P10:S10"/>
    <mergeCell ref="N2:P2"/>
    <mergeCell ref="N3:P3"/>
    <mergeCell ref="N4:P4"/>
    <mergeCell ref="N5:P5"/>
    <mergeCell ref="N6:P6"/>
    <mergeCell ref="N7:P7"/>
    <mergeCell ref="P14:S14"/>
    <mergeCell ref="M15:O15"/>
    <mergeCell ref="P15:S15"/>
    <mergeCell ref="M16:O16"/>
    <mergeCell ref="P16:S16"/>
    <mergeCell ref="M14:O14"/>
    <mergeCell ref="M17:O17"/>
    <mergeCell ref="P17:S17"/>
    <mergeCell ref="M18:O18"/>
    <mergeCell ref="P18:S18"/>
    <mergeCell ref="P25:S25"/>
    <mergeCell ref="M19:O19"/>
    <mergeCell ref="P19:S19"/>
    <mergeCell ref="M20:O20"/>
    <mergeCell ref="P20:S20"/>
    <mergeCell ref="M21:O21"/>
    <mergeCell ref="P21:S21"/>
    <mergeCell ref="P23:S23"/>
    <mergeCell ref="P24:S24"/>
    <mergeCell ref="M23:O23"/>
    <mergeCell ref="M35:O35"/>
    <mergeCell ref="P35:S35"/>
    <mergeCell ref="M29:O29"/>
    <mergeCell ref="P29:S29"/>
    <mergeCell ref="M30:O30"/>
    <mergeCell ref="P30:S30"/>
    <mergeCell ref="M31:O31"/>
    <mergeCell ref="P31:S31"/>
    <mergeCell ref="M34:O34"/>
    <mergeCell ref="P34:S34"/>
    <mergeCell ref="M1:Z1"/>
    <mergeCell ref="M32:O32"/>
    <mergeCell ref="P32:S32"/>
    <mergeCell ref="M33:O33"/>
    <mergeCell ref="P33:S33"/>
    <mergeCell ref="M26:O26"/>
    <mergeCell ref="P26:S26"/>
    <mergeCell ref="M27:O27"/>
    <mergeCell ref="P27:S27"/>
    <mergeCell ref="M28:O28"/>
    <mergeCell ref="P28:S28"/>
    <mergeCell ref="M22:O22"/>
    <mergeCell ref="P22:S22"/>
    <mergeCell ref="M24:O24"/>
    <mergeCell ref="M25:O25"/>
  </mergeCells>
  <phoneticPr fontId="1" type="noConversion"/>
  <dataValidations count="2">
    <dataValidation type="list" allowBlank="1" showInputMessage="1" showErrorMessage="1" sqref="WVX983051:WVX983074 JH5:JH7 TD5:TD7 ACZ5:ACZ7 AMV5:AMV7 AWR5:AWR7 BGN5:BGN7 BQJ5:BQJ7 CAF5:CAF7 CKB5:CKB7 CTX5:CTX7 DDT5:DDT7 DNP5:DNP7 DXL5:DXL7 EHH5:EHH7 ERD5:ERD7 FAZ5:FAZ7 FKV5:FKV7 FUR5:FUR7 GEN5:GEN7 GOJ5:GOJ7 GYF5:GYF7 HIB5:HIB7 HRX5:HRX7 IBT5:IBT7 ILP5:ILP7 IVL5:IVL7 JFH5:JFH7 JPD5:JPD7 JYZ5:JYZ7 KIV5:KIV7 KSR5:KSR7 LCN5:LCN7 LMJ5:LMJ7 LWF5:LWF7 MGB5:MGB7 MPX5:MPX7 MZT5:MZT7 NJP5:NJP7 NTL5:NTL7 ODH5:ODH7 OND5:OND7 OWZ5:OWZ7 PGV5:PGV7 PQR5:PQR7 QAN5:QAN7 QKJ5:QKJ7 QUF5:QUF7 REB5:REB7 RNX5:RNX7 RXT5:RXT7 SHP5:SHP7 SRL5:SRL7 TBH5:TBH7 TLD5:TLD7 TUZ5:TUZ7 UEV5:UEV7 UOR5:UOR7 UYN5:UYN7 VIJ5:VIJ7 VSF5:VSF7 WCB5:WCB7 WLX5:WLX7 WVT5:WVT7 S65541:S65543 JH65541:JH65543 TD65541:TD65543 ACZ65541:ACZ65543 AMV65541:AMV65543 AWR65541:AWR65543 BGN65541:BGN65543 BQJ65541:BQJ65543 CAF65541:CAF65543 CKB65541:CKB65543 CTX65541:CTX65543 DDT65541:DDT65543 DNP65541:DNP65543 DXL65541:DXL65543 EHH65541:EHH65543 ERD65541:ERD65543 FAZ65541:FAZ65543 FKV65541:FKV65543 FUR65541:FUR65543 GEN65541:GEN65543 GOJ65541:GOJ65543 GYF65541:GYF65543 HIB65541:HIB65543 HRX65541:HRX65543 IBT65541:IBT65543 ILP65541:ILP65543 IVL65541:IVL65543 JFH65541:JFH65543 JPD65541:JPD65543 JYZ65541:JYZ65543 KIV65541:KIV65543 KSR65541:KSR65543 LCN65541:LCN65543 LMJ65541:LMJ65543 LWF65541:LWF65543 MGB65541:MGB65543 MPX65541:MPX65543 MZT65541:MZT65543 NJP65541:NJP65543 NTL65541:NTL65543 ODH65541:ODH65543 OND65541:OND65543 OWZ65541:OWZ65543 PGV65541:PGV65543 PQR65541:PQR65543 QAN65541:QAN65543 QKJ65541:QKJ65543 QUF65541:QUF65543 REB65541:REB65543 RNX65541:RNX65543 RXT65541:RXT65543 SHP65541:SHP65543 SRL65541:SRL65543 TBH65541:TBH65543 TLD65541:TLD65543 TUZ65541:TUZ65543 UEV65541:UEV65543 UOR65541:UOR65543 UYN65541:UYN65543 VIJ65541:VIJ65543 VSF65541:VSF65543 WCB65541:WCB65543 WLX65541:WLX65543 WVT65541:WVT65543 S131077:S131079 JH131077:JH131079 TD131077:TD131079 ACZ131077:ACZ131079 AMV131077:AMV131079 AWR131077:AWR131079 BGN131077:BGN131079 BQJ131077:BQJ131079 CAF131077:CAF131079 CKB131077:CKB131079 CTX131077:CTX131079 DDT131077:DDT131079 DNP131077:DNP131079 DXL131077:DXL131079 EHH131077:EHH131079 ERD131077:ERD131079 FAZ131077:FAZ131079 FKV131077:FKV131079 FUR131077:FUR131079 GEN131077:GEN131079 GOJ131077:GOJ131079 GYF131077:GYF131079 HIB131077:HIB131079 HRX131077:HRX131079 IBT131077:IBT131079 ILP131077:ILP131079 IVL131077:IVL131079 JFH131077:JFH131079 JPD131077:JPD131079 JYZ131077:JYZ131079 KIV131077:KIV131079 KSR131077:KSR131079 LCN131077:LCN131079 LMJ131077:LMJ131079 LWF131077:LWF131079 MGB131077:MGB131079 MPX131077:MPX131079 MZT131077:MZT131079 NJP131077:NJP131079 NTL131077:NTL131079 ODH131077:ODH131079 OND131077:OND131079 OWZ131077:OWZ131079 PGV131077:PGV131079 PQR131077:PQR131079 QAN131077:QAN131079 QKJ131077:QKJ131079 QUF131077:QUF131079 REB131077:REB131079 RNX131077:RNX131079 RXT131077:RXT131079 SHP131077:SHP131079 SRL131077:SRL131079 TBH131077:TBH131079 TLD131077:TLD131079 TUZ131077:TUZ131079 UEV131077:UEV131079 UOR131077:UOR131079 UYN131077:UYN131079 VIJ131077:VIJ131079 VSF131077:VSF131079 WCB131077:WCB131079 WLX131077:WLX131079 WVT131077:WVT131079 S196613:S196615 JH196613:JH196615 TD196613:TD196615 ACZ196613:ACZ196615 AMV196613:AMV196615 AWR196613:AWR196615 BGN196613:BGN196615 BQJ196613:BQJ196615 CAF196613:CAF196615 CKB196613:CKB196615 CTX196613:CTX196615 DDT196613:DDT196615 DNP196613:DNP196615 DXL196613:DXL196615 EHH196613:EHH196615 ERD196613:ERD196615 FAZ196613:FAZ196615 FKV196613:FKV196615 FUR196613:FUR196615 GEN196613:GEN196615 GOJ196613:GOJ196615 GYF196613:GYF196615 HIB196613:HIB196615 HRX196613:HRX196615 IBT196613:IBT196615 ILP196613:ILP196615 IVL196613:IVL196615 JFH196613:JFH196615 JPD196613:JPD196615 JYZ196613:JYZ196615 KIV196613:KIV196615 KSR196613:KSR196615 LCN196613:LCN196615 LMJ196613:LMJ196615 LWF196613:LWF196615 MGB196613:MGB196615 MPX196613:MPX196615 MZT196613:MZT196615 NJP196613:NJP196615 NTL196613:NTL196615 ODH196613:ODH196615 OND196613:OND196615 OWZ196613:OWZ196615 PGV196613:PGV196615 PQR196613:PQR196615 QAN196613:QAN196615 QKJ196613:QKJ196615 QUF196613:QUF196615 REB196613:REB196615 RNX196613:RNX196615 RXT196613:RXT196615 SHP196613:SHP196615 SRL196613:SRL196615 TBH196613:TBH196615 TLD196613:TLD196615 TUZ196613:TUZ196615 UEV196613:UEV196615 UOR196613:UOR196615 UYN196613:UYN196615 VIJ196613:VIJ196615 VSF196613:VSF196615 WCB196613:WCB196615 WLX196613:WLX196615 WVT196613:WVT196615 S262149:S262151 JH262149:JH262151 TD262149:TD262151 ACZ262149:ACZ262151 AMV262149:AMV262151 AWR262149:AWR262151 BGN262149:BGN262151 BQJ262149:BQJ262151 CAF262149:CAF262151 CKB262149:CKB262151 CTX262149:CTX262151 DDT262149:DDT262151 DNP262149:DNP262151 DXL262149:DXL262151 EHH262149:EHH262151 ERD262149:ERD262151 FAZ262149:FAZ262151 FKV262149:FKV262151 FUR262149:FUR262151 GEN262149:GEN262151 GOJ262149:GOJ262151 GYF262149:GYF262151 HIB262149:HIB262151 HRX262149:HRX262151 IBT262149:IBT262151 ILP262149:ILP262151 IVL262149:IVL262151 JFH262149:JFH262151 JPD262149:JPD262151 JYZ262149:JYZ262151 KIV262149:KIV262151 KSR262149:KSR262151 LCN262149:LCN262151 LMJ262149:LMJ262151 LWF262149:LWF262151 MGB262149:MGB262151 MPX262149:MPX262151 MZT262149:MZT262151 NJP262149:NJP262151 NTL262149:NTL262151 ODH262149:ODH262151 OND262149:OND262151 OWZ262149:OWZ262151 PGV262149:PGV262151 PQR262149:PQR262151 QAN262149:QAN262151 QKJ262149:QKJ262151 QUF262149:QUF262151 REB262149:REB262151 RNX262149:RNX262151 RXT262149:RXT262151 SHP262149:SHP262151 SRL262149:SRL262151 TBH262149:TBH262151 TLD262149:TLD262151 TUZ262149:TUZ262151 UEV262149:UEV262151 UOR262149:UOR262151 UYN262149:UYN262151 VIJ262149:VIJ262151 VSF262149:VSF262151 WCB262149:WCB262151 WLX262149:WLX262151 WVT262149:WVT262151 S327685:S327687 JH327685:JH327687 TD327685:TD327687 ACZ327685:ACZ327687 AMV327685:AMV327687 AWR327685:AWR327687 BGN327685:BGN327687 BQJ327685:BQJ327687 CAF327685:CAF327687 CKB327685:CKB327687 CTX327685:CTX327687 DDT327685:DDT327687 DNP327685:DNP327687 DXL327685:DXL327687 EHH327685:EHH327687 ERD327685:ERD327687 FAZ327685:FAZ327687 FKV327685:FKV327687 FUR327685:FUR327687 GEN327685:GEN327687 GOJ327685:GOJ327687 GYF327685:GYF327687 HIB327685:HIB327687 HRX327685:HRX327687 IBT327685:IBT327687 ILP327685:ILP327687 IVL327685:IVL327687 JFH327685:JFH327687 JPD327685:JPD327687 JYZ327685:JYZ327687 KIV327685:KIV327687 KSR327685:KSR327687 LCN327685:LCN327687 LMJ327685:LMJ327687 LWF327685:LWF327687 MGB327685:MGB327687 MPX327685:MPX327687 MZT327685:MZT327687 NJP327685:NJP327687 NTL327685:NTL327687 ODH327685:ODH327687 OND327685:OND327687 OWZ327685:OWZ327687 PGV327685:PGV327687 PQR327685:PQR327687 QAN327685:QAN327687 QKJ327685:QKJ327687 QUF327685:QUF327687 REB327685:REB327687 RNX327685:RNX327687 RXT327685:RXT327687 SHP327685:SHP327687 SRL327685:SRL327687 TBH327685:TBH327687 TLD327685:TLD327687 TUZ327685:TUZ327687 UEV327685:UEV327687 UOR327685:UOR327687 UYN327685:UYN327687 VIJ327685:VIJ327687 VSF327685:VSF327687 WCB327685:WCB327687 WLX327685:WLX327687 WVT327685:WVT327687 S393221:S393223 JH393221:JH393223 TD393221:TD393223 ACZ393221:ACZ393223 AMV393221:AMV393223 AWR393221:AWR393223 BGN393221:BGN393223 BQJ393221:BQJ393223 CAF393221:CAF393223 CKB393221:CKB393223 CTX393221:CTX393223 DDT393221:DDT393223 DNP393221:DNP393223 DXL393221:DXL393223 EHH393221:EHH393223 ERD393221:ERD393223 FAZ393221:FAZ393223 FKV393221:FKV393223 FUR393221:FUR393223 GEN393221:GEN393223 GOJ393221:GOJ393223 GYF393221:GYF393223 HIB393221:HIB393223 HRX393221:HRX393223 IBT393221:IBT393223 ILP393221:ILP393223 IVL393221:IVL393223 JFH393221:JFH393223 JPD393221:JPD393223 JYZ393221:JYZ393223 KIV393221:KIV393223 KSR393221:KSR393223 LCN393221:LCN393223 LMJ393221:LMJ393223 LWF393221:LWF393223 MGB393221:MGB393223 MPX393221:MPX393223 MZT393221:MZT393223 NJP393221:NJP393223 NTL393221:NTL393223 ODH393221:ODH393223 OND393221:OND393223 OWZ393221:OWZ393223 PGV393221:PGV393223 PQR393221:PQR393223 QAN393221:QAN393223 QKJ393221:QKJ393223 QUF393221:QUF393223 REB393221:REB393223 RNX393221:RNX393223 RXT393221:RXT393223 SHP393221:SHP393223 SRL393221:SRL393223 TBH393221:TBH393223 TLD393221:TLD393223 TUZ393221:TUZ393223 UEV393221:UEV393223 UOR393221:UOR393223 UYN393221:UYN393223 VIJ393221:VIJ393223 VSF393221:VSF393223 WCB393221:WCB393223 WLX393221:WLX393223 WVT393221:WVT393223 S458757:S458759 JH458757:JH458759 TD458757:TD458759 ACZ458757:ACZ458759 AMV458757:AMV458759 AWR458757:AWR458759 BGN458757:BGN458759 BQJ458757:BQJ458759 CAF458757:CAF458759 CKB458757:CKB458759 CTX458757:CTX458759 DDT458757:DDT458759 DNP458757:DNP458759 DXL458757:DXL458759 EHH458757:EHH458759 ERD458757:ERD458759 FAZ458757:FAZ458759 FKV458757:FKV458759 FUR458757:FUR458759 GEN458757:GEN458759 GOJ458757:GOJ458759 GYF458757:GYF458759 HIB458757:HIB458759 HRX458757:HRX458759 IBT458757:IBT458759 ILP458757:ILP458759 IVL458757:IVL458759 JFH458757:JFH458759 JPD458757:JPD458759 JYZ458757:JYZ458759 KIV458757:KIV458759 KSR458757:KSR458759 LCN458757:LCN458759 LMJ458757:LMJ458759 LWF458757:LWF458759 MGB458757:MGB458759 MPX458757:MPX458759 MZT458757:MZT458759 NJP458757:NJP458759 NTL458757:NTL458759 ODH458757:ODH458759 OND458757:OND458759 OWZ458757:OWZ458759 PGV458757:PGV458759 PQR458757:PQR458759 QAN458757:QAN458759 QKJ458757:QKJ458759 QUF458757:QUF458759 REB458757:REB458759 RNX458757:RNX458759 RXT458757:RXT458759 SHP458757:SHP458759 SRL458757:SRL458759 TBH458757:TBH458759 TLD458757:TLD458759 TUZ458757:TUZ458759 UEV458757:UEV458759 UOR458757:UOR458759 UYN458757:UYN458759 VIJ458757:VIJ458759 VSF458757:VSF458759 WCB458757:WCB458759 WLX458757:WLX458759 WVT458757:WVT458759 S524293:S524295 JH524293:JH524295 TD524293:TD524295 ACZ524293:ACZ524295 AMV524293:AMV524295 AWR524293:AWR524295 BGN524293:BGN524295 BQJ524293:BQJ524295 CAF524293:CAF524295 CKB524293:CKB524295 CTX524293:CTX524295 DDT524293:DDT524295 DNP524293:DNP524295 DXL524293:DXL524295 EHH524293:EHH524295 ERD524293:ERD524295 FAZ524293:FAZ524295 FKV524293:FKV524295 FUR524293:FUR524295 GEN524293:GEN524295 GOJ524293:GOJ524295 GYF524293:GYF524295 HIB524293:HIB524295 HRX524293:HRX524295 IBT524293:IBT524295 ILP524293:ILP524295 IVL524293:IVL524295 JFH524293:JFH524295 JPD524293:JPD524295 JYZ524293:JYZ524295 KIV524293:KIV524295 KSR524293:KSR524295 LCN524293:LCN524295 LMJ524293:LMJ524295 LWF524293:LWF524295 MGB524293:MGB524295 MPX524293:MPX524295 MZT524293:MZT524295 NJP524293:NJP524295 NTL524293:NTL524295 ODH524293:ODH524295 OND524293:OND524295 OWZ524293:OWZ524295 PGV524293:PGV524295 PQR524293:PQR524295 QAN524293:QAN524295 QKJ524293:QKJ524295 QUF524293:QUF524295 REB524293:REB524295 RNX524293:RNX524295 RXT524293:RXT524295 SHP524293:SHP524295 SRL524293:SRL524295 TBH524293:TBH524295 TLD524293:TLD524295 TUZ524293:TUZ524295 UEV524293:UEV524295 UOR524293:UOR524295 UYN524293:UYN524295 VIJ524293:VIJ524295 VSF524293:VSF524295 WCB524293:WCB524295 WLX524293:WLX524295 WVT524293:WVT524295 S589829:S589831 JH589829:JH589831 TD589829:TD589831 ACZ589829:ACZ589831 AMV589829:AMV589831 AWR589829:AWR589831 BGN589829:BGN589831 BQJ589829:BQJ589831 CAF589829:CAF589831 CKB589829:CKB589831 CTX589829:CTX589831 DDT589829:DDT589831 DNP589829:DNP589831 DXL589829:DXL589831 EHH589829:EHH589831 ERD589829:ERD589831 FAZ589829:FAZ589831 FKV589829:FKV589831 FUR589829:FUR589831 GEN589829:GEN589831 GOJ589829:GOJ589831 GYF589829:GYF589831 HIB589829:HIB589831 HRX589829:HRX589831 IBT589829:IBT589831 ILP589829:ILP589831 IVL589829:IVL589831 JFH589829:JFH589831 JPD589829:JPD589831 JYZ589829:JYZ589831 KIV589829:KIV589831 KSR589829:KSR589831 LCN589829:LCN589831 LMJ589829:LMJ589831 LWF589829:LWF589831 MGB589829:MGB589831 MPX589829:MPX589831 MZT589829:MZT589831 NJP589829:NJP589831 NTL589829:NTL589831 ODH589829:ODH589831 OND589829:OND589831 OWZ589829:OWZ589831 PGV589829:PGV589831 PQR589829:PQR589831 QAN589829:QAN589831 QKJ589829:QKJ589831 QUF589829:QUF589831 REB589829:REB589831 RNX589829:RNX589831 RXT589829:RXT589831 SHP589829:SHP589831 SRL589829:SRL589831 TBH589829:TBH589831 TLD589829:TLD589831 TUZ589829:TUZ589831 UEV589829:UEV589831 UOR589829:UOR589831 UYN589829:UYN589831 VIJ589829:VIJ589831 VSF589829:VSF589831 WCB589829:WCB589831 WLX589829:WLX589831 WVT589829:WVT589831 S655365:S655367 JH655365:JH655367 TD655365:TD655367 ACZ655365:ACZ655367 AMV655365:AMV655367 AWR655365:AWR655367 BGN655365:BGN655367 BQJ655365:BQJ655367 CAF655365:CAF655367 CKB655365:CKB655367 CTX655365:CTX655367 DDT655365:DDT655367 DNP655365:DNP655367 DXL655365:DXL655367 EHH655365:EHH655367 ERD655365:ERD655367 FAZ655365:FAZ655367 FKV655365:FKV655367 FUR655365:FUR655367 GEN655365:GEN655367 GOJ655365:GOJ655367 GYF655365:GYF655367 HIB655365:HIB655367 HRX655365:HRX655367 IBT655365:IBT655367 ILP655365:ILP655367 IVL655365:IVL655367 JFH655365:JFH655367 JPD655365:JPD655367 JYZ655365:JYZ655367 KIV655365:KIV655367 KSR655365:KSR655367 LCN655365:LCN655367 LMJ655365:LMJ655367 LWF655365:LWF655367 MGB655365:MGB655367 MPX655365:MPX655367 MZT655365:MZT655367 NJP655365:NJP655367 NTL655365:NTL655367 ODH655365:ODH655367 OND655365:OND655367 OWZ655365:OWZ655367 PGV655365:PGV655367 PQR655365:PQR655367 QAN655365:QAN655367 QKJ655365:QKJ655367 QUF655365:QUF655367 REB655365:REB655367 RNX655365:RNX655367 RXT655365:RXT655367 SHP655365:SHP655367 SRL655365:SRL655367 TBH655365:TBH655367 TLD655365:TLD655367 TUZ655365:TUZ655367 UEV655365:UEV655367 UOR655365:UOR655367 UYN655365:UYN655367 VIJ655365:VIJ655367 VSF655365:VSF655367 WCB655365:WCB655367 WLX655365:WLX655367 WVT655365:WVT655367 S720901:S720903 JH720901:JH720903 TD720901:TD720903 ACZ720901:ACZ720903 AMV720901:AMV720903 AWR720901:AWR720903 BGN720901:BGN720903 BQJ720901:BQJ720903 CAF720901:CAF720903 CKB720901:CKB720903 CTX720901:CTX720903 DDT720901:DDT720903 DNP720901:DNP720903 DXL720901:DXL720903 EHH720901:EHH720903 ERD720901:ERD720903 FAZ720901:FAZ720903 FKV720901:FKV720903 FUR720901:FUR720903 GEN720901:GEN720903 GOJ720901:GOJ720903 GYF720901:GYF720903 HIB720901:HIB720903 HRX720901:HRX720903 IBT720901:IBT720903 ILP720901:ILP720903 IVL720901:IVL720903 JFH720901:JFH720903 JPD720901:JPD720903 JYZ720901:JYZ720903 KIV720901:KIV720903 KSR720901:KSR720903 LCN720901:LCN720903 LMJ720901:LMJ720903 LWF720901:LWF720903 MGB720901:MGB720903 MPX720901:MPX720903 MZT720901:MZT720903 NJP720901:NJP720903 NTL720901:NTL720903 ODH720901:ODH720903 OND720901:OND720903 OWZ720901:OWZ720903 PGV720901:PGV720903 PQR720901:PQR720903 QAN720901:QAN720903 QKJ720901:QKJ720903 QUF720901:QUF720903 REB720901:REB720903 RNX720901:RNX720903 RXT720901:RXT720903 SHP720901:SHP720903 SRL720901:SRL720903 TBH720901:TBH720903 TLD720901:TLD720903 TUZ720901:TUZ720903 UEV720901:UEV720903 UOR720901:UOR720903 UYN720901:UYN720903 VIJ720901:VIJ720903 VSF720901:VSF720903 WCB720901:WCB720903 WLX720901:WLX720903 WVT720901:WVT720903 S786437:S786439 JH786437:JH786439 TD786437:TD786439 ACZ786437:ACZ786439 AMV786437:AMV786439 AWR786437:AWR786439 BGN786437:BGN786439 BQJ786437:BQJ786439 CAF786437:CAF786439 CKB786437:CKB786439 CTX786437:CTX786439 DDT786437:DDT786439 DNP786437:DNP786439 DXL786437:DXL786439 EHH786437:EHH786439 ERD786437:ERD786439 FAZ786437:FAZ786439 FKV786437:FKV786439 FUR786437:FUR786439 GEN786437:GEN786439 GOJ786437:GOJ786439 GYF786437:GYF786439 HIB786437:HIB786439 HRX786437:HRX786439 IBT786437:IBT786439 ILP786437:ILP786439 IVL786437:IVL786439 JFH786437:JFH786439 JPD786437:JPD786439 JYZ786437:JYZ786439 KIV786437:KIV786439 KSR786437:KSR786439 LCN786437:LCN786439 LMJ786437:LMJ786439 LWF786437:LWF786439 MGB786437:MGB786439 MPX786437:MPX786439 MZT786437:MZT786439 NJP786437:NJP786439 NTL786437:NTL786439 ODH786437:ODH786439 OND786437:OND786439 OWZ786437:OWZ786439 PGV786437:PGV786439 PQR786437:PQR786439 QAN786437:QAN786439 QKJ786437:QKJ786439 QUF786437:QUF786439 REB786437:REB786439 RNX786437:RNX786439 RXT786437:RXT786439 SHP786437:SHP786439 SRL786437:SRL786439 TBH786437:TBH786439 TLD786437:TLD786439 TUZ786437:TUZ786439 UEV786437:UEV786439 UOR786437:UOR786439 UYN786437:UYN786439 VIJ786437:VIJ786439 VSF786437:VSF786439 WCB786437:WCB786439 WLX786437:WLX786439 WVT786437:WVT786439 S851973:S851975 JH851973:JH851975 TD851973:TD851975 ACZ851973:ACZ851975 AMV851973:AMV851975 AWR851973:AWR851975 BGN851973:BGN851975 BQJ851973:BQJ851975 CAF851973:CAF851975 CKB851973:CKB851975 CTX851973:CTX851975 DDT851973:DDT851975 DNP851973:DNP851975 DXL851973:DXL851975 EHH851973:EHH851975 ERD851973:ERD851975 FAZ851973:FAZ851975 FKV851973:FKV851975 FUR851973:FUR851975 GEN851973:GEN851975 GOJ851973:GOJ851975 GYF851973:GYF851975 HIB851973:HIB851975 HRX851973:HRX851975 IBT851973:IBT851975 ILP851973:ILP851975 IVL851973:IVL851975 JFH851973:JFH851975 JPD851973:JPD851975 JYZ851973:JYZ851975 KIV851973:KIV851975 KSR851973:KSR851975 LCN851973:LCN851975 LMJ851973:LMJ851975 LWF851973:LWF851975 MGB851973:MGB851975 MPX851973:MPX851975 MZT851973:MZT851975 NJP851973:NJP851975 NTL851973:NTL851975 ODH851973:ODH851975 OND851973:OND851975 OWZ851973:OWZ851975 PGV851973:PGV851975 PQR851973:PQR851975 QAN851973:QAN851975 QKJ851973:QKJ851975 QUF851973:QUF851975 REB851973:REB851975 RNX851973:RNX851975 RXT851973:RXT851975 SHP851973:SHP851975 SRL851973:SRL851975 TBH851973:TBH851975 TLD851973:TLD851975 TUZ851973:TUZ851975 UEV851973:UEV851975 UOR851973:UOR851975 UYN851973:UYN851975 VIJ851973:VIJ851975 VSF851973:VSF851975 WCB851973:WCB851975 WLX851973:WLX851975 WVT851973:WVT851975 S917509:S917511 JH917509:JH917511 TD917509:TD917511 ACZ917509:ACZ917511 AMV917509:AMV917511 AWR917509:AWR917511 BGN917509:BGN917511 BQJ917509:BQJ917511 CAF917509:CAF917511 CKB917509:CKB917511 CTX917509:CTX917511 DDT917509:DDT917511 DNP917509:DNP917511 DXL917509:DXL917511 EHH917509:EHH917511 ERD917509:ERD917511 FAZ917509:FAZ917511 FKV917509:FKV917511 FUR917509:FUR917511 GEN917509:GEN917511 GOJ917509:GOJ917511 GYF917509:GYF917511 HIB917509:HIB917511 HRX917509:HRX917511 IBT917509:IBT917511 ILP917509:ILP917511 IVL917509:IVL917511 JFH917509:JFH917511 JPD917509:JPD917511 JYZ917509:JYZ917511 KIV917509:KIV917511 KSR917509:KSR917511 LCN917509:LCN917511 LMJ917509:LMJ917511 LWF917509:LWF917511 MGB917509:MGB917511 MPX917509:MPX917511 MZT917509:MZT917511 NJP917509:NJP917511 NTL917509:NTL917511 ODH917509:ODH917511 OND917509:OND917511 OWZ917509:OWZ917511 PGV917509:PGV917511 PQR917509:PQR917511 QAN917509:QAN917511 QKJ917509:QKJ917511 QUF917509:QUF917511 REB917509:REB917511 RNX917509:RNX917511 RXT917509:RXT917511 SHP917509:SHP917511 SRL917509:SRL917511 TBH917509:TBH917511 TLD917509:TLD917511 TUZ917509:TUZ917511 UEV917509:UEV917511 UOR917509:UOR917511 UYN917509:UYN917511 VIJ917509:VIJ917511 VSF917509:VSF917511 WCB917509:WCB917511 WLX917509:WLX917511 WVT917509:WVT917511 S983045:S983047 JH983045:JH983047 TD983045:TD983047 ACZ983045:ACZ983047 AMV983045:AMV983047 AWR983045:AWR983047 BGN983045:BGN983047 BQJ983045:BQJ983047 CAF983045:CAF983047 CKB983045:CKB983047 CTX983045:CTX983047 DDT983045:DDT983047 DNP983045:DNP983047 DXL983045:DXL983047 EHH983045:EHH983047 ERD983045:ERD983047 FAZ983045:FAZ983047 FKV983045:FKV983047 FUR983045:FUR983047 GEN983045:GEN983047 GOJ983045:GOJ983047 GYF983045:GYF983047 HIB983045:HIB983047 HRX983045:HRX983047 IBT983045:IBT983047 ILP983045:ILP983047 IVL983045:IVL983047 JFH983045:JFH983047 JPD983045:JPD983047 JYZ983045:JYZ983047 KIV983045:KIV983047 KSR983045:KSR983047 LCN983045:LCN983047 LMJ983045:LMJ983047 LWF983045:LWF983047 MGB983045:MGB983047 MPX983045:MPX983047 MZT983045:MZT983047 NJP983045:NJP983047 NTL983045:NTL983047 ODH983045:ODH983047 OND983045:OND983047 OWZ983045:OWZ983047 PGV983045:PGV983047 PQR983045:PQR983047 QAN983045:QAN983047 QKJ983045:QKJ983047 QUF983045:QUF983047 REB983045:REB983047 RNX983045:RNX983047 RXT983045:RXT983047 SHP983045:SHP983047 SRL983045:SRL983047 TBH983045:TBH983047 TLD983045:TLD983047 TUZ983045:TUZ983047 UEV983045:UEV983047 UOR983045:UOR983047 UYN983045:UYN983047 VIJ983045:VIJ983047 VSF983045:VSF983047 WCB983045:WCB983047 WLX983045:WLX983047 WVT983045:WVT983047 U65547:U65570 JJ65547:JJ65570 TF65547:TF65570 ADB65547:ADB65570 AMX65547:AMX65570 AWT65547:AWT65570 BGP65547:BGP65570 BQL65547:BQL65570 CAH65547:CAH65570 CKD65547:CKD65570 CTZ65547:CTZ65570 DDV65547:DDV65570 DNR65547:DNR65570 DXN65547:DXN65570 EHJ65547:EHJ65570 ERF65547:ERF65570 FBB65547:FBB65570 FKX65547:FKX65570 FUT65547:FUT65570 GEP65547:GEP65570 GOL65547:GOL65570 GYH65547:GYH65570 HID65547:HID65570 HRZ65547:HRZ65570 IBV65547:IBV65570 ILR65547:ILR65570 IVN65547:IVN65570 JFJ65547:JFJ65570 JPF65547:JPF65570 JZB65547:JZB65570 KIX65547:KIX65570 KST65547:KST65570 LCP65547:LCP65570 LML65547:LML65570 LWH65547:LWH65570 MGD65547:MGD65570 MPZ65547:MPZ65570 MZV65547:MZV65570 NJR65547:NJR65570 NTN65547:NTN65570 ODJ65547:ODJ65570 ONF65547:ONF65570 OXB65547:OXB65570 PGX65547:PGX65570 PQT65547:PQT65570 QAP65547:QAP65570 QKL65547:QKL65570 QUH65547:QUH65570 RED65547:RED65570 RNZ65547:RNZ65570 RXV65547:RXV65570 SHR65547:SHR65570 SRN65547:SRN65570 TBJ65547:TBJ65570 TLF65547:TLF65570 TVB65547:TVB65570 UEX65547:UEX65570 UOT65547:UOT65570 UYP65547:UYP65570 VIL65547:VIL65570 VSH65547:VSH65570 WCD65547:WCD65570 WLZ65547:WLZ65570 WVV65547:WVV65570 U131083:U131106 JJ131083:JJ131106 TF131083:TF131106 ADB131083:ADB131106 AMX131083:AMX131106 AWT131083:AWT131106 BGP131083:BGP131106 BQL131083:BQL131106 CAH131083:CAH131106 CKD131083:CKD131106 CTZ131083:CTZ131106 DDV131083:DDV131106 DNR131083:DNR131106 DXN131083:DXN131106 EHJ131083:EHJ131106 ERF131083:ERF131106 FBB131083:FBB131106 FKX131083:FKX131106 FUT131083:FUT131106 GEP131083:GEP131106 GOL131083:GOL131106 GYH131083:GYH131106 HID131083:HID131106 HRZ131083:HRZ131106 IBV131083:IBV131106 ILR131083:ILR131106 IVN131083:IVN131106 JFJ131083:JFJ131106 JPF131083:JPF131106 JZB131083:JZB131106 KIX131083:KIX131106 KST131083:KST131106 LCP131083:LCP131106 LML131083:LML131106 LWH131083:LWH131106 MGD131083:MGD131106 MPZ131083:MPZ131106 MZV131083:MZV131106 NJR131083:NJR131106 NTN131083:NTN131106 ODJ131083:ODJ131106 ONF131083:ONF131106 OXB131083:OXB131106 PGX131083:PGX131106 PQT131083:PQT131106 QAP131083:QAP131106 QKL131083:QKL131106 QUH131083:QUH131106 RED131083:RED131106 RNZ131083:RNZ131106 RXV131083:RXV131106 SHR131083:SHR131106 SRN131083:SRN131106 TBJ131083:TBJ131106 TLF131083:TLF131106 TVB131083:TVB131106 UEX131083:UEX131106 UOT131083:UOT131106 UYP131083:UYP131106 VIL131083:VIL131106 VSH131083:VSH131106 WCD131083:WCD131106 WLZ131083:WLZ131106 WVV131083:WVV131106 U196619:U196642 JJ196619:JJ196642 TF196619:TF196642 ADB196619:ADB196642 AMX196619:AMX196642 AWT196619:AWT196642 BGP196619:BGP196642 BQL196619:BQL196642 CAH196619:CAH196642 CKD196619:CKD196642 CTZ196619:CTZ196642 DDV196619:DDV196642 DNR196619:DNR196642 DXN196619:DXN196642 EHJ196619:EHJ196642 ERF196619:ERF196642 FBB196619:FBB196642 FKX196619:FKX196642 FUT196619:FUT196642 GEP196619:GEP196642 GOL196619:GOL196642 GYH196619:GYH196642 HID196619:HID196642 HRZ196619:HRZ196642 IBV196619:IBV196642 ILR196619:ILR196642 IVN196619:IVN196642 JFJ196619:JFJ196642 JPF196619:JPF196642 JZB196619:JZB196642 KIX196619:KIX196642 KST196619:KST196642 LCP196619:LCP196642 LML196619:LML196642 LWH196619:LWH196642 MGD196619:MGD196642 MPZ196619:MPZ196642 MZV196619:MZV196642 NJR196619:NJR196642 NTN196619:NTN196642 ODJ196619:ODJ196642 ONF196619:ONF196642 OXB196619:OXB196642 PGX196619:PGX196642 PQT196619:PQT196642 QAP196619:QAP196642 QKL196619:QKL196642 QUH196619:QUH196642 RED196619:RED196642 RNZ196619:RNZ196642 RXV196619:RXV196642 SHR196619:SHR196642 SRN196619:SRN196642 TBJ196619:TBJ196642 TLF196619:TLF196642 TVB196619:TVB196642 UEX196619:UEX196642 UOT196619:UOT196642 UYP196619:UYP196642 VIL196619:VIL196642 VSH196619:VSH196642 WCD196619:WCD196642 WLZ196619:WLZ196642 WVV196619:WVV196642 U262155:U262178 JJ262155:JJ262178 TF262155:TF262178 ADB262155:ADB262178 AMX262155:AMX262178 AWT262155:AWT262178 BGP262155:BGP262178 BQL262155:BQL262178 CAH262155:CAH262178 CKD262155:CKD262178 CTZ262155:CTZ262178 DDV262155:DDV262178 DNR262155:DNR262178 DXN262155:DXN262178 EHJ262155:EHJ262178 ERF262155:ERF262178 FBB262155:FBB262178 FKX262155:FKX262178 FUT262155:FUT262178 GEP262155:GEP262178 GOL262155:GOL262178 GYH262155:GYH262178 HID262155:HID262178 HRZ262155:HRZ262178 IBV262155:IBV262178 ILR262155:ILR262178 IVN262155:IVN262178 JFJ262155:JFJ262178 JPF262155:JPF262178 JZB262155:JZB262178 KIX262155:KIX262178 KST262155:KST262178 LCP262155:LCP262178 LML262155:LML262178 LWH262155:LWH262178 MGD262155:MGD262178 MPZ262155:MPZ262178 MZV262155:MZV262178 NJR262155:NJR262178 NTN262155:NTN262178 ODJ262155:ODJ262178 ONF262155:ONF262178 OXB262155:OXB262178 PGX262155:PGX262178 PQT262155:PQT262178 QAP262155:QAP262178 QKL262155:QKL262178 QUH262155:QUH262178 RED262155:RED262178 RNZ262155:RNZ262178 RXV262155:RXV262178 SHR262155:SHR262178 SRN262155:SRN262178 TBJ262155:TBJ262178 TLF262155:TLF262178 TVB262155:TVB262178 UEX262155:UEX262178 UOT262155:UOT262178 UYP262155:UYP262178 VIL262155:VIL262178 VSH262155:VSH262178 WCD262155:WCD262178 WLZ262155:WLZ262178 WVV262155:WVV262178 U327691:U327714 JJ327691:JJ327714 TF327691:TF327714 ADB327691:ADB327714 AMX327691:AMX327714 AWT327691:AWT327714 BGP327691:BGP327714 BQL327691:BQL327714 CAH327691:CAH327714 CKD327691:CKD327714 CTZ327691:CTZ327714 DDV327691:DDV327714 DNR327691:DNR327714 DXN327691:DXN327714 EHJ327691:EHJ327714 ERF327691:ERF327714 FBB327691:FBB327714 FKX327691:FKX327714 FUT327691:FUT327714 GEP327691:GEP327714 GOL327691:GOL327714 GYH327691:GYH327714 HID327691:HID327714 HRZ327691:HRZ327714 IBV327691:IBV327714 ILR327691:ILR327714 IVN327691:IVN327714 JFJ327691:JFJ327714 JPF327691:JPF327714 JZB327691:JZB327714 KIX327691:KIX327714 KST327691:KST327714 LCP327691:LCP327714 LML327691:LML327714 LWH327691:LWH327714 MGD327691:MGD327714 MPZ327691:MPZ327714 MZV327691:MZV327714 NJR327691:NJR327714 NTN327691:NTN327714 ODJ327691:ODJ327714 ONF327691:ONF327714 OXB327691:OXB327714 PGX327691:PGX327714 PQT327691:PQT327714 QAP327691:QAP327714 QKL327691:QKL327714 QUH327691:QUH327714 RED327691:RED327714 RNZ327691:RNZ327714 RXV327691:RXV327714 SHR327691:SHR327714 SRN327691:SRN327714 TBJ327691:TBJ327714 TLF327691:TLF327714 TVB327691:TVB327714 UEX327691:UEX327714 UOT327691:UOT327714 UYP327691:UYP327714 VIL327691:VIL327714 VSH327691:VSH327714 WCD327691:WCD327714 WLZ327691:WLZ327714 WVV327691:WVV327714 U393227:U393250 JJ393227:JJ393250 TF393227:TF393250 ADB393227:ADB393250 AMX393227:AMX393250 AWT393227:AWT393250 BGP393227:BGP393250 BQL393227:BQL393250 CAH393227:CAH393250 CKD393227:CKD393250 CTZ393227:CTZ393250 DDV393227:DDV393250 DNR393227:DNR393250 DXN393227:DXN393250 EHJ393227:EHJ393250 ERF393227:ERF393250 FBB393227:FBB393250 FKX393227:FKX393250 FUT393227:FUT393250 GEP393227:GEP393250 GOL393227:GOL393250 GYH393227:GYH393250 HID393227:HID393250 HRZ393227:HRZ393250 IBV393227:IBV393250 ILR393227:ILR393250 IVN393227:IVN393250 JFJ393227:JFJ393250 JPF393227:JPF393250 JZB393227:JZB393250 KIX393227:KIX393250 KST393227:KST393250 LCP393227:LCP393250 LML393227:LML393250 LWH393227:LWH393250 MGD393227:MGD393250 MPZ393227:MPZ393250 MZV393227:MZV393250 NJR393227:NJR393250 NTN393227:NTN393250 ODJ393227:ODJ393250 ONF393227:ONF393250 OXB393227:OXB393250 PGX393227:PGX393250 PQT393227:PQT393250 QAP393227:QAP393250 QKL393227:QKL393250 QUH393227:QUH393250 RED393227:RED393250 RNZ393227:RNZ393250 RXV393227:RXV393250 SHR393227:SHR393250 SRN393227:SRN393250 TBJ393227:TBJ393250 TLF393227:TLF393250 TVB393227:TVB393250 UEX393227:UEX393250 UOT393227:UOT393250 UYP393227:UYP393250 VIL393227:VIL393250 VSH393227:VSH393250 WCD393227:WCD393250 WLZ393227:WLZ393250 WVV393227:WVV393250 U458763:U458786 JJ458763:JJ458786 TF458763:TF458786 ADB458763:ADB458786 AMX458763:AMX458786 AWT458763:AWT458786 BGP458763:BGP458786 BQL458763:BQL458786 CAH458763:CAH458786 CKD458763:CKD458786 CTZ458763:CTZ458786 DDV458763:DDV458786 DNR458763:DNR458786 DXN458763:DXN458786 EHJ458763:EHJ458786 ERF458763:ERF458786 FBB458763:FBB458786 FKX458763:FKX458786 FUT458763:FUT458786 GEP458763:GEP458786 GOL458763:GOL458786 GYH458763:GYH458786 HID458763:HID458786 HRZ458763:HRZ458786 IBV458763:IBV458786 ILR458763:ILR458786 IVN458763:IVN458786 JFJ458763:JFJ458786 JPF458763:JPF458786 JZB458763:JZB458786 KIX458763:KIX458786 KST458763:KST458786 LCP458763:LCP458786 LML458763:LML458786 LWH458763:LWH458786 MGD458763:MGD458786 MPZ458763:MPZ458786 MZV458763:MZV458786 NJR458763:NJR458786 NTN458763:NTN458786 ODJ458763:ODJ458786 ONF458763:ONF458786 OXB458763:OXB458786 PGX458763:PGX458786 PQT458763:PQT458786 QAP458763:QAP458786 QKL458763:QKL458786 QUH458763:QUH458786 RED458763:RED458786 RNZ458763:RNZ458786 RXV458763:RXV458786 SHR458763:SHR458786 SRN458763:SRN458786 TBJ458763:TBJ458786 TLF458763:TLF458786 TVB458763:TVB458786 UEX458763:UEX458786 UOT458763:UOT458786 UYP458763:UYP458786 VIL458763:VIL458786 VSH458763:VSH458786 WCD458763:WCD458786 WLZ458763:WLZ458786 WVV458763:WVV458786 U524299:U524322 JJ524299:JJ524322 TF524299:TF524322 ADB524299:ADB524322 AMX524299:AMX524322 AWT524299:AWT524322 BGP524299:BGP524322 BQL524299:BQL524322 CAH524299:CAH524322 CKD524299:CKD524322 CTZ524299:CTZ524322 DDV524299:DDV524322 DNR524299:DNR524322 DXN524299:DXN524322 EHJ524299:EHJ524322 ERF524299:ERF524322 FBB524299:FBB524322 FKX524299:FKX524322 FUT524299:FUT524322 GEP524299:GEP524322 GOL524299:GOL524322 GYH524299:GYH524322 HID524299:HID524322 HRZ524299:HRZ524322 IBV524299:IBV524322 ILR524299:ILR524322 IVN524299:IVN524322 JFJ524299:JFJ524322 JPF524299:JPF524322 JZB524299:JZB524322 KIX524299:KIX524322 KST524299:KST524322 LCP524299:LCP524322 LML524299:LML524322 LWH524299:LWH524322 MGD524299:MGD524322 MPZ524299:MPZ524322 MZV524299:MZV524322 NJR524299:NJR524322 NTN524299:NTN524322 ODJ524299:ODJ524322 ONF524299:ONF524322 OXB524299:OXB524322 PGX524299:PGX524322 PQT524299:PQT524322 QAP524299:QAP524322 QKL524299:QKL524322 QUH524299:QUH524322 RED524299:RED524322 RNZ524299:RNZ524322 RXV524299:RXV524322 SHR524299:SHR524322 SRN524299:SRN524322 TBJ524299:TBJ524322 TLF524299:TLF524322 TVB524299:TVB524322 UEX524299:UEX524322 UOT524299:UOT524322 UYP524299:UYP524322 VIL524299:VIL524322 VSH524299:VSH524322 WCD524299:WCD524322 WLZ524299:WLZ524322 WVV524299:WVV524322 U589835:U589858 JJ589835:JJ589858 TF589835:TF589858 ADB589835:ADB589858 AMX589835:AMX589858 AWT589835:AWT589858 BGP589835:BGP589858 BQL589835:BQL589858 CAH589835:CAH589858 CKD589835:CKD589858 CTZ589835:CTZ589858 DDV589835:DDV589858 DNR589835:DNR589858 DXN589835:DXN589858 EHJ589835:EHJ589858 ERF589835:ERF589858 FBB589835:FBB589858 FKX589835:FKX589858 FUT589835:FUT589858 GEP589835:GEP589858 GOL589835:GOL589858 GYH589835:GYH589858 HID589835:HID589858 HRZ589835:HRZ589858 IBV589835:IBV589858 ILR589835:ILR589858 IVN589835:IVN589858 JFJ589835:JFJ589858 JPF589835:JPF589858 JZB589835:JZB589858 KIX589835:KIX589858 KST589835:KST589858 LCP589835:LCP589858 LML589835:LML589858 LWH589835:LWH589858 MGD589835:MGD589858 MPZ589835:MPZ589858 MZV589835:MZV589858 NJR589835:NJR589858 NTN589835:NTN589858 ODJ589835:ODJ589858 ONF589835:ONF589858 OXB589835:OXB589858 PGX589835:PGX589858 PQT589835:PQT589858 QAP589835:QAP589858 QKL589835:QKL589858 QUH589835:QUH589858 RED589835:RED589858 RNZ589835:RNZ589858 RXV589835:RXV589858 SHR589835:SHR589858 SRN589835:SRN589858 TBJ589835:TBJ589858 TLF589835:TLF589858 TVB589835:TVB589858 UEX589835:UEX589858 UOT589835:UOT589858 UYP589835:UYP589858 VIL589835:VIL589858 VSH589835:VSH589858 WCD589835:WCD589858 WLZ589835:WLZ589858 WVV589835:WVV589858 U655371:U655394 JJ655371:JJ655394 TF655371:TF655394 ADB655371:ADB655394 AMX655371:AMX655394 AWT655371:AWT655394 BGP655371:BGP655394 BQL655371:BQL655394 CAH655371:CAH655394 CKD655371:CKD655394 CTZ655371:CTZ655394 DDV655371:DDV655394 DNR655371:DNR655394 DXN655371:DXN655394 EHJ655371:EHJ655394 ERF655371:ERF655394 FBB655371:FBB655394 FKX655371:FKX655394 FUT655371:FUT655394 GEP655371:GEP655394 GOL655371:GOL655394 GYH655371:GYH655394 HID655371:HID655394 HRZ655371:HRZ655394 IBV655371:IBV655394 ILR655371:ILR655394 IVN655371:IVN655394 JFJ655371:JFJ655394 JPF655371:JPF655394 JZB655371:JZB655394 KIX655371:KIX655394 KST655371:KST655394 LCP655371:LCP655394 LML655371:LML655394 LWH655371:LWH655394 MGD655371:MGD655394 MPZ655371:MPZ655394 MZV655371:MZV655394 NJR655371:NJR655394 NTN655371:NTN655394 ODJ655371:ODJ655394 ONF655371:ONF655394 OXB655371:OXB655394 PGX655371:PGX655394 PQT655371:PQT655394 QAP655371:QAP655394 QKL655371:QKL655394 QUH655371:QUH655394 RED655371:RED655394 RNZ655371:RNZ655394 RXV655371:RXV655394 SHR655371:SHR655394 SRN655371:SRN655394 TBJ655371:TBJ655394 TLF655371:TLF655394 TVB655371:TVB655394 UEX655371:UEX655394 UOT655371:UOT655394 UYP655371:UYP655394 VIL655371:VIL655394 VSH655371:VSH655394 WCD655371:WCD655394 WLZ655371:WLZ655394 WVV655371:WVV655394 U720907:U720930 JJ720907:JJ720930 TF720907:TF720930 ADB720907:ADB720930 AMX720907:AMX720930 AWT720907:AWT720930 BGP720907:BGP720930 BQL720907:BQL720930 CAH720907:CAH720930 CKD720907:CKD720930 CTZ720907:CTZ720930 DDV720907:DDV720930 DNR720907:DNR720930 DXN720907:DXN720930 EHJ720907:EHJ720930 ERF720907:ERF720930 FBB720907:FBB720930 FKX720907:FKX720930 FUT720907:FUT720930 GEP720907:GEP720930 GOL720907:GOL720930 GYH720907:GYH720930 HID720907:HID720930 HRZ720907:HRZ720930 IBV720907:IBV720930 ILR720907:ILR720930 IVN720907:IVN720930 JFJ720907:JFJ720930 JPF720907:JPF720930 JZB720907:JZB720930 KIX720907:KIX720930 KST720907:KST720930 LCP720907:LCP720930 LML720907:LML720930 LWH720907:LWH720930 MGD720907:MGD720930 MPZ720907:MPZ720930 MZV720907:MZV720930 NJR720907:NJR720930 NTN720907:NTN720930 ODJ720907:ODJ720930 ONF720907:ONF720930 OXB720907:OXB720930 PGX720907:PGX720930 PQT720907:PQT720930 QAP720907:QAP720930 QKL720907:QKL720930 QUH720907:QUH720930 RED720907:RED720930 RNZ720907:RNZ720930 RXV720907:RXV720930 SHR720907:SHR720930 SRN720907:SRN720930 TBJ720907:TBJ720930 TLF720907:TLF720930 TVB720907:TVB720930 UEX720907:UEX720930 UOT720907:UOT720930 UYP720907:UYP720930 VIL720907:VIL720930 VSH720907:VSH720930 WCD720907:WCD720930 WLZ720907:WLZ720930 WVV720907:WVV720930 U786443:U786466 JJ786443:JJ786466 TF786443:TF786466 ADB786443:ADB786466 AMX786443:AMX786466 AWT786443:AWT786466 BGP786443:BGP786466 BQL786443:BQL786466 CAH786443:CAH786466 CKD786443:CKD786466 CTZ786443:CTZ786466 DDV786443:DDV786466 DNR786443:DNR786466 DXN786443:DXN786466 EHJ786443:EHJ786466 ERF786443:ERF786466 FBB786443:FBB786466 FKX786443:FKX786466 FUT786443:FUT786466 GEP786443:GEP786466 GOL786443:GOL786466 GYH786443:GYH786466 HID786443:HID786466 HRZ786443:HRZ786466 IBV786443:IBV786466 ILR786443:ILR786466 IVN786443:IVN786466 JFJ786443:JFJ786466 JPF786443:JPF786466 JZB786443:JZB786466 KIX786443:KIX786466 KST786443:KST786466 LCP786443:LCP786466 LML786443:LML786466 LWH786443:LWH786466 MGD786443:MGD786466 MPZ786443:MPZ786466 MZV786443:MZV786466 NJR786443:NJR786466 NTN786443:NTN786466 ODJ786443:ODJ786466 ONF786443:ONF786466 OXB786443:OXB786466 PGX786443:PGX786466 PQT786443:PQT786466 QAP786443:QAP786466 QKL786443:QKL786466 QUH786443:QUH786466 RED786443:RED786466 RNZ786443:RNZ786466 RXV786443:RXV786466 SHR786443:SHR786466 SRN786443:SRN786466 TBJ786443:TBJ786466 TLF786443:TLF786466 TVB786443:TVB786466 UEX786443:UEX786466 UOT786443:UOT786466 UYP786443:UYP786466 VIL786443:VIL786466 VSH786443:VSH786466 WCD786443:WCD786466 WLZ786443:WLZ786466 WVV786443:WVV786466 U851979:U852002 JJ851979:JJ852002 TF851979:TF852002 ADB851979:ADB852002 AMX851979:AMX852002 AWT851979:AWT852002 BGP851979:BGP852002 BQL851979:BQL852002 CAH851979:CAH852002 CKD851979:CKD852002 CTZ851979:CTZ852002 DDV851979:DDV852002 DNR851979:DNR852002 DXN851979:DXN852002 EHJ851979:EHJ852002 ERF851979:ERF852002 FBB851979:FBB852002 FKX851979:FKX852002 FUT851979:FUT852002 GEP851979:GEP852002 GOL851979:GOL852002 GYH851979:GYH852002 HID851979:HID852002 HRZ851979:HRZ852002 IBV851979:IBV852002 ILR851979:ILR852002 IVN851979:IVN852002 JFJ851979:JFJ852002 JPF851979:JPF852002 JZB851979:JZB852002 KIX851979:KIX852002 KST851979:KST852002 LCP851979:LCP852002 LML851979:LML852002 LWH851979:LWH852002 MGD851979:MGD852002 MPZ851979:MPZ852002 MZV851979:MZV852002 NJR851979:NJR852002 NTN851979:NTN852002 ODJ851979:ODJ852002 ONF851979:ONF852002 OXB851979:OXB852002 PGX851979:PGX852002 PQT851979:PQT852002 QAP851979:QAP852002 QKL851979:QKL852002 QUH851979:QUH852002 RED851979:RED852002 RNZ851979:RNZ852002 RXV851979:RXV852002 SHR851979:SHR852002 SRN851979:SRN852002 TBJ851979:TBJ852002 TLF851979:TLF852002 TVB851979:TVB852002 UEX851979:UEX852002 UOT851979:UOT852002 UYP851979:UYP852002 VIL851979:VIL852002 VSH851979:VSH852002 WCD851979:WCD852002 WLZ851979:WLZ852002 WVV851979:WVV852002 U917515:U917538 JJ917515:JJ917538 TF917515:TF917538 ADB917515:ADB917538 AMX917515:AMX917538 AWT917515:AWT917538 BGP917515:BGP917538 BQL917515:BQL917538 CAH917515:CAH917538 CKD917515:CKD917538 CTZ917515:CTZ917538 DDV917515:DDV917538 DNR917515:DNR917538 DXN917515:DXN917538 EHJ917515:EHJ917538 ERF917515:ERF917538 FBB917515:FBB917538 FKX917515:FKX917538 FUT917515:FUT917538 GEP917515:GEP917538 GOL917515:GOL917538 GYH917515:GYH917538 HID917515:HID917538 HRZ917515:HRZ917538 IBV917515:IBV917538 ILR917515:ILR917538 IVN917515:IVN917538 JFJ917515:JFJ917538 JPF917515:JPF917538 JZB917515:JZB917538 KIX917515:KIX917538 KST917515:KST917538 LCP917515:LCP917538 LML917515:LML917538 LWH917515:LWH917538 MGD917515:MGD917538 MPZ917515:MPZ917538 MZV917515:MZV917538 NJR917515:NJR917538 NTN917515:NTN917538 ODJ917515:ODJ917538 ONF917515:ONF917538 OXB917515:OXB917538 PGX917515:PGX917538 PQT917515:PQT917538 QAP917515:QAP917538 QKL917515:QKL917538 QUH917515:QUH917538 RED917515:RED917538 RNZ917515:RNZ917538 RXV917515:RXV917538 SHR917515:SHR917538 SRN917515:SRN917538 TBJ917515:TBJ917538 TLF917515:TLF917538 TVB917515:TVB917538 UEX917515:UEX917538 UOT917515:UOT917538 UYP917515:UYP917538 VIL917515:VIL917538 VSH917515:VSH917538 WCD917515:WCD917538 WLZ917515:WLZ917538 WVV917515:WVV917538 U983051:U983074 JJ983051:JJ983074 TF983051:TF983074 ADB983051:ADB983074 AMX983051:AMX983074 AWT983051:AWT983074 BGP983051:BGP983074 BQL983051:BQL983074 CAH983051:CAH983074 CKD983051:CKD983074 CTZ983051:CTZ983074 DDV983051:DDV983074 DNR983051:DNR983074 DXN983051:DXN983074 EHJ983051:EHJ983074 ERF983051:ERF983074 FBB983051:FBB983074 FKX983051:FKX983074 FUT983051:FUT983074 GEP983051:GEP983074 GOL983051:GOL983074 GYH983051:GYH983074 HID983051:HID983074 HRZ983051:HRZ983074 IBV983051:IBV983074 ILR983051:ILR983074 IVN983051:IVN983074 JFJ983051:JFJ983074 JPF983051:JPF983074 JZB983051:JZB983074 KIX983051:KIX983074 KST983051:KST983074 LCP983051:LCP983074 LML983051:LML983074 LWH983051:LWH983074 MGD983051:MGD983074 MPZ983051:MPZ983074 MZV983051:MZV983074 NJR983051:NJR983074 NTN983051:NTN983074 ODJ983051:ODJ983074 ONF983051:ONF983074 OXB983051:OXB983074 PGX983051:PGX983074 PQT983051:PQT983074 QAP983051:QAP983074 QKL983051:QKL983074 QUH983051:QUH983074 RED983051:RED983074 RNZ983051:RNZ983074 RXV983051:RXV983074 SHR983051:SHR983074 SRN983051:SRN983074 TBJ983051:TBJ983074 TLF983051:TLF983074 TVB983051:TVB983074 UEX983051:UEX983074 UOT983051:UOT983074 UYP983051:UYP983074 VIL983051:VIL983074 VSH983051:VSH983074 WCD983051:WCD983074 WLZ983051:WLZ983074 WVV983051:WVV983074 JL65547:JL65570 TH65547:TH65570 ADD65547:ADD65570 AMZ65547:AMZ65570 AWV65547:AWV65570 BGR65547:BGR65570 BQN65547:BQN65570 CAJ65547:CAJ65570 CKF65547:CKF65570 CUB65547:CUB65570 DDX65547:DDX65570 DNT65547:DNT65570 DXP65547:DXP65570 EHL65547:EHL65570 ERH65547:ERH65570 FBD65547:FBD65570 FKZ65547:FKZ65570 FUV65547:FUV65570 GER65547:GER65570 GON65547:GON65570 GYJ65547:GYJ65570 HIF65547:HIF65570 HSB65547:HSB65570 IBX65547:IBX65570 ILT65547:ILT65570 IVP65547:IVP65570 JFL65547:JFL65570 JPH65547:JPH65570 JZD65547:JZD65570 KIZ65547:KIZ65570 KSV65547:KSV65570 LCR65547:LCR65570 LMN65547:LMN65570 LWJ65547:LWJ65570 MGF65547:MGF65570 MQB65547:MQB65570 MZX65547:MZX65570 NJT65547:NJT65570 NTP65547:NTP65570 ODL65547:ODL65570 ONH65547:ONH65570 OXD65547:OXD65570 PGZ65547:PGZ65570 PQV65547:PQV65570 QAR65547:QAR65570 QKN65547:QKN65570 QUJ65547:QUJ65570 REF65547:REF65570 ROB65547:ROB65570 RXX65547:RXX65570 SHT65547:SHT65570 SRP65547:SRP65570 TBL65547:TBL65570 TLH65547:TLH65570 TVD65547:TVD65570 UEZ65547:UEZ65570 UOV65547:UOV65570 UYR65547:UYR65570 VIN65547:VIN65570 VSJ65547:VSJ65570 WCF65547:WCF65570 WMB65547:WMB65570 WVX65547:WVX65570 JL131083:JL131106 TH131083:TH131106 ADD131083:ADD131106 AMZ131083:AMZ131106 AWV131083:AWV131106 BGR131083:BGR131106 BQN131083:BQN131106 CAJ131083:CAJ131106 CKF131083:CKF131106 CUB131083:CUB131106 DDX131083:DDX131106 DNT131083:DNT131106 DXP131083:DXP131106 EHL131083:EHL131106 ERH131083:ERH131106 FBD131083:FBD131106 FKZ131083:FKZ131106 FUV131083:FUV131106 GER131083:GER131106 GON131083:GON131106 GYJ131083:GYJ131106 HIF131083:HIF131106 HSB131083:HSB131106 IBX131083:IBX131106 ILT131083:ILT131106 IVP131083:IVP131106 JFL131083:JFL131106 JPH131083:JPH131106 JZD131083:JZD131106 KIZ131083:KIZ131106 KSV131083:KSV131106 LCR131083:LCR131106 LMN131083:LMN131106 LWJ131083:LWJ131106 MGF131083:MGF131106 MQB131083:MQB131106 MZX131083:MZX131106 NJT131083:NJT131106 NTP131083:NTP131106 ODL131083:ODL131106 ONH131083:ONH131106 OXD131083:OXD131106 PGZ131083:PGZ131106 PQV131083:PQV131106 QAR131083:QAR131106 QKN131083:QKN131106 QUJ131083:QUJ131106 REF131083:REF131106 ROB131083:ROB131106 RXX131083:RXX131106 SHT131083:SHT131106 SRP131083:SRP131106 TBL131083:TBL131106 TLH131083:TLH131106 TVD131083:TVD131106 UEZ131083:UEZ131106 UOV131083:UOV131106 UYR131083:UYR131106 VIN131083:VIN131106 VSJ131083:VSJ131106 WCF131083:WCF131106 WMB131083:WMB131106 WVX131083:WVX131106 JL196619:JL196642 TH196619:TH196642 ADD196619:ADD196642 AMZ196619:AMZ196642 AWV196619:AWV196642 BGR196619:BGR196642 BQN196619:BQN196642 CAJ196619:CAJ196642 CKF196619:CKF196642 CUB196619:CUB196642 DDX196619:DDX196642 DNT196619:DNT196642 DXP196619:DXP196642 EHL196619:EHL196642 ERH196619:ERH196642 FBD196619:FBD196642 FKZ196619:FKZ196642 FUV196619:FUV196642 GER196619:GER196642 GON196619:GON196642 GYJ196619:GYJ196642 HIF196619:HIF196642 HSB196619:HSB196642 IBX196619:IBX196642 ILT196619:ILT196642 IVP196619:IVP196642 JFL196619:JFL196642 JPH196619:JPH196642 JZD196619:JZD196642 KIZ196619:KIZ196642 KSV196619:KSV196642 LCR196619:LCR196642 LMN196619:LMN196642 LWJ196619:LWJ196642 MGF196619:MGF196642 MQB196619:MQB196642 MZX196619:MZX196642 NJT196619:NJT196642 NTP196619:NTP196642 ODL196619:ODL196642 ONH196619:ONH196642 OXD196619:OXD196642 PGZ196619:PGZ196642 PQV196619:PQV196642 QAR196619:QAR196642 QKN196619:QKN196642 QUJ196619:QUJ196642 REF196619:REF196642 ROB196619:ROB196642 RXX196619:RXX196642 SHT196619:SHT196642 SRP196619:SRP196642 TBL196619:TBL196642 TLH196619:TLH196642 TVD196619:TVD196642 UEZ196619:UEZ196642 UOV196619:UOV196642 UYR196619:UYR196642 VIN196619:VIN196642 VSJ196619:VSJ196642 WCF196619:WCF196642 WMB196619:WMB196642 WVX196619:WVX196642 JL262155:JL262178 TH262155:TH262178 ADD262155:ADD262178 AMZ262155:AMZ262178 AWV262155:AWV262178 BGR262155:BGR262178 BQN262155:BQN262178 CAJ262155:CAJ262178 CKF262155:CKF262178 CUB262155:CUB262178 DDX262155:DDX262178 DNT262155:DNT262178 DXP262155:DXP262178 EHL262155:EHL262178 ERH262155:ERH262178 FBD262155:FBD262178 FKZ262155:FKZ262178 FUV262155:FUV262178 GER262155:GER262178 GON262155:GON262178 GYJ262155:GYJ262178 HIF262155:HIF262178 HSB262155:HSB262178 IBX262155:IBX262178 ILT262155:ILT262178 IVP262155:IVP262178 JFL262155:JFL262178 JPH262155:JPH262178 JZD262155:JZD262178 KIZ262155:KIZ262178 KSV262155:KSV262178 LCR262155:LCR262178 LMN262155:LMN262178 LWJ262155:LWJ262178 MGF262155:MGF262178 MQB262155:MQB262178 MZX262155:MZX262178 NJT262155:NJT262178 NTP262155:NTP262178 ODL262155:ODL262178 ONH262155:ONH262178 OXD262155:OXD262178 PGZ262155:PGZ262178 PQV262155:PQV262178 QAR262155:QAR262178 QKN262155:QKN262178 QUJ262155:QUJ262178 REF262155:REF262178 ROB262155:ROB262178 RXX262155:RXX262178 SHT262155:SHT262178 SRP262155:SRP262178 TBL262155:TBL262178 TLH262155:TLH262178 TVD262155:TVD262178 UEZ262155:UEZ262178 UOV262155:UOV262178 UYR262155:UYR262178 VIN262155:VIN262178 VSJ262155:VSJ262178 WCF262155:WCF262178 WMB262155:WMB262178 WVX262155:WVX262178 JL327691:JL327714 TH327691:TH327714 ADD327691:ADD327714 AMZ327691:AMZ327714 AWV327691:AWV327714 BGR327691:BGR327714 BQN327691:BQN327714 CAJ327691:CAJ327714 CKF327691:CKF327714 CUB327691:CUB327714 DDX327691:DDX327714 DNT327691:DNT327714 DXP327691:DXP327714 EHL327691:EHL327714 ERH327691:ERH327714 FBD327691:FBD327714 FKZ327691:FKZ327714 FUV327691:FUV327714 GER327691:GER327714 GON327691:GON327714 GYJ327691:GYJ327714 HIF327691:HIF327714 HSB327691:HSB327714 IBX327691:IBX327714 ILT327691:ILT327714 IVP327691:IVP327714 JFL327691:JFL327714 JPH327691:JPH327714 JZD327691:JZD327714 KIZ327691:KIZ327714 KSV327691:KSV327714 LCR327691:LCR327714 LMN327691:LMN327714 LWJ327691:LWJ327714 MGF327691:MGF327714 MQB327691:MQB327714 MZX327691:MZX327714 NJT327691:NJT327714 NTP327691:NTP327714 ODL327691:ODL327714 ONH327691:ONH327714 OXD327691:OXD327714 PGZ327691:PGZ327714 PQV327691:PQV327714 QAR327691:QAR327714 QKN327691:QKN327714 QUJ327691:QUJ327714 REF327691:REF327714 ROB327691:ROB327714 RXX327691:RXX327714 SHT327691:SHT327714 SRP327691:SRP327714 TBL327691:TBL327714 TLH327691:TLH327714 TVD327691:TVD327714 UEZ327691:UEZ327714 UOV327691:UOV327714 UYR327691:UYR327714 VIN327691:VIN327714 VSJ327691:VSJ327714 WCF327691:WCF327714 WMB327691:WMB327714 WVX327691:WVX327714 JL393227:JL393250 TH393227:TH393250 ADD393227:ADD393250 AMZ393227:AMZ393250 AWV393227:AWV393250 BGR393227:BGR393250 BQN393227:BQN393250 CAJ393227:CAJ393250 CKF393227:CKF393250 CUB393227:CUB393250 DDX393227:DDX393250 DNT393227:DNT393250 DXP393227:DXP393250 EHL393227:EHL393250 ERH393227:ERH393250 FBD393227:FBD393250 FKZ393227:FKZ393250 FUV393227:FUV393250 GER393227:GER393250 GON393227:GON393250 GYJ393227:GYJ393250 HIF393227:HIF393250 HSB393227:HSB393250 IBX393227:IBX393250 ILT393227:ILT393250 IVP393227:IVP393250 JFL393227:JFL393250 JPH393227:JPH393250 JZD393227:JZD393250 KIZ393227:KIZ393250 KSV393227:KSV393250 LCR393227:LCR393250 LMN393227:LMN393250 LWJ393227:LWJ393250 MGF393227:MGF393250 MQB393227:MQB393250 MZX393227:MZX393250 NJT393227:NJT393250 NTP393227:NTP393250 ODL393227:ODL393250 ONH393227:ONH393250 OXD393227:OXD393250 PGZ393227:PGZ393250 PQV393227:PQV393250 QAR393227:QAR393250 QKN393227:QKN393250 QUJ393227:QUJ393250 REF393227:REF393250 ROB393227:ROB393250 RXX393227:RXX393250 SHT393227:SHT393250 SRP393227:SRP393250 TBL393227:TBL393250 TLH393227:TLH393250 TVD393227:TVD393250 UEZ393227:UEZ393250 UOV393227:UOV393250 UYR393227:UYR393250 VIN393227:VIN393250 VSJ393227:VSJ393250 WCF393227:WCF393250 WMB393227:WMB393250 WVX393227:WVX393250 JL458763:JL458786 TH458763:TH458786 ADD458763:ADD458786 AMZ458763:AMZ458786 AWV458763:AWV458786 BGR458763:BGR458786 BQN458763:BQN458786 CAJ458763:CAJ458786 CKF458763:CKF458786 CUB458763:CUB458786 DDX458763:DDX458786 DNT458763:DNT458786 DXP458763:DXP458786 EHL458763:EHL458786 ERH458763:ERH458786 FBD458763:FBD458786 FKZ458763:FKZ458786 FUV458763:FUV458786 GER458763:GER458786 GON458763:GON458786 GYJ458763:GYJ458786 HIF458763:HIF458786 HSB458763:HSB458786 IBX458763:IBX458786 ILT458763:ILT458786 IVP458763:IVP458786 JFL458763:JFL458786 JPH458763:JPH458786 JZD458763:JZD458786 KIZ458763:KIZ458786 KSV458763:KSV458786 LCR458763:LCR458786 LMN458763:LMN458786 LWJ458763:LWJ458786 MGF458763:MGF458786 MQB458763:MQB458786 MZX458763:MZX458786 NJT458763:NJT458786 NTP458763:NTP458786 ODL458763:ODL458786 ONH458763:ONH458786 OXD458763:OXD458786 PGZ458763:PGZ458786 PQV458763:PQV458786 QAR458763:QAR458786 QKN458763:QKN458786 QUJ458763:QUJ458786 REF458763:REF458786 ROB458763:ROB458786 RXX458763:RXX458786 SHT458763:SHT458786 SRP458763:SRP458786 TBL458763:TBL458786 TLH458763:TLH458786 TVD458763:TVD458786 UEZ458763:UEZ458786 UOV458763:UOV458786 UYR458763:UYR458786 VIN458763:VIN458786 VSJ458763:VSJ458786 WCF458763:WCF458786 WMB458763:WMB458786 WVX458763:WVX458786 JL524299:JL524322 TH524299:TH524322 ADD524299:ADD524322 AMZ524299:AMZ524322 AWV524299:AWV524322 BGR524299:BGR524322 BQN524299:BQN524322 CAJ524299:CAJ524322 CKF524299:CKF524322 CUB524299:CUB524322 DDX524299:DDX524322 DNT524299:DNT524322 DXP524299:DXP524322 EHL524299:EHL524322 ERH524299:ERH524322 FBD524299:FBD524322 FKZ524299:FKZ524322 FUV524299:FUV524322 GER524299:GER524322 GON524299:GON524322 GYJ524299:GYJ524322 HIF524299:HIF524322 HSB524299:HSB524322 IBX524299:IBX524322 ILT524299:ILT524322 IVP524299:IVP524322 JFL524299:JFL524322 JPH524299:JPH524322 JZD524299:JZD524322 KIZ524299:KIZ524322 KSV524299:KSV524322 LCR524299:LCR524322 LMN524299:LMN524322 LWJ524299:LWJ524322 MGF524299:MGF524322 MQB524299:MQB524322 MZX524299:MZX524322 NJT524299:NJT524322 NTP524299:NTP524322 ODL524299:ODL524322 ONH524299:ONH524322 OXD524299:OXD524322 PGZ524299:PGZ524322 PQV524299:PQV524322 QAR524299:QAR524322 QKN524299:QKN524322 QUJ524299:QUJ524322 REF524299:REF524322 ROB524299:ROB524322 RXX524299:RXX524322 SHT524299:SHT524322 SRP524299:SRP524322 TBL524299:TBL524322 TLH524299:TLH524322 TVD524299:TVD524322 UEZ524299:UEZ524322 UOV524299:UOV524322 UYR524299:UYR524322 VIN524299:VIN524322 VSJ524299:VSJ524322 WCF524299:WCF524322 WMB524299:WMB524322 WVX524299:WVX524322 JL589835:JL589858 TH589835:TH589858 ADD589835:ADD589858 AMZ589835:AMZ589858 AWV589835:AWV589858 BGR589835:BGR589858 BQN589835:BQN589858 CAJ589835:CAJ589858 CKF589835:CKF589858 CUB589835:CUB589858 DDX589835:DDX589858 DNT589835:DNT589858 DXP589835:DXP589858 EHL589835:EHL589858 ERH589835:ERH589858 FBD589835:FBD589858 FKZ589835:FKZ589858 FUV589835:FUV589858 GER589835:GER589858 GON589835:GON589858 GYJ589835:GYJ589858 HIF589835:HIF589858 HSB589835:HSB589858 IBX589835:IBX589858 ILT589835:ILT589858 IVP589835:IVP589858 JFL589835:JFL589858 JPH589835:JPH589858 JZD589835:JZD589858 KIZ589835:KIZ589858 KSV589835:KSV589858 LCR589835:LCR589858 LMN589835:LMN589858 LWJ589835:LWJ589858 MGF589835:MGF589858 MQB589835:MQB589858 MZX589835:MZX589858 NJT589835:NJT589858 NTP589835:NTP589858 ODL589835:ODL589858 ONH589835:ONH589858 OXD589835:OXD589858 PGZ589835:PGZ589858 PQV589835:PQV589858 QAR589835:QAR589858 QKN589835:QKN589858 QUJ589835:QUJ589858 REF589835:REF589858 ROB589835:ROB589858 RXX589835:RXX589858 SHT589835:SHT589858 SRP589835:SRP589858 TBL589835:TBL589858 TLH589835:TLH589858 TVD589835:TVD589858 UEZ589835:UEZ589858 UOV589835:UOV589858 UYR589835:UYR589858 VIN589835:VIN589858 VSJ589835:VSJ589858 WCF589835:WCF589858 WMB589835:WMB589858 WVX589835:WVX589858 JL655371:JL655394 TH655371:TH655394 ADD655371:ADD655394 AMZ655371:AMZ655394 AWV655371:AWV655394 BGR655371:BGR655394 BQN655371:BQN655394 CAJ655371:CAJ655394 CKF655371:CKF655394 CUB655371:CUB655394 DDX655371:DDX655394 DNT655371:DNT655394 DXP655371:DXP655394 EHL655371:EHL655394 ERH655371:ERH655394 FBD655371:FBD655394 FKZ655371:FKZ655394 FUV655371:FUV655394 GER655371:GER655394 GON655371:GON655394 GYJ655371:GYJ655394 HIF655371:HIF655394 HSB655371:HSB655394 IBX655371:IBX655394 ILT655371:ILT655394 IVP655371:IVP655394 JFL655371:JFL655394 JPH655371:JPH655394 JZD655371:JZD655394 KIZ655371:KIZ655394 KSV655371:KSV655394 LCR655371:LCR655394 LMN655371:LMN655394 LWJ655371:LWJ655394 MGF655371:MGF655394 MQB655371:MQB655394 MZX655371:MZX655394 NJT655371:NJT655394 NTP655371:NTP655394 ODL655371:ODL655394 ONH655371:ONH655394 OXD655371:OXD655394 PGZ655371:PGZ655394 PQV655371:PQV655394 QAR655371:QAR655394 QKN655371:QKN655394 QUJ655371:QUJ655394 REF655371:REF655394 ROB655371:ROB655394 RXX655371:RXX655394 SHT655371:SHT655394 SRP655371:SRP655394 TBL655371:TBL655394 TLH655371:TLH655394 TVD655371:TVD655394 UEZ655371:UEZ655394 UOV655371:UOV655394 UYR655371:UYR655394 VIN655371:VIN655394 VSJ655371:VSJ655394 WCF655371:WCF655394 WMB655371:WMB655394 WVX655371:WVX655394 JL720907:JL720930 TH720907:TH720930 ADD720907:ADD720930 AMZ720907:AMZ720930 AWV720907:AWV720930 BGR720907:BGR720930 BQN720907:BQN720930 CAJ720907:CAJ720930 CKF720907:CKF720930 CUB720907:CUB720930 DDX720907:DDX720930 DNT720907:DNT720930 DXP720907:DXP720930 EHL720907:EHL720930 ERH720907:ERH720930 FBD720907:FBD720930 FKZ720907:FKZ720930 FUV720907:FUV720930 GER720907:GER720930 GON720907:GON720930 GYJ720907:GYJ720930 HIF720907:HIF720930 HSB720907:HSB720930 IBX720907:IBX720930 ILT720907:ILT720930 IVP720907:IVP720930 JFL720907:JFL720930 JPH720907:JPH720930 JZD720907:JZD720930 KIZ720907:KIZ720930 KSV720907:KSV720930 LCR720907:LCR720930 LMN720907:LMN720930 LWJ720907:LWJ720930 MGF720907:MGF720930 MQB720907:MQB720930 MZX720907:MZX720930 NJT720907:NJT720930 NTP720907:NTP720930 ODL720907:ODL720930 ONH720907:ONH720930 OXD720907:OXD720930 PGZ720907:PGZ720930 PQV720907:PQV720930 QAR720907:QAR720930 QKN720907:QKN720930 QUJ720907:QUJ720930 REF720907:REF720930 ROB720907:ROB720930 RXX720907:RXX720930 SHT720907:SHT720930 SRP720907:SRP720930 TBL720907:TBL720930 TLH720907:TLH720930 TVD720907:TVD720930 UEZ720907:UEZ720930 UOV720907:UOV720930 UYR720907:UYR720930 VIN720907:VIN720930 VSJ720907:VSJ720930 WCF720907:WCF720930 WMB720907:WMB720930 WVX720907:WVX720930 JL786443:JL786466 TH786443:TH786466 ADD786443:ADD786466 AMZ786443:AMZ786466 AWV786443:AWV786466 BGR786443:BGR786466 BQN786443:BQN786466 CAJ786443:CAJ786466 CKF786443:CKF786466 CUB786443:CUB786466 DDX786443:DDX786466 DNT786443:DNT786466 DXP786443:DXP786466 EHL786443:EHL786466 ERH786443:ERH786466 FBD786443:FBD786466 FKZ786443:FKZ786466 FUV786443:FUV786466 GER786443:GER786466 GON786443:GON786466 GYJ786443:GYJ786466 HIF786443:HIF786466 HSB786443:HSB786466 IBX786443:IBX786466 ILT786443:ILT786466 IVP786443:IVP786466 JFL786443:JFL786466 JPH786443:JPH786466 JZD786443:JZD786466 KIZ786443:KIZ786466 KSV786443:KSV786466 LCR786443:LCR786466 LMN786443:LMN786466 LWJ786443:LWJ786466 MGF786443:MGF786466 MQB786443:MQB786466 MZX786443:MZX786466 NJT786443:NJT786466 NTP786443:NTP786466 ODL786443:ODL786466 ONH786443:ONH786466 OXD786443:OXD786466 PGZ786443:PGZ786466 PQV786443:PQV786466 QAR786443:QAR786466 QKN786443:QKN786466 QUJ786443:QUJ786466 REF786443:REF786466 ROB786443:ROB786466 RXX786443:RXX786466 SHT786443:SHT786466 SRP786443:SRP786466 TBL786443:TBL786466 TLH786443:TLH786466 TVD786443:TVD786466 UEZ786443:UEZ786466 UOV786443:UOV786466 UYR786443:UYR786466 VIN786443:VIN786466 VSJ786443:VSJ786466 WCF786443:WCF786466 WMB786443:WMB786466 WVX786443:WVX786466 JL851979:JL852002 TH851979:TH852002 ADD851979:ADD852002 AMZ851979:AMZ852002 AWV851979:AWV852002 BGR851979:BGR852002 BQN851979:BQN852002 CAJ851979:CAJ852002 CKF851979:CKF852002 CUB851979:CUB852002 DDX851979:DDX852002 DNT851979:DNT852002 DXP851979:DXP852002 EHL851979:EHL852002 ERH851979:ERH852002 FBD851979:FBD852002 FKZ851979:FKZ852002 FUV851979:FUV852002 GER851979:GER852002 GON851979:GON852002 GYJ851979:GYJ852002 HIF851979:HIF852002 HSB851979:HSB852002 IBX851979:IBX852002 ILT851979:ILT852002 IVP851979:IVP852002 JFL851979:JFL852002 JPH851979:JPH852002 JZD851979:JZD852002 KIZ851979:KIZ852002 KSV851979:KSV852002 LCR851979:LCR852002 LMN851979:LMN852002 LWJ851979:LWJ852002 MGF851979:MGF852002 MQB851979:MQB852002 MZX851979:MZX852002 NJT851979:NJT852002 NTP851979:NTP852002 ODL851979:ODL852002 ONH851979:ONH852002 OXD851979:OXD852002 PGZ851979:PGZ852002 PQV851979:PQV852002 QAR851979:QAR852002 QKN851979:QKN852002 QUJ851979:QUJ852002 REF851979:REF852002 ROB851979:ROB852002 RXX851979:RXX852002 SHT851979:SHT852002 SRP851979:SRP852002 TBL851979:TBL852002 TLH851979:TLH852002 TVD851979:TVD852002 UEZ851979:UEZ852002 UOV851979:UOV852002 UYR851979:UYR852002 VIN851979:VIN852002 VSJ851979:VSJ852002 WCF851979:WCF852002 WMB851979:WMB852002 WVX851979:WVX852002 JL917515:JL917538 TH917515:TH917538 ADD917515:ADD917538 AMZ917515:AMZ917538 AWV917515:AWV917538 BGR917515:BGR917538 BQN917515:BQN917538 CAJ917515:CAJ917538 CKF917515:CKF917538 CUB917515:CUB917538 DDX917515:DDX917538 DNT917515:DNT917538 DXP917515:DXP917538 EHL917515:EHL917538 ERH917515:ERH917538 FBD917515:FBD917538 FKZ917515:FKZ917538 FUV917515:FUV917538 GER917515:GER917538 GON917515:GON917538 GYJ917515:GYJ917538 HIF917515:HIF917538 HSB917515:HSB917538 IBX917515:IBX917538 ILT917515:ILT917538 IVP917515:IVP917538 JFL917515:JFL917538 JPH917515:JPH917538 JZD917515:JZD917538 KIZ917515:KIZ917538 KSV917515:KSV917538 LCR917515:LCR917538 LMN917515:LMN917538 LWJ917515:LWJ917538 MGF917515:MGF917538 MQB917515:MQB917538 MZX917515:MZX917538 NJT917515:NJT917538 NTP917515:NTP917538 ODL917515:ODL917538 ONH917515:ONH917538 OXD917515:OXD917538 PGZ917515:PGZ917538 PQV917515:PQV917538 QAR917515:QAR917538 QKN917515:QKN917538 QUJ917515:QUJ917538 REF917515:REF917538 ROB917515:ROB917538 RXX917515:RXX917538 SHT917515:SHT917538 SRP917515:SRP917538 TBL917515:TBL917538 TLH917515:TLH917538 TVD917515:TVD917538 UEZ917515:UEZ917538 UOV917515:UOV917538 UYR917515:UYR917538 VIN917515:VIN917538 VSJ917515:VSJ917538 WCF917515:WCF917538 WMB917515:WMB917538 WVX917515:WVX917538 JL983051:JL983074 TH983051:TH983074 ADD983051:ADD983074 AMZ983051:AMZ983074 AWV983051:AWV983074 BGR983051:BGR983074 BQN983051:BQN983074 CAJ983051:CAJ983074 CKF983051:CKF983074 CUB983051:CUB983074 DDX983051:DDX983074 DNT983051:DNT983074 DXP983051:DXP983074 EHL983051:EHL983074 ERH983051:ERH983074 FBD983051:FBD983074 FKZ983051:FKZ983074 FUV983051:FUV983074 GER983051:GER983074 GON983051:GON983074 GYJ983051:GYJ983074 HIF983051:HIF983074 HSB983051:HSB983074 IBX983051:IBX983074 ILT983051:ILT983074 IVP983051:IVP983074 JFL983051:JFL983074 JPH983051:JPH983074 JZD983051:JZD983074 KIZ983051:KIZ983074 KSV983051:KSV983074 LCR983051:LCR983074 LMN983051:LMN983074 LWJ983051:LWJ983074 MGF983051:MGF983074 MQB983051:MQB983074 MZX983051:MZX983074 NJT983051:NJT983074 NTP983051:NTP983074 ODL983051:ODL983074 ONH983051:ONH983074 OXD983051:OXD983074 PGZ983051:PGZ983074 PQV983051:PQV983074 QAR983051:QAR983074 QKN983051:QKN983074 QUJ983051:QUJ983074 REF983051:REF983074 ROB983051:ROB983074 RXX983051:RXX983074 SHT983051:SHT983074 SRP983051:SRP983074 TBL983051:TBL983074 TLH983051:TLH983074 TVD983051:TVD983074 UEZ983051:UEZ983074 UOV983051:UOV983074 UYR983051:UYR983074 VIN983051:VIN983074 VSJ983051:VSJ983074 WCF983051:WCF983074 WMB983051:WMB983074 ACM11:ACM30 SQ11:SQ30 IU11:IU30 WVI11:WVI30 WLM11:WLM30 WBQ11:WBQ30 VRU11:VRU30 VHY11:VHY30 UYC11:UYC30 UOG11:UOG30 UEK11:UEK30 TUO11:TUO30 TKS11:TKS30 TAW11:TAW30 SRA11:SRA30 SHE11:SHE30 RXI11:RXI30 RNM11:RNM30 RDQ11:RDQ30 QTU11:QTU30 QJY11:QJY30 QAC11:QAC30 PQG11:PQG30 PGK11:PGK30 OWO11:OWO30 OMS11:OMS30 OCW11:OCW30 NTA11:NTA30 NJE11:NJE30 MZI11:MZI30 MPM11:MPM30 MFQ11:MFQ30 LVU11:LVU30 LLY11:LLY30 LCC11:LCC30 KSG11:KSG30 KIK11:KIK30 JYO11:JYO30 JOS11:JOS30 JEW11:JEW30 IVA11:IVA30 ILE11:ILE30 IBI11:IBI30 HRM11:HRM30 HHQ11:HHQ30 GXU11:GXU30 GNY11:GNY30 GEC11:GEC30 FUG11:FUG30 FKK11:FKK30 FAO11:FAO30 EQS11:EQS30 EGW11:EGW30 DXA11:DXA30 DNE11:DNE30 DDI11:DDI30 CTM11:CTM30 CJQ11:CJQ30 BZU11:BZU30 BPY11:BPY30 BGC11:BGC30 AWG11:AWG30 AMK11:AMK30 ACO11:ACO30 SS11:SS30 IW11:IW30 WVG11:WVG30 WLK11:WLK30 WBO11:WBO30 VRS11:VRS30 VHW11:VHW30 UYA11:UYA30 UOE11:UOE30 UEI11:UEI30 TUM11:TUM30 TKQ11:TKQ30 TAU11:TAU30 SQY11:SQY30 SHC11:SHC30 RXG11:RXG30 RNK11:RNK30 RDO11:RDO30 QTS11:QTS30 QJW11:QJW30 QAA11:QAA30 PQE11:PQE30 PGI11:PGI30 OWM11:OWM30 OMQ11:OMQ30 OCU11:OCU30 NSY11:NSY30 NJC11:NJC30 MZG11:MZG30 MPK11:MPK30 MFO11:MFO30 LVS11:LVS30 LLW11:LLW30 LCA11:LCA30 KSE11:KSE30 KII11:KII30 JYM11:JYM30 JOQ11:JOQ30 JEU11:JEU30 IUY11:IUY30 ILC11:ILC30 IBG11:IBG30 HRK11:HRK30 HHO11:HHO30 GXS11:GXS30 GNW11:GNW30 GEA11:GEA30 FUE11:FUE30 FKI11:FKI30 FAM11:FAM30 EQQ11:EQQ30 EGU11:EGU30 DWY11:DWY30 DNC11:DNC30 DDG11:DDG30 CTK11:CTK30 CJO11:CJO30 BZS11:BZS30 BPW11:BPW30 BGA11:BGA30 AWE11:AWE30 AMI11:AMI30 W11:W35 U11:U35" xr:uid="{00000000-0002-0000-0300-000000000000}">
      <formula1>"1,2,3,4"</formula1>
    </dataValidation>
    <dataValidation type="list" allowBlank="1" showInputMessage="1" showErrorMessage="1" sqref="T65547:T65570 JI65547:JI65570 TE65547:TE65570 ADA65547:ADA65570 AMW65547:AMW65570 AWS65547:AWS65570 BGO65547:BGO65570 BQK65547:BQK65570 CAG65547:CAG65570 CKC65547:CKC65570 CTY65547:CTY65570 DDU65547:DDU65570 DNQ65547:DNQ65570 DXM65547:DXM65570 EHI65547:EHI65570 ERE65547:ERE65570 FBA65547:FBA65570 FKW65547:FKW65570 FUS65547:FUS65570 GEO65547:GEO65570 GOK65547:GOK65570 GYG65547:GYG65570 HIC65547:HIC65570 HRY65547:HRY65570 IBU65547:IBU65570 ILQ65547:ILQ65570 IVM65547:IVM65570 JFI65547:JFI65570 JPE65547:JPE65570 JZA65547:JZA65570 KIW65547:KIW65570 KSS65547:KSS65570 LCO65547:LCO65570 LMK65547:LMK65570 LWG65547:LWG65570 MGC65547:MGC65570 MPY65547:MPY65570 MZU65547:MZU65570 NJQ65547:NJQ65570 NTM65547:NTM65570 ODI65547:ODI65570 ONE65547:ONE65570 OXA65547:OXA65570 PGW65547:PGW65570 PQS65547:PQS65570 QAO65547:QAO65570 QKK65547:QKK65570 QUG65547:QUG65570 REC65547:REC65570 RNY65547:RNY65570 RXU65547:RXU65570 SHQ65547:SHQ65570 SRM65547:SRM65570 TBI65547:TBI65570 TLE65547:TLE65570 TVA65547:TVA65570 UEW65547:UEW65570 UOS65547:UOS65570 UYO65547:UYO65570 VIK65547:VIK65570 VSG65547:VSG65570 WCC65547:WCC65570 WLY65547:WLY65570 WVU65547:WVU65570 T131083:T131106 JI131083:JI131106 TE131083:TE131106 ADA131083:ADA131106 AMW131083:AMW131106 AWS131083:AWS131106 BGO131083:BGO131106 BQK131083:BQK131106 CAG131083:CAG131106 CKC131083:CKC131106 CTY131083:CTY131106 DDU131083:DDU131106 DNQ131083:DNQ131106 DXM131083:DXM131106 EHI131083:EHI131106 ERE131083:ERE131106 FBA131083:FBA131106 FKW131083:FKW131106 FUS131083:FUS131106 GEO131083:GEO131106 GOK131083:GOK131106 GYG131083:GYG131106 HIC131083:HIC131106 HRY131083:HRY131106 IBU131083:IBU131106 ILQ131083:ILQ131106 IVM131083:IVM131106 JFI131083:JFI131106 JPE131083:JPE131106 JZA131083:JZA131106 KIW131083:KIW131106 KSS131083:KSS131106 LCO131083:LCO131106 LMK131083:LMK131106 LWG131083:LWG131106 MGC131083:MGC131106 MPY131083:MPY131106 MZU131083:MZU131106 NJQ131083:NJQ131106 NTM131083:NTM131106 ODI131083:ODI131106 ONE131083:ONE131106 OXA131083:OXA131106 PGW131083:PGW131106 PQS131083:PQS131106 QAO131083:QAO131106 QKK131083:QKK131106 QUG131083:QUG131106 REC131083:REC131106 RNY131083:RNY131106 RXU131083:RXU131106 SHQ131083:SHQ131106 SRM131083:SRM131106 TBI131083:TBI131106 TLE131083:TLE131106 TVA131083:TVA131106 UEW131083:UEW131106 UOS131083:UOS131106 UYO131083:UYO131106 VIK131083:VIK131106 VSG131083:VSG131106 WCC131083:WCC131106 WLY131083:WLY131106 WVU131083:WVU131106 T196619:T196642 JI196619:JI196642 TE196619:TE196642 ADA196619:ADA196642 AMW196619:AMW196642 AWS196619:AWS196642 BGO196619:BGO196642 BQK196619:BQK196642 CAG196619:CAG196642 CKC196619:CKC196642 CTY196619:CTY196642 DDU196619:DDU196642 DNQ196619:DNQ196642 DXM196619:DXM196642 EHI196619:EHI196642 ERE196619:ERE196642 FBA196619:FBA196642 FKW196619:FKW196642 FUS196619:FUS196642 GEO196619:GEO196642 GOK196619:GOK196642 GYG196619:GYG196642 HIC196619:HIC196642 HRY196619:HRY196642 IBU196619:IBU196642 ILQ196619:ILQ196642 IVM196619:IVM196642 JFI196619:JFI196642 JPE196619:JPE196642 JZA196619:JZA196642 KIW196619:KIW196642 KSS196619:KSS196642 LCO196619:LCO196642 LMK196619:LMK196642 LWG196619:LWG196642 MGC196619:MGC196642 MPY196619:MPY196642 MZU196619:MZU196642 NJQ196619:NJQ196642 NTM196619:NTM196642 ODI196619:ODI196642 ONE196619:ONE196642 OXA196619:OXA196642 PGW196619:PGW196642 PQS196619:PQS196642 QAO196619:QAO196642 QKK196619:QKK196642 QUG196619:QUG196642 REC196619:REC196642 RNY196619:RNY196642 RXU196619:RXU196642 SHQ196619:SHQ196642 SRM196619:SRM196642 TBI196619:TBI196642 TLE196619:TLE196642 TVA196619:TVA196642 UEW196619:UEW196642 UOS196619:UOS196642 UYO196619:UYO196642 VIK196619:VIK196642 VSG196619:VSG196642 WCC196619:WCC196642 WLY196619:WLY196642 WVU196619:WVU196642 T262155:T262178 JI262155:JI262178 TE262155:TE262178 ADA262155:ADA262178 AMW262155:AMW262178 AWS262155:AWS262178 BGO262155:BGO262178 BQK262155:BQK262178 CAG262155:CAG262178 CKC262155:CKC262178 CTY262155:CTY262178 DDU262155:DDU262178 DNQ262155:DNQ262178 DXM262155:DXM262178 EHI262155:EHI262178 ERE262155:ERE262178 FBA262155:FBA262178 FKW262155:FKW262178 FUS262155:FUS262178 GEO262155:GEO262178 GOK262155:GOK262178 GYG262155:GYG262178 HIC262155:HIC262178 HRY262155:HRY262178 IBU262155:IBU262178 ILQ262155:ILQ262178 IVM262155:IVM262178 JFI262155:JFI262178 JPE262155:JPE262178 JZA262155:JZA262178 KIW262155:KIW262178 KSS262155:KSS262178 LCO262155:LCO262178 LMK262155:LMK262178 LWG262155:LWG262178 MGC262155:MGC262178 MPY262155:MPY262178 MZU262155:MZU262178 NJQ262155:NJQ262178 NTM262155:NTM262178 ODI262155:ODI262178 ONE262155:ONE262178 OXA262155:OXA262178 PGW262155:PGW262178 PQS262155:PQS262178 QAO262155:QAO262178 QKK262155:QKK262178 QUG262155:QUG262178 REC262155:REC262178 RNY262155:RNY262178 RXU262155:RXU262178 SHQ262155:SHQ262178 SRM262155:SRM262178 TBI262155:TBI262178 TLE262155:TLE262178 TVA262155:TVA262178 UEW262155:UEW262178 UOS262155:UOS262178 UYO262155:UYO262178 VIK262155:VIK262178 VSG262155:VSG262178 WCC262155:WCC262178 WLY262155:WLY262178 WVU262155:WVU262178 T327691:T327714 JI327691:JI327714 TE327691:TE327714 ADA327691:ADA327714 AMW327691:AMW327714 AWS327691:AWS327714 BGO327691:BGO327714 BQK327691:BQK327714 CAG327691:CAG327714 CKC327691:CKC327714 CTY327691:CTY327714 DDU327691:DDU327714 DNQ327691:DNQ327714 DXM327691:DXM327714 EHI327691:EHI327714 ERE327691:ERE327714 FBA327691:FBA327714 FKW327691:FKW327714 FUS327691:FUS327714 GEO327691:GEO327714 GOK327691:GOK327714 GYG327691:GYG327714 HIC327691:HIC327714 HRY327691:HRY327714 IBU327691:IBU327714 ILQ327691:ILQ327714 IVM327691:IVM327714 JFI327691:JFI327714 JPE327691:JPE327714 JZA327691:JZA327714 KIW327691:KIW327714 KSS327691:KSS327714 LCO327691:LCO327714 LMK327691:LMK327714 LWG327691:LWG327714 MGC327691:MGC327714 MPY327691:MPY327714 MZU327691:MZU327714 NJQ327691:NJQ327714 NTM327691:NTM327714 ODI327691:ODI327714 ONE327691:ONE327714 OXA327691:OXA327714 PGW327691:PGW327714 PQS327691:PQS327714 QAO327691:QAO327714 QKK327691:QKK327714 QUG327691:QUG327714 REC327691:REC327714 RNY327691:RNY327714 RXU327691:RXU327714 SHQ327691:SHQ327714 SRM327691:SRM327714 TBI327691:TBI327714 TLE327691:TLE327714 TVA327691:TVA327714 UEW327691:UEW327714 UOS327691:UOS327714 UYO327691:UYO327714 VIK327691:VIK327714 VSG327691:VSG327714 WCC327691:WCC327714 WLY327691:WLY327714 WVU327691:WVU327714 T393227:T393250 JI393227:JI393250 TE393227:TE393250 ADA393227:ADA393250 AMW393227:AMW393250 AWS393227:AWS393250 BGO393227:BGO393250 BQK393227:BQK393250 CAG393227:CAG393250 CKC393227:CKC393250 CTY393227:CTY393250 DDU393227:DDU393250 DNQ393227:DNQ393250 DXM393227:DXM393250 EHI393227:EHI393250 ERE393227:ERE393250 FBA393227:FBA393250 FKW393227:FKW393250 FUS393227:FUS393250 GEO393227:GEO393250 GOK393227:GOK393250 GYG393227:GYG393250 HIC393227:HIC393250 HRY393227:HRY393250 IBU393227:IBU393250 ILQ393227:ILQ393250 IVM393227:IVM393250 JFI393227:JFI393250 JPE393227:JPE393250 JZA393227:JZA393250 KIW393227:KIW393250 KSS393227:KSS393250 LCO393227:LCO393250 LMK393227:LMK393250 LWG393227:LWG393250 MGC393227:MGC393250 MPY393227:MPY393250 MZU393227:MZU393250 NJQ393227:NJQ393250 NTM393227:NTM393250 ODI393227:ODI393250 ONE393227:ONE393250 OXA393227:OXA393250 PGW393227:PGW393250 PQS393227:PQS393250 QAO393227:QAO393250 QKK393227:QKK393250 QUG393227:QUG393250 REC393227:REC393250 RNY393227:RNY393250 RXU393227:RXU393250 SHQ393227:SHQ393250 SRM393227:SRM393250 TBI393227:TBI393250 TLE393227:TLE393250 TVA393227:TVA393250 UEW393227:UEW393250 UOS393227:UOS393250 UYO393227:UYO393250 VIK393227:VIK393250 VSG393227:VSG393250 WCC393227:WCC393250 WLY393227:WLY393250 WVU393227:WVU393250 T458763:T458786 JI458763:JI458786 TE458763:TE458786 ADA458763:ADA458786 AMW458763:AMW458786 AWS458763:AWS458786 BGO458763:BGO458786 BQK458763:BQK458786 CAG458763:CAG458786 CKC458763:CKC458786 CTY458763:CTY458786 DDU458763:DDU458786 DNQ458763:DNQ458786 DXM458763:DXM458786 EHI458763:EHI458786 ERE458763:ERE458786 FBA458763:FBA458786 FKW458763:FKW458786 FUS458763:FUS458786 GEO458763:GEO458786 GOK458763:GOK458786 GYG458763:GYG458786 HIC458763:HIC458786 HRY458763:HRY458786 IBU458763:IBU458786 ILQ458763:ILQ458786 IVM458763:IVM458786 JFI458763:JFI458786 JPE458763:JPE458786 JZA458763:JZA458786 KIW458763:KIW458786 KSS458763:KSS458786 LCO458763:LCO458786 LMK458763:LMK458786 LWG458763:LWG458786 MGC458763:MGC458786 MPY458763:MPY458786 MZU458763:MZU458786 NJQ458763:NJQ458786 NTM458763:NTM458786 ODI458763:ODI458786 ONE458763:ONE458786 OXA458763:OXA458786 PGW458763:PGW458786 PQS458763:PQS458786 QAO458763:QAO458786 QKK458763:QKK458786 QUG458763:QUG458786 REC458763:REC458786 RNY458763:RNY458786 RXU458763:RXU458786 SHQ458763:SHQ458786 SRM458763:SRM458786 TBI458763:TBI458786 TLE458763:TLE458786 TVA458763:TVA458786 UEW458763:UEW458786 UOS458763:UOS458786 UYO458763:UYO458786 VIK458763:VIK458786 VSG458763:VSG458786 WCC458763:WCC458786 WLY458763:WLY458786 WVU458763:WVU458786 T524299:T524322 JI524299:JI524322 TE524299:TE524322 ADA524299:ADA524322 AMW524299:AMW524322 AWS524299:AWS524322 BGO524299:BGO524322 BQK524299:BQK524322 CAG524299:CAG524322 CKC524299:CKC524322 CTY524299:CTY524322 DDU524299:DDU524322 DNQ524299:DNQ524322 DXM524299:DXM524322 EHI524299:EHI524322 ERE524299:ERE524322 FBA524299:FBA524322 FKW524299:FKW524322 FUS524299:FUS524322 GEO524299:GEO524322 GOK524299:GOK524322 GYG524299:GYG524322 HIC524299:HIC524322 HRY524299:HRY524322 IBU524299:IBU524322 ILQ524299:ILQ524322 IVM524299:IVM524322 JFI524299:JFI524322 JPE524299:JPE524322 JZA524299:JZA524322 KIW524299:KIW524322 KSS524299:KSS524322 LCO524299:LCO524322 LMK524299:LMK524322 LWG524299:LWG524322 MGC524299:MGC524322 MPY524299:MPY524322 MZU524299:MZU524322 NJQ524299:NJQ524322 NTM524299:NTM524322 ODI524299:ODI524322 ONE524299:ONE524322 OXA524299:OXA524322 PGW524299:PGW524322 PQS524299:PQS524322 QAO524299:QAO524322 QKK524299:QKK524322 QUG524299:QUG524322 REC524299:REC524322 RNY524299:RNY524322 RXU524299:RXU524322 SHQ524299:SHQ524322 SRM524299:SRM524322 TBI524299:TBI524322 TLE524299:TLE524322 TVA524299:TVA524322 UEW524299:UEW524322 UOS524299:UOS524322 UYO524299:UYO524322 VIK524299:VIK524322 VSG524299:VSG524322 WCC524299:WCC524322 WLY524299:WLY524322 WVU524299:WVU524322 T589835:T589858 JI589835:JI589858 TE589835:TE589858 ADA589835:ADA589858 AMW589835:AMW589858 AWS589835:AWS589858 BGO589835:BGO589858 BQK589835:BQK589858 CAG589835:CAG589858 CKC589835:CKC589858 CTY589835:CTY589858 DDU589835:DDU589858 DNQ589835:DNQ589858 DXM589835:DXM589858 EHI589835:EHI589858 ERE589835:ERE589858 FBA589835:FBA589858 FKW589835:FKW589858 FUS589835:FUS589858 GEO589835:GEO589858 GOK589835:GOK589858 GYG589835:GYG589858 HIC589835:HIC589858 HRY589835:HRY589858 IBU589835:IBU589858 ILQ589835:ILQ589858 IVM589835:IVM589858 JFI589835:JFI589858 JPE589835:JPE589858 JZA589835:JZA589858 KIW589835:KIW589858 KSS589835:KSS589858 LCO589835:LCO589858 LMK589835:LMK589858 LWG589835:LWG589858 MGC589835:MGC589858 MPY589835:MPY589858 MZU589835:MZU589858 NJQ589835:NJQ589858 NTM589835:NTM589858 ODI589835:ODI589858 ONE589835:ONE589858 OXA589835:OXA589858 PGW589835:PGW589858 PQS589835:PQS589858 QAO589835:QAO589858 QKK589835:QKK589858 QUG589835:QUG589858 REC589835:REC589858 RNY589835:RNY589858 RXU589835:RXU589858 SHQ589835:SHQ589858 SRM589835:SRM589858 TBI589835:TBI589858 TLE589835:TLE589858 TVA589835:TVA589858 UEW589835:UEW589858 UOS589835:UOS589858 UYO589835:UYO589858 VIK589835:VIK589858 VSG589835:VSG589858 WCC589835:WCC589858 WLY589835:WLY589858 WVU589835:WVU589858 T655371:T655394 JI655371:JI655394 TE655371:TE655394 ADA655371:ADA655394 AMW655371:AMW655394 AWS655371:AWS655394 BGO655371:BGO655394 BQK655371:BQK655394 CAG655371:CAG655394 CKC655371:CKC655394 CTY655371:CTY655394 DDU655371:DDU655394 DNQ655371:DNQ655394 DXM655371:DXM655394 EHI655371:EHI655394 ERE655371:ERE655394 FBA655371:FBA655394 FKW655371:FKW655394 FUS655371:FUS655394 GEO655371:GEO655394 GOK655371:GOK655394 GYG655371:GYG655394 HIC655371:HIC655394 HRY655371:HRY655394 IBU655371:IBU655394 ILQ655371:ILQ655394 IVM655371:IVM655394 JFI655371:JFI655394 JPE655371:JPE655394 JZA655371:JZA655394 KIW655371:KIW655394 KSS655371:KSS655394 LCO655371:LCO655394 LMK655371:LMK655394 LWG655371:LWG655394 MGC655371:MGC655394 MPY655371:MPY655394 MZU655371:MZU655394 NJQ655371:NJQ655394 NTM655371:NTM655394 ODI655371:ODI655394 ONE655371:ONE655394 OXA655371:OXA655394 PGW655371:PGW655394 PQS655371:PQS655394 QAO655371:QAO655394 QKK655371:QKK655394 QUG655371:QUG655394 REC655371:REC655394 RNY655371:RNY655394 RXU655371:RXU655394 SHQ655371:SHQ655394 SRM655371:SRM655394 TBI655371:TBI655394 TLE655371:TLE655394 TVA655371:TVA655394 UEW655371:UEW655394 UOS655371:UOS655394 UYO655371:UYO655394 VIK655371:VIK655394 VSG655371:VSG655394 WCC655371:WCC655394 WLY655371:WLY655394 WVU655371:WVU655394 T720907:T720930 JI720907:JI720930 TE720907:TE720930 ADA720907:ADA720930 AMW720907:AMW720930 AWS720907:AWS720930 BGO720907:BGO720930 BQK720907:BQK720930 CAG720907:CAG720930 CKC720907:CKC720930 CTY720907:CTY720930 DDU720907:DDU720930 DNQ720907:DNQ720930 DXM720907:DXM720930 EHI720907:EHI720930 ERE720907:ERE720930 FBA720907:FBA720930 FKW720907:FKW720930 FUS720907:FUS720930 GEO720907:GEO720930 GOK720907:GOK720930 GYG720907:GYG720930 HIC720907:HIC720930 HRY720907:HRY720930 IBU720907:IBU720930 ILQ720907:ILQ720930 IVM720907:IVM720930 JFI720907:JFI720930 JPE720907:JPE720930 JZA720907:JZA720930 KIW720907:KIW720930 KSS720907:KSS720930 LCO720907:LCO720930 LMK720907:LMK720930 LWG720907:LWG720930 MGC720907:MGC720930 MPY720907:MPY720930 MZU720907:MZU720930 NJQ720907:NJQ720930 NTM720907:NTM720930 ODI720907:ODI720930 ONE720907:ONE720930 OXA720907:OXA720930 PGW720907:PGW720930 PQS720907:PQS720930 QAO720907:QAO720930 QKK720907:QKK720930 QUG720907:QUG720930 REC720907:REC720930 RNY720907:RNY720930 RXU720907:RXU720930 SHQ720907:SHQ720930 SRM720907:SRM720930 TBI720907:TBI720930 TLE720907:TLE720930 TVA720907:TVA720930 UEW720907:UEW720930 UOS720907:UOS720930 UYO720907:UYO720930 VIK720907:VIK720930 VSG720907:VSG720930 WCC720907:WCC720930 WLY720907:WLY720930 WVU720907:WVU720930 T786443:T786466 JI786443:JI786466 TE786443:TE786466 ADA786443:ADA786466 AMW786443:AMW786466 AWS786443:AWS786466 BGO786443:BGO786466 BQK786443:BQK786466 CAG786443:CAG786466 CKC786443:CKC786466 CTY786443:CTY786466 DDU786443:DDU786466 DNQ786443:DNQ786466 DXM786443:DXM786466 EHI786443:EHI786466 ERE786443:ERE786466 FBA786443:FBA786466 FKW786443:FKW786466 FUS786443:FUS786466 GEO786443:GEO786466 GOK786443:GOK786466 GYG786443:GYG786466 HIC786443:HIC786466 HRY786443:HRY786466 IBU786443:IBU786466 ILQ786443:ILQ786466 IVM786443:IVM786466 JFI786443:JFI786466 JPE786443:JPE786466 JZA786443:JZA786466 KIW786443:KIW786466 KSS786443:KSS786466 LCO786443:LCO786466 LMK786443:LMK786466 LWG786443:LWG786466 MGC786443:MGC786466 MPY786443:MPY786466 MZU786443:MZU786466 NJQ786443:NJQ786466 NTM786443:NTM786466 ODI786443:ODI786466 ONE786443:ONE786466 OXA786443:OXA786466 PGW786443:PGW786466 PQS786443:PQS786466 QAO786443:QAO786466 QKK786443:QKK786466 QUG786443:QUG786466 REC786443:REC786466 RNY786443:RNY786466 RXU786443:RXU786466 SHQ786443:SHQ786466 SRM786443:SRM786466 TBI786443:TBI786466 TLE786443:TLE786466 TVA786443:TVA786466 UEW786443:UEW786466 UOS786443:UOS786466 UYO786443:UYO786466 VIK786443:VIK786466 VSG786443:VSG786466 WCC786443:WCC786466 WLY786443:WLY786466 WVU786443:WVU786466 T851979:T852002 JI851979:JI852002 TE851979:TE852002 ADA851979:ADA852002 AMW851979:AMW852002 AWS851979:AWS852002 BGO851979:BGO852002 BQK851979:BQK852002 CAG851979:CAG852002 CKC851979:CKC852002 CTY851979:CTY852002 DDU851979:DDU852002 DNQ851979:DNQ852002 DXM851979:DXM852002 EHI851979:EHI852002 ERE851979:ERE852002 FBA851979:FBA852002 FKW851979:FKW852002 FUS851979:FUS852002 GEO851979:GEO852002 GOK851979:GOK852002 GYG851979:GYG852002 HIC851979:HIC852002 HRY851979:HRY852002 IBU851979:IBU852002 ILQ851979:ILQ852002 IVM851979:IVM852002 JFI851979:JFI852002 JPE851979:JPE852002 JZA851979:JZA852002 KIW851979:KIW852002 KSS851979:KSS852002 LCO851979:LCO852002 LMK851979:LMK852002 LWG851979:LWG852002 MGC851979:MGC852002 MPY851979:MPY852002 MZU851979:MZU852002 NJQ851979:NJQ852002 NTM851979:NTM852002 ODI851979:ODI852002 ONE851979:ONE852002 OXA851979:OXA852002 PGW851979:PGW852002 PQS851979:PQS852002 QAO851979:QAO852002 QKK851979:QKK852002 QUG851979:QUG852002 REC851979:REC852002 RNY851979:RNY852002 RXU851979:RXU852002 SHQ851979:SHQ852002 SRM851979:SRM852002 TBI851979:TBI852002 TLE851979:TLE852002 TVA851979:TVA852002 UEW851979:UEW852002 UOS851979:UOS852002 UYO851979:UYO852002 VIK851979:VIK852002 VSG851979:VSG852002 WCC851979:WCC852002 WLY851979:WLY852002 WVU851979:WVU852002 T917515:T917538 JI917515:JI917538 TE917515:TE917538 ADA917515:ADA917538 AMW917515:AMW917538 AWS917515:AWS917538 BGO917515:BGO917538 BQK917515:BQK917538 CAG917515:CAG917538 CKC917515:CKC917538 CTY917515:CTY917538 DDU917515:DDU917538 DNQ917515:DNQ917538 DXM917515:DXM917538 EHI917515:EHI917538 ERE917515:ERE917538 FBA917515:FBA917538 FKW917515:FKW917538 FUS917515:FUS917538 GEO917515:GEO917538 GOK917515:GOK917538 GYG917515:GYG917538 HIC917515:HIC917538 HRY917515:HRY917538 IBU917515:IBU917538 ILQ917515:ILQ917538 IVM917515:IVM917538 JFI917515:JFI917538 JPE917515:JPE917538 JZA917515:JZA917538 KIW917515:KIW917538 KSS917515:KSS917538 LCO917515:LCO917538 LMK917515:LMK917538 LWG917515:LWG917538 MGC917515:MGC917538 MPY917515:MPY917538 MZU917515:MZU917538 NJQ917515:NJQ917538 NTM917515:NTM917538 ODI917515:ODI917538 ONE917515:ONE917538 OXA917515:OXA917538 PGW917515:PGW917538 PQS917515:PQS917538 QAO917515:QAO917538 QKK917515:QKK917538 QUG917515:QUG917538 REC917515:REC917538 RNY917515:RNY917538 RXU917515:RXU917538 SHQ917515:SHQ917538 SRM917515:SRM917538 TBI917515:TBI917538 TLE917515:TLE917538 TVA917515:TVA917538 UEW917515:UEW917538 UOS917515:UOS917538 UYO917515:UYO917538 VIK917515:VIK917538 VSG917515:VSG917538 WCC917515:WCC917538 WLY917515:WLY917538 WVU917515:WVU917538 T983051:T983074 JI983051:JI983074 TE983051:TE983074 ADA983051:ADA983074 AMW983051:AMW983074 AWS983051:AWS983074 BGO983051:BGO983074 BQK983051:BQK983074 CAG983051:CAG983074 CKC983051:CKC983074 CTY983051:CTY983074 DDU983051:DDU983074 DNQ983051:DNQ983074 DXM983051:DXM983074 EHI983051:EHI983074 ERE983051:ERE983074 FBA983051:FBA983074 FKW983051:FKW983074 FUS983051:FUS983074 GEO983051:GEO983074 GOK983051:GOK983074 GYG983051:GYG983074 HIC983051:HIC983074 HRY983051:HRY983074 IBU983051:IBU983074 ILQ983051:ILQ983074 IVM983051:IVM983074 JFI983051:JFI983074 JPE983051:JPE983074 JZA983051:JZA983074 KIW983051:KIW983074 KSS983051:KSS983074 LCO983051:LCO983074 LMK983051:LMK983074 LWG983051:LWG983074 MGC983051:MGC983074 MPY983051:MPY983074 MZU983051:MZU983074 NJQ983051:NJQ983074 NTM983051:NTM983074 ODI983051:ODI983074 ONE983051:ONE983074 OXA983051:OXA983074 PGW983051:PGW983074 PQS983051:PQS983074 QAO983051:QAO983074 QKK983051:QKK983074 QUG983051:QUG983074 REC983051:REC983074 RNY983051:RNY983074 RXU983051:RXU983074 SHQ983051:SHQ983074 SRM983051:SRM983074 TBI983051:TBI983074 TLE983051:TLE983074 TVA983051:TVA983074 UEW983051:UEW983074 UOS983051:UOS983074 UYO983051:UYO983074 VIK983051:VIK983074 VSG983051:VSG983074 WCC983051:WCC983074 WLY983051:WLY983074 WVU983051:WVU983074 SP11:SP30 IT11:IT30 WVF11:WVF30 WLJ11:WLJ30 WBN11:WBN30 VRR11:VRR30 VHV11:VHV30 UXZ11:UXZ30 UOD11:UOD30 UEH11:UEH30 TUL11:TUL30 TKP11:TKP30 TAT11:TAT30 SQX11:SQX30 SHB11:SHB30 RXF11:RXF30 RNJ11:RNJ30 RDN11:RDN30 QTR11:QTR30 QJV11:QJV30 PZZ11:PZZ30 PQD11:PQD30 PGH11:PGH30 OWL11:OWL30 OMP11:OMP30 OCT11:OCT30 NSX11:NSX30 NJB11:NJB30 MZF11:MZF30 MPJ11:MPJ30 MFN11:MFN30 LVR11:LVR30 LLV11:LLV30 LBZ11:LBZ30 KSD11:KSD30 KIH11:KIH30 JYL11:JYL30 JOP11:JOP30 JET11:JET30 IUX11:IUX30 ILB11:ILB30 IBF11:IBF30 HRJ11:HRJ30 HHN11:HHN30 GXR11:GXR30 GNV11:GNV30 GDZ11:GDZ30 FUD11:FUD30 FKH11:FKH30 FAL11:FAL30 EQP11:EQP30 EGT11:EGT30 DWX11:DWX30 DNB11:DNB30 DDF11:DDF30 CTJ11:CTJ30 CJN11:CJN30 BZR11:BZR30 BPV11:BPV30 BFZ11:BFZ30 AWD11:AWD30 AMH11:AMH30 ACL11:ACL30 T11:T35" xr:uid="{00000000-0002-0000-0300-000001000000}">
      <formula1>"Y,N"</formula1>
    </dataValidation>
  </dataValidations>
  <pageMargins left="0" right="0" top="0.39370078740157483" bottom="0.59055118110236227" header="0.51181102362204722" footer="0.39370078740157483"/>
  <pageSetup paperSize="9" scale="82" fitToHeight="0" orientation="landscape" r:id="rId1"/>
  <headerFooter alignWithMargins="0">
    <oddFooter>第 &amp;P 頁，共 &amp;N 頁</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tabColor rgb="FFFF0000"/>
    <pageSetUpPr fitToPage="1"/>
  </sheetPr>
  <dimension ref="A1:Z40"/>
  <sheetViews>
    <sheetView tabSelected="1" topLeftCell="M22" zoomScale="97" zoomScaleNormal="97" workbookViewId="0">
      <selection activeCell="N6" sqref="N6:P6"/>
    </sheetView>
  </sheetViews>
  <sheetFormatPr defaultRowHeight="15.5"/>
  <cols>
    <col min="1" max="1" width="7.90625" style="39" hidden="1" customWidth="1"/>
    <col min="2" max="2" width="11.90625" style="39" hidden="1" customWidth="1"/>
    <col min="3" max="4" width="9.90625" style="39" hidden="1" customWidth="1"/>
    <col min="5" max="5" width="5.90625" style="39" hidden="1" customWidth="1"/>
    <col min="6" max="6" width="7.90625" style="39" hidden="1" customWidth="1"/>
    <col min="7" max="7" width="3.08984375" style="39" hidden="1" customWidth="1"/>
    <col min="8" max="8" width="2.26953125" style="39" hidden="1" customWidth="1"/>
    <col min="9" max="9" width="3.08984375" style="39" hidden="1" customWidth="1"/>
    <col min="10" max="10" width="5.26953125" style="39" hidden="1" customWidth="1"/>
    <col min="11" max="11" width="9.90625" style="39" hidden="1" customWidth="1"/>
    <col min="12" max="12" width="5.90625" style="39" hidden="1" customWidth="1"/>
    <col min="13" max="13" width="21.08984375" style="6" customWidth="1"/>
    <col min="14" max="14" width="8.90625" style="6" customWidth="1"/>
    <col min="15" max="15" width="11.36328125" style="6" customWidth="1"/>
    <col min="16" max="16" width="8.90625" style="6" customWidth="1"/>
    <col min="17" max="17" width="8.90625" style="40" customWidth="1"/>
    <col min="18" max="18" width="16.90625" style="6" customWidth="1"/>
    <col min="19" max="19" width="16.90625" style="40" customWidth="1"/>
    <col min="20" max="20" width="10" style="6" customWidth="1"/>
    <col min="21" max="21" width="10" style="40" customWidth="1"/>
    <col min="22" max="22" width="17.7265625" style="6" customWidth="1"/>
    <col min="23" max="23" width="10" style="6" customWidth="1"/>
    <col min="24" max="24" width="17.7265625" style="6" customWidth="1"/>
    <col min="25" max="25" width="10" style="6" customWidth="1"/>
    <col min="26" max="26" width="5.90625" style="6" customWidth="1"/>
    <col min="27" max="261" width="8.90625" style="6"/>
    <col min="262" max="262" width="16.26953125" style="6" customWidth="1"/>
    <col min="263" max="263" width="8.90625" style="6"/>
    <col min="264" max="264" width="11.36328125" style="6" customWidth="1"/>
    <col min="265" max="266" width="8.90625" style="6"/>
    <col min="267" max="267" width="23" style="6" bestFit="1" customWidth="1"/>
    <col min="268" max="268" width="10" style="6" customWidth="1"/>
    <col min="269" max="269" width="6.26953125" style="6" bestFit="1" customWidth="1"/>
    <col min="270" max="270" width="7.26953125" style="6" bestFit="1" customWidth="1"/>
    <col min="271" max="271" width="16.7265625" style="6" customWidth="1"/>
    <col min="272" max="272" width="7.26953125" style="6" bestFit="1" customWidth="1"/>
    <col min="273" max="273" width="16.7265625" style="6" customWidth="1"/>
    <col min="274" max="517" width="8.90625" style="6"/>
    <col min="518" max="518" width="16.26953125" style="6" customWidth="1"/>
    <col min="519" max="519" width="8.90625" style="6"/>
    <col min="520" max="520" width="11.36328125" style="6" customWidth="1"/>
    <col min="521" max="522" width="8.90625" style="6"/>
    <col min="523" max="523" width="23" style="6" bestFit="1" customWidth="1"/>
    <col min="524" max="524" width="10" style="6" customWidth="1"/>
    <col min="525" max="525" width="6.26953125" style="6" bestFit="1" customWidth="1"/>
    <col min="526" max="526" width="7.26953125" style="6" bestFit="1" customWidth="1"/>
    <col min="527" max="527" width="16.7265625" style="6" customWidth="1"/>
    <col min="528" max="528" width="7.26953125" style="6" bestFit="1" customWidth="1"/>
    <col min="529" max="529" width="16.7265625" style="6" customWidth="1"/>
    <col min="530" max="773" width="8.90625" style="6"/>
    <col min="774" max="774" width="16.26953125" style="6" customWidth="1"/>
    <col min="775" max="775" width="8.90625" style="6"/>
    <col min="776" max="776" width="11.36328125" style="6" customWidth="1"/>
    <col min="777" max="778" width="8.90625" style="6"/>
    <col min="779" max="779" width="23" style="6" bestFit="1" customWidth="1"/>
    <col min="780" max="780" width="10" style="6" customWidth="1"/>
    <col min="781" max="781" width="6.26953125" style="6" bestFit="1" customWidth="1"/>
    <col min="782" max="782" width="7.26953125" style="6" bestFit="1" customWidth="1"/>
    <col min="783" max="783" width="16.7265625" style="6" customWidth="1"/>
    <col min="784" max="784" width="7.26953125" style="6" bestFit="1" customWidth="1"/>
    <col min="785" max="785" width="16.7265625" style="6" customWidth="1"/>
    <col min="786" max="1029" width="8.90625" style="6"/>
    <col min="1030" max="1030" width="16.26953125" style="6" customWidth="1"/>
    <col min="1031" max="1031" width="8.90625" style="6"/>
    <col min="1032" max="1032" width="11.36328125" style="6" customWidth="1"/>
    <col min="1033" max="1034" width="8.90625" style="6"/>
    <col min="1035" max="1035" width="23" style="6" bestFit="1" customWidth="1"/>
    <col min="1036" max="1036" width="10" style="6" customWidth="1"/>
    <col min="1037" max="1037" width="6.26953125" style="6" bestFit="1" customWidth="1"/>
    <col min="1038" max="1038" width="7.26953125" style="6" bestFit="1" customWidth="1"/>
    <col min="1039" max="1039" width="16.7265625" style="6" customWidth="1"/>
    <col min="1040" max="1040" width="7.26953125" style="6" bestFit="1" customWidth="1"/>
    <col min="1041" max="1041" width="16.7265625" style="6" customWidth="1"/>
    <col min="1042" max="1285" width="8.90625" style="6"/>
    <col min="1286" max="1286" width="16.26953125" style="6" customWidth="1"/>
    <col min="1287" max="1287" width="8.90625" style="6"/>
    <col min="1288" max="1288" width="11.36328125" style="6" customWidth="1"/>
    <col min="1289" max="1290" width="8.90625" style="6"/>
    <col min="1291" max="1291" width="23" style="6" bestFit="1" customWidth="1"/>
    <col min="1292" max="1292" width="10" style="6" customWidth="1"/>
    <col min="1293" max="1293" width="6.26953125" style="6" bestFit="1" customWidth="1"/>
    <col min="1294" max="1294" width="7.26953125" style="6" bestFit="1" customWidth="1"/>
    <col min="1295" max="1295" width="16.7265625" style="6" customWidth="1"/>
    <col min="1296" max="1296" width="7.26953125" style="6" bestFit="1" customWidth="1"/>
    <col min="1297" max="1297" width="16.7265625" style="6" customWidth="1"/>
    <col min="1298" max="1541" width="8.90625" style="6"/>
    <col min="1542" max="1542" width="16.26953125" style="6" customWidth="1"/>
    <col min="1543" max="1543" width="8.90625" style="6"/>
    <col min="1544" max="1544" width="11.36328125" style="6" customWidth="1"/>
    <col min="1545" max="1546" width="8.90625" style="6"/>
    <col min="1547" max="1547" width="23" style="6" bestFit="1" customWidth="1"/>
    <col min="1548" max="1548" width="10" style="6" customWidth="1"/>
    <col min="1549" max="1549" width="6.26953125" style="6" bestFit="1" customWidth="1"/>
    <col min="1550" max="1550" width="7.26953125" style="6" bestFit="1" customWidth="1"/>
    <col min="1551" max="1551" width="16.7265625" style="6" customWidth="1"/>
    <col min="1552" max="1552" width="7.26953125" style="6" bestFit="1" customWidth="1"/>
    <col min="1553" max="1553" width="16.7265625" style="6" customWidth="1"/>
    <col min="1554" max="1797" width="8.90625" style="6"/>
    <col min="1798" max="1798" width="16.26953125" style="6" customWidth="1"/>
    <col min="1799" max="1799" width="8.90625" style="6"/>
    <col min="1800" max="1800" width="11.36328125" style="6" customWidth="1"/>
    <col min="1801" max="1802" width="8.90625" style="6"/>
    <col min="1803" max="1803" width="23" style="6" bestFit="1" customWidth="1"/>
    <col min="1804" max="1804" width="10" style="6" customWidth="1"/>
    <col min="1805" max="1805" width="6.26953125" style="6" bestFit="1" customWidth="1"/>
    <col min="1806" max="1806" width="7.26953125" style="6" bestFit="1" customWidth="1"/>
    <col min="1807" max="1807" width="16.7265625" style="6" customWidth="1"/>
    <col min="1808" max="1808" width="7.26953125" style="6" bestFit="1" customWidth="1"/>
    <col min="1809" max="1809" width="16.7265625" style="6" customWidth="1"/>
    <col min="1810" max="2053" width="8.90625" style="6"/>
    <col min="2054" max="2054" width="16.26953125" style="6" customWidth="1"/>
    <col min="2055" max="2055" width="8.90625" style="6"/>
    <col min="2056" max="2056" width="11.36328125" style="6" customWidth="1"/>
    <col min="2057" max="2058" width="8.90625" style="6"/>
    <col min="2059" max="2059" width="23" style="6" bestFit="1" customWidth="1"/>
    <col min="2060" max="2060" width="10" style="6" customWidth="1"/>
    <col min="2061" max="2061" width="6.26953125" style="6" bestFit="1" customWidth="1"/>
    <col min="2062" max="2062" width="7.26953125" style="6" bestFit="1" customWidth="1"/>
    <col min="2063" max="2063" width="16.7265625" style="6" customWidth="1"/>
    <col min="2064" max="2064" width="7.26953125" style="6" bestFit="1" customWidth="1"/>
    <col min="2065" max="2065" width="16.7265625" style="6" customWidth="1"/>
    <col min="2066" max="2309" width="8.90625" style="6"/>
    <col min="2310" max="2310" width="16.26953125" style="6" customWidth="1"/>
    <col min="2311" max="2311" width="8.90625" style="6"/>
    <col min="2312" max="2312" width="11.36328125" style="6" customWidth="1"/>
    <col min="2313" max="2314" width="8.90625" style="6"/>
    <col min="2315" max="2315" width="23" style="6" bestFit="1" customWidth="1"/>
    <col min="2316" max="2316" width="10" style="6" customWidth="1"/>
    <col min="2317" max="2317" width="6.26953125" style="6" bestFit="1" customWidth="1"/>
    <col min="2318" max="2318" width="7.26953125" style="6" bestFit="1" customWidth="1"/>
    <col min="2319" max="2319" width="16.7265625" style="6" customWidth="1"/>
    <col min="2320" max="2320" width="7.26953125" style="6" bestFit="1" customWidth="1"/>
    <col min="2321" max="2321" width="16.7265625" style="6" customWidth="1"/>
    <col min="2322" max="2565" width="8.90625" style="6"/>
    <col min="2566" max="2566" width="16.26953125" style="6" customWidth="1"/>
    <col min="2567" max="2567" width="8.90625" style="6"/>
    <col min="2568" max="2568" width="11.36328125" style="6" customWidth="1"/>
    <col min="2569" max="2570" width="8.90625" style="6"/>
    <col min="2571" max="2571" width="23" style="6" bestFit="1" customWidth="1"/>
    <col min="2572" max="2572" width="10" style="6" customWidth="1"/>
    <col min="2573" max="2573" width="6.26953125" style="6" bestFit="1" customWidth="1"/>
    <col min="2574" max="2574" width="7.26953125" style="6" bestFit="1" customWidth="1"/>
    <col min="2575" max="2575" width="16.7265625" style="6" customWidth="1"/>
    <col min="2576" max="2576" width="7.26953125" style="6" bestFit="1" customWidth="1"/>
    <col min="2577" max="2577" width="16.7265625" style="6" customWidth="1"/>
    <col min="2578" max="2821" width="8.90625" style="6"/>
    <col min="2822" max="2822" width="16.26953125" style="6" customWidth="1"/>
    <col min="2823" max="2823" width="8.90625" style="6"/>
    <col min="2824" max="2824" width="11.36328125" style="6" customWidth="1"/>
    <col min="2825" max="2826" width="8.90625" style="6"/>
    <col min="2827" max="2827" width="23" style="6" bestFit="1" customWidth="1"/>
    <col min="2828" max="2828" width="10" style="6" customWidth="1"/>
    <col min="2829" max="2829" width="6.26953125" style="6" bestFit="1" customWidth="1"/>
    <col min="2830" max="2830" width="7.26953125" style="6" bestFit="1" customWidth="1"/>
    <col min="2831" max="2831" width="16.7265625" style="6" customWidth="1"/>
    <col min="2832" max="2832" width="7.26953125" style="6" bestFit="1" customWidth="1"/>
    <col min="2833" max="2833" width="16.7265625" style="6" customWidth="1"/>
    <col min="2834" max="3077" width="8.90625" style="6"/>
    <col min="3078" max="3078" width="16.26953125" style="6" customWidth="1"/>
    <col min="3079" max="3079" width="8.90625" style="6"/>
    <col min="3080" max="3080" width="11.36328125" style="6" customWidth="1"/>
    <col min="3081" max="3082" width="8.90625" style="6"/>
    <col min="3083" max="3083" width="23" style="6" bestFit="1" customWidth="1"/>
    <col min="3084" max="3084" width="10" style="6" customWidth="1"/>
    <col min="3085" max="3085" width="6.26953125" style="6" bestFit="1" customWidth="1"/>
    <col min="3086" max="3086" width="7.26953125" style="6" bestFit="1" customWidth="1"/>
    <col min="3087" max="3087" width="16.7265625" style="6" customWidth="1"/>
    <col min="3088" max="3088" width="7.26953125" style="6" bestFit="1" customWidth="1"/>
    <col min="3089" max="3089" width="16.7265625" style="6" customWidth="1"/>
    <col min="3090" max="3333" width="8.90625" style="6"/>
    <col min="3334" max="3334" width="16.26953125" style="6" customWidth="1"/>
    <col min="3335" max="3335" width="8.90625" style="6"/>
    <col min="3336" max="3336" width="11.36328125" style="6" customWidth="1"/>
    <col min="3337" max="3338" width="8.90625" style="6"/>
    <col min="3339" max="3339" width="23" style="6" bestFit="1" customWidth="1"/>
    <col min="3340" max="3340" width="10" style="6" customWidth="1"/>
    <col min="3341" max="3341" width="6.26953125" style="6" bestFit="1" customWidth="1"/>
    <col min="3342" max="3342" width="7.26953125" style="6" bestFit="1" customWidth="1"/>
    <col min="3343" max="3343" width="16.7265625" style="6" customWidth="1"/>
    <col min="3344" max="3344" width="7.26953125" style="6" bestFit="1" customWidth="1"/>
    <col min="3345" max="3345" width="16.7265625" style="6" customWidth="1"/>
    <col min="3346" max="3589" width="8.90625" style="6"/>
    <col min="3590" max="3590" width="16.26953125" style="6" customWidth="1"/>
    <col min="3591" max="3591" width="8.90625" style="6"/>
    <col min="3592" max="3592" width="11.36328125" style="6" customWidth="1"/>
    <col min="3593" max="3594" width="8.90625" style="6"/>
    <col min="3595" max="3595" width="23" style="6" bestFit="1" customWidth="1"/>
    <col min="3596" max="3596" width="10" style="6" customWidth="1"/>
    <col min="3597" max="3597" width="6.26953125" style="6" bestFit="1" customWidth="1"/>
    <col min="3598" max="3598" width="7.26953125" style="6" bestFit="1" customWidth="1"/>
    <col min="3599" max="3599" width="16.7265625" style="6" customWidth="1"/>
    <col min="3600" max="3600" width="7.26953125" style="6" bestFit="1" customWidth="1"/>
    <col min="3601" max="3601" width="16.7265625" style="6" customWidth="1"/>
    <col min="3602" max="3845" width="8.90625" style="6"/>
    <col min="3846" max="3846" width="16.26953125" style="6" customWidth="1"/>
    <col min="3847" max="3847" width="8.90625" style="6"/>
    <col min="3848" max="3848" width="11.36328125" style="6" customWidth="1"/>
    <col min="3849" max="3850" width="8.90625" style="6"/>
    <col min="3851" max="3851" width="23" style="6" bestFit="1" customWidth="1"/>
    <col min="3852" max="3852" width="10" style="6" customWidth="1"/>
    <col min="3853" max="3853" width="6.26953125" style="6" bestFit="1" customWidth="1"/>
    <col min="3854" max="3854" width="7.26953125" style="6" bestFit="1" customWidth="1"/>
    <col min="3855" max="3855" width="16.7265625" style="6" customWidth="1"/>
    <col min="3856" max="3856" width="7.26953125" style="6" bestFit="1" customWidth="1"/>
    <col min="3857" max="3857" width="16.7265625" style="6" customWidth="1"/>
    <col min="3858" max="4101" width="8.90625" style="6"/>
    <col min="4102" max="4102" width="16.26953125" style="6" customWidth="1"/>
    <col min="4103" max="4103" width="8.90625" style="6"/>
    <col min="4104" max="4104" width="11.36328125" style="6" customWidth="1"/>
    <col min="4105" max="4106" width="8.90625" style="6"/>
    <col min="4107" max="4107" width="23" style="6" bestFit="1" customWidth="1"/>
    <col min="4108" max="4108" width="10" style="6" customWidth="1"/>
    <col min="4109" max="4109" width="6.26953125" style="6" bestFit="1" customWidth="1"/>
    <col min="4110" max="4110" width="7.26953125" style="6" bestFit="1" customWidth="1"/>
    <col min="4111" max="4111" width="16.7265625" style="6" customWidth="1"/>
    <col min="4112" max="4112" width="7.26953125" style="6" bestFit="1" customWidth="1"/>
    <col min="4113" max="4113" width="16.7265625" style="6" customWidth="1"/>
    <col min="4114" max="4357" width="8.90625" style="6"/>
    <col min="4358" max="4358" width="16.26953125" style="6" customWidth="1"/>
    <col min="4359" max="4359" width="8.90625" style="6"/>
    <col min="4360" max="4360" width="11.36328125" style="6" customWidth="1"/>
    <col min="4361" max="4362" width="8.90625" style="6"/>
    <col min="4363" max="4363" width="23" style="6" bestFit="1" customWidth="1"/>
    <col min="4364" max="4364" width="10" style="6" customWidth="1"/>
    <col min="4365" max="4365" width="6.26953125" style="6" bestFit="1" customWidth="1"/>
    <col min="4366" max="4366" width="7.26953125" style="6" bestFit="1" customWidth="1"/>
    <col min="4367" max="4367" width="16.7265625" style="6" customWidth="1"/>
    <col min="4368" max="4368" width="7.26953125" style="6" bestFit="1" customWidth="1"/>
    <col min="4369" max="4369" width="16.7265625" style="6" customWidth="1"/>
    <col min="4370" max="4613" width="8.90625" style="6"/>
    <col min="4614" max="4614" width="16.26953125" style="6" customWidth="1"/>
    <col min="4615" max="4615" width="8.90625" style="6"/>
    <col min="4616" max="4616" width="11.36328125" style="6" customWidth="1"/>
    <col min="4617" max="4618" width="8.90625" style="6"/>
    <col min="4619" max="4619" width="23" style="6" bestFit="1" customWidth="1"/>
    <col min="4620" max="4620" width="10" style="6" customWidth="1"/>
    <col min="4621" max="4621" width="6.26953125" style="6" bestFit="1" customWidth="1"/>
    <col min="4622" max="4622" width="7.26953125" style="6" bestFit="1" customWidth="1"/>
    <col min="4623" max="4623" width="16.7265625" style="6" customWidth="1"/>
    <col min="4624" max="4624" width="7.26953125" style="6" bestFit="1" customWidth="1"/>
    <col min="4625" max="4625" width="16.7265625" style="6" customWidth="1"/>
    <col min="4626" max="4869" width="8.90625" style="6"/>
    <col min="4870" max="4870" width="16.26953125" style="6" customWidth="1"/>
    <col min="4871" max="4871" width="8.90625" style="6"/>
    <col min="4872" max="4872" width="11.36328125" style="6" customWidth="1"/>
    <col min="4873" max="4874" width="8.90625" style="6"/>
    <col min="4875" max="4875" width="23" style="6" bestFit="1" customWidth="1"/>
    <col min="4876" max="4876" width="10" style="6" customWidth="1"/>
    <col min="4877" max="4877" width="6.26953125" style="6" bestFit="1" customWidth="1"/>
    <col min="4878" max="4878" width="7.26953125" style="6" bestFit="1" customWidth="1"/>
    <col min="4879" max="4879" width="16.7265625" style="6" customWidth="1"/>
    <col min="4880" max="4880" width="7.26953125" style="6" bestFit="1" customWidth="1"/>
    <col min="4881" max="4881" width="16.7265625" style="6" customWidth="1"/>
    <col min="4882" max="5125" width="8.90625" style="6"/>
    <col min="5126" max="5126" width="16.26953125" style="6" customWidth="1"/>
    <col min="5127" max="5127" width="8.90625" style="6"/>
    <col min="5128" max="5128" width="11.36328125" style="6" customWidth="1"/>
    <col min="5129" max="5130" width="8.90625" style="6"/>
    <col min="5131" max="5131" width="23" style="6" bestFit="1" customWidth="1"/>
    <col min="5132" max="5132" width="10" style="6" customWidth="1"/>
    <col min="5133" max="5133" width="6.26953125" style="6" bestFit="1" customWidth="1"/>
    <col min="5134" max="5134" width="7.26953125" style="6" bestFit="1" customWidth="1"/>
    <col min="5135" max="5135" width="16.7265625" style="6" customWidth="1"/>
    <col min="5136" max="5136" width="7.26953125" style="6" bestFit="1" customWidth="1"/>
    <col min="5137" max="5137" width="16.7265625" style="6" customWidth="1"/>
    <col min="5138" max="5381" width="8.90625" style="6"/>
    <col min="5382" max="5382" width="16.26953125" style="6" customWidth="1"/>
    <col min="5383" max="5383" width="8.90625" style="6"/>
    <col min="5384" max="5384" width="11.36328125" style="6" customWidth="1"/>
    <col min="5385" max="5386" width="8.90625" style="6"/>
    <col min="5387" max="5387" width="23" style="6" bestFit="1" customWidth="1"/>
    <col min="5388" max="5388" width="10" style="6" customWidth="1"/>
    <col min="5389" max="5389" width="6.26953125" style="6" bestFit="1" customWidth="1"/>
    <col min="5390" max="5390" width="7.26953125" style="6" bestFit="1" customWidth="1"/>
    <col min="5391" max="5391" width="16.7265625" style="6" customWidth="1"/>
    <col min="5392" max="5392" width="7.26953125" style="6" bestFit="1" customWidth="1"/>
    <col min="5393" max="5393" width="16.7265625" style="6" customWidth="1"/>
    <col min="5394" max="5637" width="8.90625" style="6"/>
    <col min="5638" max="5638" width="16.26953125" style="6" customWidth="1"/>
    <col min="5639" max="5639" width="8.90625" style="6"/>
    <col min="5640" max="5640" width="11.36328125" style="6" customWidth="1"/>
    <col min="5641" max="5642" width="8.90625" style="6"/>
    <col min="5643" max="5643" width="23" style="6" bestFit="1" customWidth="1"/>
    <col min="5644" max="5644" width="10" style="6" customWidth="1"/>
    <col min="5645" max="5645" width="6.26953125" style="6" bestFit="1" customWidth="1"/>
    <col min="5646" max="5646" width="7.26953125" style="6" bestFit="1" customWidth="1"/>
    <col min="5647" max="5647" width="16.7265625" style="6" customWidth="1"/>
    <col min="5648" max="5648" width="7.26953125" style="6" bestFit="1" customWidth="1"/>
    <col min="5649" max="5649" width="16.7265625" style="6" customWidth="1"/>
    <col min="5650" max="5893" width="8.90625" style="6"/>
    <col min="5894" max="5894" width="16.26953125" style="6" customWidth="1"/>
    <col min="5895" max="5895" width="8.90625" style="6"/>
    <col min="5896" max="5896" width="11.36328125" style="6" customWidth="1"/>
    <col min="5897" max="5898" width="8.90625" style="6"/>
    <col min="5899" max="5899" width="23" style="6" bestFit="1" customWidth="1"/>
    <col min="5900" max="5900" width="10" style="6" customWidth="1"/>
    <col min="5901" max="5901" width="6.26953125" style="6" bestFit="1" customWidth="1"/>
    <col min="5902" max="5902" width="7.26953125" style="6" bestFit="1" customWidth="1"/>
    <col min="5903" max="5903" width="16.7265625" style="6" customWidth="1"/>
    <col min="5904" max="5904" width="7.26953125" style="6" bestFit="1" customWidth="1"/>
    <col min="5905" max="5905" width="16.7265625" style="6" customWidth="1"/>
    <col min="5906" max="6149" width="8.90625" style="6"/>
    <col min="6150" max="6150" width="16.26953125" style="6" customWidth="1"/>
    <col min="6151" max="6151" width="8.90625" style="6"/>
    <col min="6152" max="6152" width="11.36328125" style="6" customWidth="1"/>
    <col min="6153" max="6154" width="8.90625" style="6"/>
    <col min="6155" max="6155" width="23" style="6" bestFit="1" customWidth="1"/>
    <col min="6156" max="6156" width="10" style="6" customWidth="1"/>
    <col min="6157" max="6157" width="6.26953125" style="6" bestFit="1" customWidth="1"/>
    <col min="6158" max="6158" width="7.26953125" style="6" bestFit="1" customWidth="1"/>
    <col min="6159" max="6159" width="16.7265625" style="6" customWidth="1"/>
    <col min="6160" max="6160" width="7.26953125" style="6" bestFit="1" customWidth="1"/>
    <col min="6161" max="6161" width="16.7265625" style="6" customWidth="1"/>
    <col min="6162" max="6405" width="8.90625" style="6"/>
    <col min="6406" max="6406" width="16.26953125" style="6" customWidth="1"/>
    <col min="6407" max="6407" width="8.90625" style="6"/>
    <col min="6408" max="6408" width="11.36328125" style="6" customWidth="1"/>
    <col min="6409" max="6410" width="8.90625" style="6"/>
    <col min="6411" max="6411" width="23" style="6" bestFit="1" customWidth="1"/>
    <col min="6412" max="6412" width="10" style="6" customWidth="1"/>
    <col min="6413" max="6413" width="6.26953125" style="6" bestFit="1" customWidth="1"/>
    <col min="6414" max="6414" width="7.26953125" style="6" bestFit="1" customWidth="1"/>
    <col min="6415" max="6415" width="16.7265625" style="6" customWidth="1"/>
    <col min="6416" max="6416" width="7.26953125" style="6" bestFit="1" customWidth="1"/>
    <col min="6417" max="6417" width="16.7265625" style="6" customWidth="1"/>
    <col min="6418" max="6661" width="8.90625" style="6"/>
    <col min="6662" max="6662" width="16.26953125" style="6" customWidth="1"/>
    <col min="6663" max="6663" width="8.90625" style="6"/>
    <col min="6664" max="6664" width="11.36328125" style="6" customWidth="1"/>
    <col min="6665" max="6666" width="8.90625" style="6"/>
    <col min="6667" max="6667" width="23" style="6" bestFit="1" customWidth="1"/>
    <col min="6668" max="6668" width="10" style="6" customWidth="1"/>
    <col min="6669" max="6669" width="6.26953125" style="6" bestFit="1" customWidth="1"/>
    <col min="6670" max="6670" width="7.26953125" style="6" bestFit="1" customWidth="1"/>
    <col min="6671" max="6671" width="16.7265625" style="6" customWidth="1"/>
    <col min="6672" max="6672" width="7.26953125" style="6" bestFit="1" customWidth="1"/>
    <col min="6673" max="6673" width="16.7265625" style="6" customWidth="1"/>
    <col min="6674" max="6917" width="8.90625" style="6"/>
    <col min="6918" max="6918" width="16.26953125" style="6" customWidth="1"/>
    <col min="6919" max="6919" width="8.90625" style="6"/>
    <col min="6920" max="6920" width="11.36328125" style="6" customWidth="1"/>
    <col min="6921" max="6922" width="8.90625" style="6"/>
    <col min="6923" max="6923" width="23" style="6" bestFit="1" customWidth="1"/>
    <col min="6924" max="6924" width="10" style="6" customWidth="1"/>
    <col min="6925" max="6925" width="6.26953125" style="6" bestFit="1" customWidth="1"/>
    <col min="6926" max="6926" width="7.26953125" style="6" bestFit="1" customWidth="1"/>
    <col min="6927" max="6927" width="16.7265625" style="6" customWidth="1"/>
    <col min="6928" max="6928" width="7.26953125" style="6" bestFit="1" customWidth="1"/>
    <col min="6929" max="6929" width="16.7265625" style="6" customWidth="1"/>
    <col min="6930" max="7173" width="8.90625" style="6"/>
    <col min="7174" max="7174" width="16.26953125" style="6" customWidth="1"/>
    <col min="7175" max="7175" width="8.90625" style="6"/>
    <col min="7176" max="7176" width="11.36328125" style="6" customWidth="1"/>
    <col min="7177" max="7178" width="8.90625" style="6"/>
    <col min="7179" max="7179" width="23" style="6" bestFit="1" customWidth="1"/>
    <col min="7180" max="7180" width="10" style="6" customWidth="1"/>
    <col min="7181" max="7181" width="6.26953125" style="6" bestFit="1" customWidth="1"/>
    <col min="7182" max="7182" width="7.26953125" style="6" bestFit="1" customWidth="1"/>
    <col min="7183" max="7183" width="16.7265625" style="6" customWidth="1"/>
    <col min="7184" max="7184" width="7.26953125" style="6" bestFit="1" customWidth="1"/>
    <col min="7185" max="7185" width="16.7265625" style="6" customWidth="1"/>
    <col min="7186" max="7429" width="8.90625" style="6"/>
    <col min="7430" max="7430" width="16.26953125" style="6" customWidth="1"/>
    <col min="7431" max="7431" width="8.90625" style="6"/>
    <col min="7432" max="7432" width="11.36328125" style="6" customWidth="1"/>
    <col min="7433" max="7434" width="8.90625" style="6"/>
    <col min="7435" max="7435" width="23" style="6" bestFit="1" customWidth="1"/>
    <col min="7436" max="7436" width="10" style="6" customWidth="1"/>
    <col min="7437" max="7437" width="6.26953125" style="6" bestFit="1" customWidth="1"/>
    <col min="7438" max="7438" width="7.26953125" style="6" bestFit="1" customWidth="1"/>
    <col min="7439" max="7439" width="16.7265625" style="6" customWidth="1"/>
    <col min="7440" max="7440" width="7.26953125" style="6" bestFit="1" customWidth="1"/>
    <col min="7441" max="7441" width="16.7265625" style="6" customWidth="1"/>
    <col min="7442" max="7685" width="8.90625" style="6"/>
    <col min="7686" max="7686" width="16.26953125" style="6" customWidth="1"/>
    <col min="7687" max="7687" width="8.90625" style="6"/>
    <col min="7688" max="7688" width="11.36328125" style="6" customWidth="1"/>
    <col min="7689" max="7690" width="8.90625" style="6"/>
    <col min="7691" max="7691" width="23" style="6" bestFit="1" customWidth="1"/>
    <col min="7692" max="7692" width="10" style="6" customWidth="1"/>
    <col min="7693" max="7693" width="6.26953125" style="6" bestFit="1" customWidth="1"/>
    <col min="7694" max="7694" width="7.26953125" style="6" bestFit="1" customWidth="1"/>
    <col min="7695" max="7695" width="16.7265625" style="6" customWidth="1"/>
    <col min="7696" max="7696" width="7.26953125" style="6" bestFit="1" customWidth="1"/>
    <col min="7697" max="7697" width="16.7265625" style="6" customWidth="1"/>
    <col min="7698" max="7941" width="8.90625" style="6"/>
    <col min="7942" max="7942" width="16.26953125" style="6" customWidth="1"/>
    <col min="7943" max="7943" width="8.90625" style="6"/>
    <col min="7944" max="7944" width="11.36328125" style="6" customWidth="1"/>
    <col min="7945" max="7946" width="8.90625" style="6"/>
    <col min="7947" max="7947" width="23" style="6" bestFit="1" customWidth="1"/>
    <col min="7948" max="7948" width="10" style="6" customWidth="1"/>
    <col min="7949" max="7949" width="6.26953125" style="6" bestFit="1" customWidth="1"/>
    <col min="7950" max="7950" width="7.26953125" style="6" bestFit="1" customWidth="1"/>
    <col min="7951" max="7951" width="16.7265625" style="6" customWidth="1"/>
    <col min="7952" max="7952" width="7.26953125" style="6" bestFit="1" customWidth="1"/>
    <col min="7953" max="7953" width="16.7265625" style="6" customWidth="1"/>
    <col min="7954" max="8197" width="8.90625" style="6"/>
    <col min="8198" max="8198" width="16.26953125" style="6" customWidth="1"/>
    <col min="8199" max="8199" width="8.90625" style="6"/>
    <col min="8200" max="8200" width="11.36328125" style="6" customWidth="1"/>
    <col min="8201" max="8202" width="8.90625" style="6"/>
    <col min="8203" max="8203" width="23" style="6" bestFit="1" customWidth="1"/>
    <col min="8204" max="8204" width="10" style="6" customWidth="1"/>
    <col min="8205" max="8205" width="6.26953125" style="6" bestFit="1" customWidth="1"/>
    <col min="8206" max="8206" width="7.26953125" style="6" bestFit="1" customWidth="1"/>
    <col min="8207" max="8207" width="16.7265625" style="6" customWidth="1"/>
    <col min="8208" max="8208" width="7.26953125" style="6" bestFit="1" customWidth="1"/>
    <col min="8209" max="8209" width="16.7265625" style="6" customWidth="1"/>
    <col min="8210" max="8453" width="8.90625" style="6"/>
    <col min="8454" max="8454" width="16.26953125" style="6" customWidth="1"/>
    <col min="8455" max="8455" width="8.90625" style="6"/>
    <col min="8456" max="8456" width="11.36328125" style="6" customWidth="1"/>
    <col min="8457" max="8458" width="8.90625" style="6"/>
    <col min="8459" max="8459" width="23" style="6" bestFit="1" customWidth="1"/>
    <col min="8460" max="8460" width="10" style="6" customWidth="1"/>
    <col min="8461" max="8461" width="6.26953125" style="6" bestFit="1" customWidth="1"/>
    <col min="8462" max="8462" width="7.26953125" style="6" bestFit="1" customWidth="1"/>
    <col min="8463" max="8463" width="16.7265625" style="6" customWidth="1"/>
    <col min="8464" max="8464" width="7.26953125" style="6" bestFit="1" customWidth="1"/>
    <col min="8465" max="8465" width="16.7265625" style="6" customWidth="1"/>
    <col min="8466" max="8709" width="8.90625" style="6"/>
    <col min="8710" max="8710" width="16.26953125" style="6" customWidth="1"/>
    <col min="8711" max="8711" width="8.90625" style="6"/>
    <col min="8712" max="8712" width="11.36328125" style="6" customWidth="1"/>
    <col min="8713" max="8714" width="8.90625" style="6"/>
    <col min="8715" max="8715" width="23" style="6" bestFit="1" customWidth="1"/>
    <col min="8716" max="8716" width="10" style="6" customWidth="1"/>
    <col min="8717" max="8717" width="6.26953125" style="6" bestFit="1" customWidth="1"/>
    <col min="8718" max="8718" width="7.26953125" style="6" bestFit="1" customWidth="1"/>
    <col min="8719" max="8719" width="16.7265625" style="6" customWidth="1"/>
    <col min="8720" max="8720" width="7.26953125" style="6" bestFit="1" customWidth="1"/>
    <col min="8721" max="8721" width="16.7265625" style="6" customWidth="1"/>
    <col min="8722" max="8965" width="8.90625" style="6"/>
    <col min="8966" max="8966" width="16.26953125" style="6" customWidth="1"/>
    <col min="8967" max="8967" width="8.90625" style="6"/>
    <col min="8968" max="8968" width="11.36328125" style="6" customWidth="1"/>
    <col min="8969" max="8970" width="8.90625" style="6"/>
    <col min="8971" max="8971" width="23" style="6" bestFit="1" customWidth="1"/>
    <col min="8972" max="8972" width="10" style="6" customWidth="1"/>
    <col min="8973" max="8973" width="6.26953125" style="6" bestFit="1" customWidth="1"/>
    <col min="8974" max="8974" width="7.26953125" style="6" bestFit="1" customWidth="1"/>
    <col min="8975" max="8975" width="16.7265625" style="6" customWidth="1"/>
    <col min="8976" max="8976" width="7.26953125" style="6" bestFit="1" customWidth="1"/>
    <col min="8977" max="8977" width="16.7265625" style="6" customWidth="1"/>
    <col min="8978" max="9221" width="8.90625" style="6"/>
    <col min="9222" max="9222" width="16.26953125" style="6" customWidth="1"/>
    <col min="9223" max="9223" width="8.90625" style="6"/>
    <col min="9224" max="9224" width="11.36328125" style="6" customWidth="1"/>
    <col min="9225" max="9226" width="8.90625" style="6"/>
    <col min="9227" max="9227" width="23" style="6" bestFit="1" customWidth="1"/>
    <col min="9228" max="9228" width="10" style="6" customWidth="1"/>
    <col min="9229" max="9229" width="6.26953125" style="6" bestFit="1" customWidth="1"/>
    <col min="9230" max="9230" width="7.26953125" style="6" bestFit="1" customWidth="1"/>
    <col min="9231" max="9231" width="16.7265625" style="6" customWidth="1"/>
    <col min="9232" max="9232" width="7.26953125" style="6" bestFit="1" customWidth="1"/>
    <col min="9233" max="9233" width="16.7265625" style="6" customWidth="1"/>
    <col min="9234" max="9477" width="8.90625" style="6"/>
    <col min="9478" max="9478" width="16.26953125" style="6" customWidth="1"/>
    <col min="9479" max="9479" width="8.90625" style="6"/>
    <col min="9480" max="9480" width="11.36328125" style="6" customWidth="1"/>
    <col min="9481" max="9482" width="8.90625" style="6"/>
    <col min="9483" max="9483" width="23" style="6" bestFit="1" customWidth="1"/>
    <col min="9484" max="9484" width="10" style="6" customWidth="1"/>
    <col min="9485" max="9485" width="6.26953125" style="6" bestFit="1" customWidth="1"/>
    <col min="9486" max="9486" width="7.26953125" style="6" bestFit="1" customWidth="1"/>
    <col min="9487" max="9487" width="16.7265625" style="6" customWidth="1"/>
    <col min="9488" max="9488" width="7.26953125" style="6" bestFit="1" customWidth="1"/>
    <col min="9489" max="9489" width="16.7265625" style="6" customWidth="1"/>
    <col min="9490" max="9733" width="8.90625" style="6"/>
    <col min="9734" max="9734" width="16.26953125" style="6" customWidth="1"/>
    <col min="9735" max="9735" width="8.90625" style="6"/>
    <col min="9736" max="9736" width="11.36328125" style="6" customWidth="1"/>
    <col min="9737" max="9738" width="8.90625" style="6"/>
    <col min="9739" max="9739" width="23" style="6" bestFit="1" customWidth="1"/>
    <col min="9740" max="9740" width="10" style="6" customWidth="1"/>
    <col min="9741" max="9741" width="6.26953125" style="6" bestFit="1" customWidth="1"/>
    <col min="9742" max="9742" width="7.26953125" style="6" bestFit="1" customWidth="1"/>
    <col min="9743" max="9743" width="16.7265625" style="6" customWidth="1"/>
    <col min="9744" max="9744" width="7.26953125" style="6" bestFit="1" customWidth="1"/>
    <col min="9745" max="9745" width="16.7265625" style="6" customWidth="1"/>
    <col min="9746" max="9989" width="8.90625" style="6"/>
    <col min="9990" max="9990" width="16.26953125" style="6" customWidth="1"/>
    <col min="9991" max="9991" width="8.90625" style="6"/>
    <col min="9992" max="9992" width="11.36328125" style="6" customWidth="1"/>
    <col min="9993" max="9994" width="8.90625" style="6"/>
    <col min="9995" max="9995" width="23" style="6" bestFit="1" customWidth="1"/>
    <col min="9996" max="9996" width="10" style="6" customWidth="1"/>
    <col min="9997" max="9997" width="6.26953125" style="6" bestFit="1" customWidth="1"/>
    <col min="9998" max="9998" width="7.26953125" style="6" bestFit="1" customWidth="1"/>
    <col min="9999" max="9999" width="16.7265625" style="6" customWidth="1"/>
    <col min="10000" max="10000" width="7.26953125" style="6" bestFit="1" customWidth="1"/>
    <col min="10001" max="10001" width="16.7265625" style="6" customWidth="1"/>
    <col min="10002" max="10245" width="8.90625" style="6"/>
    <col min="10246" max="10246" width="16.26953125" style="6" customWidth="1"/>
    <col min="10247" max="10247" width="8.90625" style="6"/>
    <col min="10248" max="10248" width="11.36328125" style="6" customWidth="1"/>
    <col min="10249" max="10250" width="8.90625" style="6"/>
    <col min="10251" max="10251" width="23" style="6" bestFit="1" customWidth="1"/>
    <col min="10252" max="10252" width="10" style="6" customWidth="1"/>
    <col min="10253" max="10253" width="6.26953125" style="6" bestFit="1" customWidth="1"/>
    <col min="10254" max="10254" width="7.26953125" style="6" bestFit="1" customWidth="1"/>
    <col min="10255" max="10255" width="16.7265625" style="6" customWidth="1"/>
    <col min="10256" max="10256" width="7.26953125" style="6" bestFit="1" customWidth="1"/>
    <col min="10257" max="10257" width="16.7265625" style="6" customWidth="1"/>
    <col min="10258" max="10501" width="8.90625" style="6"/>
    <col min="10502" max="10502" width="16.26953125" style="6" customWidth="1"/>
    <col min="10503" max="10503" width="8.90625" style="6"/>
    <col min="10504" max="10504" width="11.36328125" style="6" customWidth="1"/>
    <col min="10505" max="10506" width="8.90625" style="6"/>
    <col min="10507" max="10507" width="23" style="6" bestFit="1" customWidth="1"/>
    <col min="10508" max="10508" width="10" style="6" customWidth="1"/>
    <col min="10509" max="10509" width="6.26953125" style="6" bestFit="1" customWidth="1"/>
    <col min="10510" max="10510" width="7.26953125" style="6" bestFit="1" customWidth="1"/>
    <col min="10511" max="10511" width="16.7265625" style="6" customWidth="1"/>
    <col min="10512" max="10512" width="7.26953125" style="6" bestFit="1" customWidth="1"/>
    <col min="10513" max="10513" width="16.7265625" style="6" customWidth="1"/>
    <col min="10514" max="10757" width="8.90625" style="6"/>
    <col min="10758" max="10758" width="16.26953125" style="6" customWidth="1"/>
    <col min="10759" max="10759" width="8.90625" style="6"/>
    <col min="10760" max="10760" width="11.36328125" style="6" customWidth="1"/>
    <col min="10761" max="10762" width="8.90625" style="6"/>
    <col min="10763" max="10763" width="23" style="6" bestFit="1" customWidth="1"/>
    <col min="10764" max="10764" width="10" style="6" customWidth="1"/>
    <col min="10765" max="10765" width="6.26953125" style="6" bestFit="1" customWidth="1"/>
    <col min="10766" max="10766" width="7.26953125" style="6" bestFit="1" customWidth="1"/>
    <col min="10767" max="10767" width="16.7265625" style="6" customWidth="1"/>
    <col min="10768" max="10768" width="7.26953125" style="6" bestFit="1" customWidth="1"/>
    <col min="10769" max="10769" width="16.7265625" style="6" customWidth="1"/>
    <col min="10770" max="11013" width="8.90625" style="6"/>
    <col min="11014" max="11014" width="16.26953125" style="6" customWidth="1"/>
    <col min="11015" max="11015" width="8.90625" style="6"/>
    <col min="11016" max="11016" width="11.36328125" style="6" customWidth="1"/>
    <col min="11017" max="11018" width="8.90625" style="6"/>
    <col min="11019" max="11019" width="23" style="6" bestFit="1" customWidth="1"/>
    <col min="11020" max="11020" width="10" style="6" customWidth="1"/>
    <col min="11021" max="11021" width="6.26953125" style="6" bestFit="1" customWidth="1"/>
    <col min="11022" max="11022" width="7.26953125" style="6" bestFit="1" customWidth="1"/>
    <col min="11023" max="11023" width="16.7265625" style="6" customWidth="1"/>
    <col min="11024" max="11024" width="7.26953125" style="6" bestFit="1" customWidth="1"/>
    <col min="11025" max="11025" width="16.7265625" style="6" customWidth="1"/>
    <col min="11026" max="11269" width="8.90625" style="6"/>
    <col min="11270" max="11270" width="16.26953125" style="6" customWidth="1"/>
    <col min="11271" max="11271" width="8.90625" style="6"/>
    <col min="11272" max="11272" width="11.36328125" style="6" customWidth="1"/>
    <col min="11273" max="11274" width="8.90625" style="6"/>
    <col min="11275" max="11275" width="23" style="6" bestFit="1" customWidth="1"/>
    <col min="11276" max="11276" width="10" style="6" customWidth="1"/>
    <col min="11277" max="11277" width="6.26953125" style="6" bestFit="1" customWidth="1"/>
    <col min="11278" max="11278" width="7.26953125" style="6" bestFit="1" customWidth="1"/>
    <col min="11279" max="11279" width="16.7265625" style="6" customWidth="1"/>
    <col min="11280" max="11280" width="7.26953125" style="6" bestFit="1" customWidth="1"/>
    <col min="11281" max="11281" width="16.7265625" style="6" customWidth="1"/>
    <col min="11282" max="11525" width="8.90625" style="6"/>
    <col min="11526" max="11526" width="16.26953125" style="6" customWidth="1"/>
    <col min="11527" max="11527" width="8.90625" style="6"/>
    <col min="11528" max="11528" width="11.36328125" style="6" customWidth="1"/>
    <col min="11529" max="11530" width="8.90625" style="6"/>
    <col min="11531" max="11531" width="23" style="6" bestFit="1" customWidth="1"/>
    <col min="11532" max="11532" width="10" style="6" customWidth="1"/>
    <col min="11533" max="11533" width="6.26953125" style="6" bestFit="1" customWidth="1"/>
    <col min="11534" max="11534" width="7.26953125" style="6" bestFit="1" customWidth="1"/>
    <col min="11535" max="11535" width="16.7265625" style="6" customWidth="1"/>
    <col min="11536" max="11536" width="7.26953125" style="6" bestFit="1" customWidth="1"/>
    <col min="11537" max="11537" width="16.7265625" style="6" customWidth="1"/>
    <col min="11538" max="11781" width="8.90625" style="6"/>
    <col min="11782" max="11782" width="16.26953125" style="6" customWidth="1"/>
    <col min="11783" max="11783" width="8.90625" style="6"/>
    <col min="11784" max="11784" width="11.36328125" style="6" customWidth="1"/>
    <col min="11785" max="11786" width="8.90625" style="6"/>
    <col min="11787" max="11787" width="23" style="6" bestFit="1" customWidth="1"/>
    <col min="11788" max="11788" width="10" style="6" customWidth="1"/>
    <col min="11789" max="11789" width="6.26953125" style="6" bestFit="1" customWidth="1"/>
    <col min="11790" max="11790" width="7.26953125" style="6" bestFit="1" customWidth="1"/>
    <col min="11791" max="11791" width="16.7265625" style="6" customWidth="1"/>
    <col min="11792" max="11792" width="7.26953125" style="6" bestFit="1" customWidth="1"/>
    <col min="11793" max="11793" width="16.7265625" style="6" customWidth="1"/>
    <col min="11794" max="12037" width="8.90625" style="6"/>
    <col min="12038" max="12038" width="16.26953125" style="6" customWidth="1"/>
    <col min="12039" max="12039" width="8.90625" style="6"/>
    <col min="12040" max="12040" width="11.36328125" style="6" customWidth="1"/>
    <col min="12041" max="12042" width="8.90625" style="6"/>
    <col min="12043" max="12043" width="23" style="6" bestFit="1" customWidth="1"/>
    <col min="12044" max="12044" width="10" style="6" customWidth="1"/>
    <col min="12045" max="12045" width="6.26953125" style="6" bestFit="1" customWidth="1"/>
    <col min="12046" max="12046" width="7.26953125" style="6" bestFit="1" customWidth="1"/>
    <col min="12047" max="12047" width="16.7265625" style="6" customWidth="1"/>
    <col min="12048" max="12048" width="7.26953125" style="6" bestFit="1" customWidth="1"/>
    <col min="12049" max="12049" width="16.7265625" style="6" customWidth="1"/>
    <col min="12050" max="12293" width="8.90625" style="6"/>
    <col min="12294" max="12294" width="16.26953125" style="6" customWidth="1"/>
    <col min="12295" max="12295" width="8.90625" style="6"/>
    <col min="12296" max="12296" width="11.36328125" style="6" customWidth="1"/>
    <col min="12297" max="12298" width="8.90625" style="6"/>
    <col min="12299" max="12299" width="23" style="6" bestFit="1" customWidth="1"/>
    <col min="12300" max="12300" width="10" style="6" customWidth="1"/>
    <col min="12301" max="12301" width="6.26953125" style="6" bestFit="1" customWidth="1"/>
    <col min="12302" max="12302" width="7.26953125" style="6" bestFit="1" customWidth="1"/>
    <col min="12303" max="12303" width="16.7265625" style="6" customWidth="1"/>
    <col min="12304" max="12304" width="7.26953125" style="6" bestFit="1" customWidth="1"/>
    <col min="12305" max="12305" width="16.7265625" style="6" customWidth="1"/>
    <col min="12306" max="12549" width="8.90625" style="6"/>
    <col min="12550" max="12550" width="16.26953125" style="6" customWidth="1"/>
    <col min="12551" max="12551" width="8.90625" style="6"/>
    <col min="12552" max="12552" width="11.36328125" style="6" customWidth="1"/>
    <col min="12553" max="12554" width="8.90625" style="6"/>
    <col min="12555" max="12555" width="23" style="6" bestFit="1" customWidth="1"/>
    <col min="12556" max="12556" width="10" style="6" customWidth="1"/>
    <col min="12557" max="12557" width="6.26953125" style="6" bestFit="1" customWidth="1"/>
    <col min="12558" max="12558" width="7.26953125" style="6" bestFit="1" customWidth="1"/>
    <col min="12559" max="12559" width="16.7265625" style="6" customWidth="1"/>
    <col min="12560" max="12560" width="7.26953125" style="6" bestFit="1" customWidth="1"/>
    <col min="12561" max="12561" width="16.7265625" style="6" customWidth="1"/>
    <col min="12562" max="12805" width="8.90625" style="6"/>
    <col min="12806" max="12806" width="16.26953125" style="6" customWidth="1"/>
    <col min="12807" max="12807" width="8.90625" style="6"/>
    <col min="12808" max="12808" width="11.36328125" style="6" customWidth="1"/>
    <col min="12809" max="12810" width="8.90625" style="6"/>
    <col min="12811" max="12811" width="23" style="6" bestFit="1" customWidth="1"/>
    <col min="12812" max="12812" width="10" style="6" customWidth="1"/>
    <col min="12813" max="12813" width="6.26953125" style="6" bestFit="1" customWidth="1"/>
    <col min="12814" max="12814" width="7.26953125" style="6" bestFit="1" customWidth="1"/>
    <col min="12815" max="12815" width="16.7265625" style="6" customWidth="1"/>
    <col min="12816" max="12816" width="7.26953125" style="6" bestFit="1" customWidth="1"/>
    <col min="12817" max="12817" width="16.7265625" style="6" customWidth="1"/>
    <col min="12818" max="13061" width="8.90625" style="6"/>
    <col min="13062" max="13062" width="16.26953125" style="6" customWidth="1"/>
    <col min="13063" max="13063" width="8.90625" style="6"/>
    <col min="13064" max="13064" width="11.36328125" style="6" customWidth="1"/>
    <col min="13065" max="13066" width="8.90625" style="6"/>
    <col min="13067" max="13067" width="23" style="6" bestFit="1" customWidth="1"/>
    <col min="13068" max="13068" width="10" style="6" customWidth="1"/>
    <col min="13069" max="13069" width="6.26953125" style="6" bestFit="1" customWidth="1"/>
    <col min="13070" max="13070" width="7.26953125" style="6" bestFit="1" customWidth="1"/>
    <col min="13071" max="13071" width="16.7265625" style="6" customWidth="1"/>
    <col min="13072" max="13072" width="7.26953125" style="6" bestFit="1" customWidth="1"/>
    <col min="13073" max="13073" width="16.7265625" style="6" customWidth="1"/>
    <col min="13074" max="13317" width="8.90625" style="6"/>
    <col min="13318" max="13318" width="16.26953125" style="6" customWidth="1"/>
    <col min="13319" max="13319" width="8.90625" style="6"/>
    <col min="13320" max="13320" width="11.36328125" style="6" customWidth="1"/>
    <col min="13321" max="13322" width="8.90625" style="6"/>
    <col min="13323" max="13323" width="23" style="6" bestFit="1" customWidth="1"/>
    <col min="13324" max="13324" width="10" style="6" customWidth="1"/>
    <col min="13325" max="13325" width="6.26953125" style="6" bestFit="1" customWidth="1"/>
    <col min="13326" max="13326" width="7.26953125" style="6" bestFit="1" customWidth="1"/>
    <col min="13327" max="13327" width="16.7265625" style="6" customWidth="1"/>
    <col min="13328" max="13328" width="7.26953125" style="6" bestFit="1" customWidth="1"/>
    <col min="13329" max="13329" width="16.7265625" style="6" customWidth="1"/>
    <col min="13330" max="13573" width="8.90625" style="6"/>
    <col min="13574" max="13574" width="16.26953125" style="6" customWidth="1"/>
    <col min="13575" max="13575" width="8.90625" style="6"/>
    <col min="13576" max="13576" width="11.36328125" style="6" customWidth="1"/>
    <col min="13577" max="13578" width="8.90625" style="6"/>
    <col min="13579" max="13579" width="23" style="6" bestFit="1" customWidth="1"/>
    <col min="13580" max="13580" width="10" style="6" customWidth="1"/>
    <col min="13581" max="13581" width="6.26953125" style="6" bestFit="1" customWidth="1"/>
    <col min="13582" max="13582" width="7.26953125" style="6" bestFit="1" customWidth="1"/>
    <col min="13583" max="13583" width="16.7265625" style="6" customWidth="1"/>
    <col min="13584" max="13584" width="7.26953125" style="6" bestFit="1" customWidth="1"/>
    <col min="13585" max="13585" width="16.7265625" style="6" customWidth="1"/>
    <col min="13586" max="13829" width="8.90625" style="6"/>
    <col min="13830" max="13830" width="16.26953125" style="6" customWidth="1"/>
    <col min="13831" max="13831" width="8.90625" style="6"/>
    <col min="13832" max="13832" width="11.36328125" style="6" customWidth="1"/>
    <col min="13833" max="13834" width="8.90625" style="6"/>
    <col min="13835" max="13835" width="23" style="6" bestFit="1" customWidth="1"/>
    <col min="13836" max="13836" width="10" style="6" customWidth="1"/>
    <col min="13837" max="13837" width="6.26953125" style="6" bestFit="1" customWidth="1"/>
    <col min="13838" max="13838" width="7.26953125" style="6" bestFit="1" customWidth="1"/>
    <col min="13839" max="13839" width="16.7265625" style="6" customWidth="1"/>
    <col min="13840" max="13840" width="7.26953125" style="6" bestFit="1" customWidth="1"/>
    <col min="13841" max="13841" width="16.7265625" style="6" customWidth="1"/>
    <col min="13842" max="14085" width="8.90625" style="6"/>
    <col min="14086" max="14086" width="16.26953125" style="6" customWidth="1"/>
    <col min="14087" max="14087" width="8.90625" style="6"/>
    <col min="14088" max="14088" width="11.36328125" style="6" customWidth="1"/>
    <col min="14089" max="14090" width="8.90625" style="6"/>
    <col min="14091" max="14091" width="23" style="6" bestFit="1" customWidth="1"/>
    <col min="14092" max="14092" width="10" style="6" customWidth="1"/>
    <col min="14093" max="14093" width="6.26953125" style="6" bestFit="1" customWidth="1"/>
    <col min="14094" max="14094" width="7.26953125" style="6" bestFit="1" customWidth="1"/>
    <col min="14095" max="14095" width="16.7265625" style="6" customWidth="1"/>
    <col min="14096" max="14096" width="7.26953125" style="6" bestFit="1" customWidth="1"/>
    <col min="14097" max="14097" width="16.7265625" style="6" customWidth="1"/>
    <col min="14098" max="14341" width="8.90625" style="6"/>
    <col min="14342" max="14342" width="16.26953125" style="6" customWidth="1"/>
    <col min="14343" max="14343" width="8.90625" style="6"/>
    <col min="14344" max="14344" width="11.36328125" style="6" customWidth="1"/>
    <col min="14345" max="14346" width="8.90625" style="6"/>
    <col min="14347" max="14347" width="23" style="6" bestFit="1" customWidth="1"/>
    <col min="14348" max="14348" width="10" style="6" customWidth="1"/>
    <col min="14349" max="14349" width="6.26953125" style="6" bestFit="1" customWidth="1"/>
    <col min="14350" max="14350" width="7.26953125" style="6" bestFit="1" customWidth="1"/>
    <col min="14351" max="14351" width="16.7265625" style="6" customWidth="1"/>
    <col min="14352" max="14352" width="7.26953125" style="6" bestFit="1" customWidth="1"/>
    <col min="14353" max="14353" width="16.7265625" style="6" customWidth="1"/>
    <col min="14354" max="14597" width="8.90625" style="6"/>
    <col min="14598" max="14598" width="16.26953125" style="6" customWidth="1"/>
    <col min="14599" max="14599" width="8.90625" style="6"/>
    <col min="14600" max="14600" width="11.36328125" style="6" customWidth="1"/>
    <col min="14601" max="14602" width="8.90625" style="6"/>
    <col min="14603" max="14603" width="23" style="6" bestFit="1" customWidth="1"/>
    <col min="14604" max="14604" width="10" style="6" customWidth="1"/>
    <col min="14605" max="14605" width="6.26953125" style="6" bestFit="1" customWidth="1"/>
    <col min="14606" max="14606" width="7.26953125" style="6" bestFit="1" customWidth="1"/>
    <col min="14607" max="14607" width="16.7265625" style="6" customWidth="1"/>
    <col min="14608" max="14608" width="7.26953125" style="6" bestFit="1" customWidth="1"/>
    <col min="14609" max="14609" width="16.7265625" style="6" customWidth="1"/>
    <col min="14610" max="14853" width="8.90625" style="6"/>
    <col min="14854" max="14854" width="16.26953125" style="6" customWidth="1"/>
    <col min="14855" max="14855" width="8.90625" style="6"/>
    <col min="14856" max="14856" width="11.36328125" style="6" customWidth="1"/>
    <col min="14857" max="14858" width="8.90625" style="6"/>
    <col min="14859" max="14859" width="23" style="6" bestFit="1" customWidth="1"/>
    <col min="14860" max="14860" width="10" style="6" customWidth="1"/>
    <col min="14861" max="14861" width="6.26953125" style="6" bestFit="1" customWidth="1"/>
    <col min="14862" max="14862" width="7.26953125" style="6" bestFit="1" customWidth="1"/>
    <col min="14863" max="14863" width="16.7265625" style="6" customWidth="1"/>
    <col min="14864" max="14864" width="7.26953125" style="6" bestFit="1" customWidth="1"/>
    <col min="14865" max="14865" width="16.7265625" style="6" customWidth="1"/>
    <col min="14866" max="15109" width="8.90625" style="6"/>
    <col min="15110" max="15110" width="16.26953125" style="6" customWidth="1"/>
    <col min="15111" max="15111" width="8.90625" style="6"/>
    <col min="15112" max="15112" width="11.36328125" style="6" customWidth="1"/>
    <col min="15113" max="15114" width="8.90625" style="6"/>
    <col min="15115" max="15115" width="23" style="6" bestFit="1" customWidth="1"/>
    <col min="15116" max="15116" width="10" style="6" customWidth="1"/>
    <col min="15117" max="15117" width="6.26953125" style="6" bestFit="1" customWidth="1"/>
    <col min="15118" max="15118" width="7.26953125" style="6" bestFit="1" customWidth="1"/>
    <col min="15119" max="15119" width="16.7265625" style="6" customWidth="1"/>
    <col min="15120" max="15120" width="7.26953125" style="6" bestFit="1" customWidth="1"/>
    <col min="15121" max="15121" width="16.7265625" style="6" customWidth="1"/>
    <col min="15122" max="15365" width="8.90625" style="6"/>
    <col min="15366" max="15366" width="16.26953125" style="6" customWidth="1"/>
    <col min="15367" max="15367" width="8.90625" style="6"/>
    <col min="15368" max="15368" width="11.36328125" style="6" customWidth="1"/>
    <col min="15369" max="15370" width="8.90625" style="6"/>
    <col min="15371" max="15371" width="23" style="6" bestFit="1" customWidth="1"/>
    <col min="15372" max="15372" width="10" style="6" customWidth="1"/>
    <col min="15373" max="15373" width="6.26953125" style="6" bestFit="1" customWidth="1"/>
    <col min="15374" max="15374" width="7.26953125" style="6" bestFit="1" customWidth="1"/>
    <col min="15375" max="15375" width="16.7265625" style="6" customWidth="1"/>
    <col min="15376" max="15376" width="7.26953125" style="6" bestFit="1" customWidth="1"/>
    <col min="15377" max="15377" width="16.7265625" style="6" customWidth="1"/>
    <col min="15378" max="15621" width="8.90625" style="6"/>
    <col min="15622" max="15622" width="16.26953125" style="6" customWidth="1"/>
    <col min="15623" max="15623" width="8.90625" style="6"/>
    <col min="15624" max="15624" width="11.36328125" style="6" customWidth="1"/>
    <col min="15625" max="15626" width="8.90625" style="6"/>
    <col min="15627" max="15627" width="23" style="6" bestFit="1" customWidth="1"/>
    <col min="15628" max="15628" width="10" style="6" customWidth="1"/>
    <col min="15629" max="15629" width="6.26953125" style="6" bestFit="1" customWidth="1"/>
    <col min="15630" max="15630" width="7.26953125" style="6" bestFit="1" customWidth="1"/>
    <col min="15631" max="15631" width="16.7265625" style="6" customWidth="1"/>
    <col min="15632" max="15632" width="7.26953125" style="6" bestFit="1" customWidth="1"/>
    <col min="15633" max="15633" width="16.7265625" style="6" customWidth="1"/>
    <col min="15634" max="15877" width="8.90625" style="6"/>
    <col min="15878" max="15878" width="16.26953125" style="6" customWidth="1"/>
    <col min="15879" max="15879" width="8.90625" style="6"/>
    <col min="15880" max="15880" width="11.36328125" style="6" customWidth="1"/>
    <col min="15881" max="15882" width="8.90625" style="6"/>
    <col min="15883" max="15883" width="23" style="6" bestFit="1" customWidth="1"/>
    <col min="15884" max="15884" width="10" style="6" customWidth="1"/>
    <col min="15885" max="15885" width="6.26953125" style="6" bestFit="1" customWidth="1"/>
    <col min="15886" max="15886" width="7.26953125" style="6" bestFit="1" customWidth="1"/>
    <col min="15887" max="15887" width="16.7265625" style="6" customWidth="1"/>
    <col min="15888" max="15888" width="7.26953125" style="6" bestFit="1" customWidth="1"/>
    <col min="15889" max="15889" width="16.7265625" style="6" customWidth="1"/>
    <col min="15890" max="16133" width="8.90625" style="6"/>
    <col min="16134" max="16134" width="16.26953125" style="6" customWidth="1"/>
    <col min="16135" max="16135" width="8.90625" style="6"/>
    <col min="16136" max="16136" width="11.36328125" style="6" customWidth="1"/>
    <col min="16137" max="16138" width="8.90625" style="6"/>
    <col min="16139" max="16139" width="23" style="6" bestFit="1" customWidth="1"/>
    <col min="16140" max="16140" width="10" style="6" customWidth="1"/>
    <col min="16141" max="16141" width="6.26953125" style="6" bestFit="1" customWidth="1"/>
    <col min="16142" max="16142" width="7.26953125" style="6" bestFit="1" customWidth="1"/>
    <col min="16143" max="16143" width="16.7265625" style="6" customWidth="1"/>
    <col min="16144" max="16144" width="7.26953125" style="6" bestFit="1" customWidth="1"/>
    <col min="16145" max="16145" width="16.7265625" style="6" customWidth="1"/>
    <col min="16146" max="16384" width="8.90625" style="6"/>
  </cols>
  <sheetData>
    <row r="1" spans="1:26" s="19" customFormat="1" ht="23.75" customHeight="1">
      <c r="A1" s="39"/>
      <c r="B1" s="39"/>
      <c r="C1" s="39"/>
      <c r="D1" s="39"/>
      <c r="E1" s="39"/>
      <c r="F1" s="39"/>
      <c r="G1" s="39"/>
      <c r="H1" s="39"/>
      <c r="I1" s="39"/>
      <c r="J1" s="39"/>
      <c r="K1" s="39"/>
      <c r="L1" s="39"/>
      <c r="M1" s="114" t="str">
        <f>資訊清單資訊!B3 &amp;資訊清單資訊!B7 &amp;資訊清單資訊!B5</f>
        <v>石油與天然氣輸儲查核與檢測雲端平台軟體類(SW)資訊資產風險評鑑</v>
      </c>
      <c r="N1" s="114"/>
      <c r="O1" s="114"/>
      <c r="P1" s="114"/>
      <c r="Q1" s="114"/>
      <c r="R1" s="114"/>
      <c r="S1" s="114"/>
      <c r="T1" s="114"/>
      <c r="U1" s="114"/>
      <c r="V1" s="114"/>
      <c r="W1" s="114"/>
      <c r="X1" s="114"/>
      <c r="Y1" s="114"/>
      <c r="Z1" s="114"/>
    </row>
    <row r="2" spans="1:26">
      <c r="M2" s="41" t="s">
        <v>9</v>
      </c>
      <c r="N2" s="152" t="str">
        <f>資訊清單資訊!B7</f>
        <v>軟體類(SW)</v>
      </c>
      <c r="O2" s="153"/>
      <c r="P2" s="154"/>
      <c r="Q2" s="45"/>
      <c r="R2" s="33" t="s">
        <v>11</v>
      </c>
      <c r="S2" s="17">
        <f>IF(ISNA(VLOOKUP($N$3,ALL_LIST,16,FALSE)), "",VLOOKUP($N$3,ALL_LIST,16,FALSE))</f>
        <v>3</v>
      </c>
    </row>
    <row r="3" spans="1:26" ht="31.75" customHeight="1">
      <c r="M3" s="44" t="s">
        <v>5</v>
      </c>
      <c r="N3" s="155" t="s">
        <v>178</v>
      </c>
      <c r="O3" s="156"/>
      <c r="P3" s="157"/>
      <c r="R3" s="32" t="s">
        <v>72</v>
      </c>
      <c r="S3" s="18">
        <f>IF(ISNA(VLOOKUP($N$3,ALL_LIST,8,FALSE)), "",VLOOKUP($N$3,ALL_LIST,8,FALSE))</f>
        <v>3</v>
      </c>
    </row>
    <row r="4" spans="1:26">
      <c r="M4" s="42" t="s">
        <v>10</v>
      </c>
      <c r="N4" s="158" t="str">
        <f>IF(ISNA(VLOOKUP($N$3,ALL_LIST,3,FALSE)), "",VLOOKUP($N$3,ALL_LIST,3,FALSE))</f>
        <v>石油與天然氣輸儲查核與檢測雲端平台-資料庫</v>
      </c>
      <c r="O4" s="159"/>
      <c r="P4" s="160"/>
      <c r="Q4" s="45"/>
      <c r="R4" s="32" t="s">
        <v>73</v>
      </c>
      <c r="S4" s="18">
        <f>IF(ISNA(VLOOKUP($N$3,ALL_LIST,10,FALSE)), "",VLOOKUP($N$3,ALL_LIST,10,FALSE))</f>
        <v>3</v>
      </c>
    </row>
    <row r="5" spans="1:26">
      <c r="M5" s="41" t="s">
        <v>6</v>
      </c>
      <c r="N5" s="183" t="str">
        <f>IF(ISNA(VLOOKUP($N$3,ALL_LIST,17,FALSE)), "",VLOOKUP($N$3,ALL_LIST,17,FALSE))</f>
        <v>賴斐瓔 </v>
      </c>
      <c r="O5" s="184"/>
      <c r="P5" s="185"/>
      <c r="Q5" s="45"/>
      <c r="R5" s="32" t="s">
        <v>74</v>
      </c>
      <c r="S5" s="18">
        <f>IF(ISNA(VLOOKUP($N$3,ALL_LIST,12,FALSE)), " ",VLOOKUP($N$3,ALL_LIST,12,FALSE))</f>
        <v>2</v>
      </c>
    </row>
    <row r="6" spans="1:26">
      <c r="M6" s="43" t="s">
        <v>7</v>
      </c>
      <c r="N6" s="161" t="s">
        <v>205</v>
      </c>
      <c r="O6" s="162"/>
      <c r="P6" s="163"/>
      <c r="R6" s="32" t="s">
        <v>75</v>
      </c>
      <c r="S6" s="18">
        <f>IF(ISNA(VLOOKUP($N$3,ALL_LIST,14,FALSE)), "",VLOOKUP($N$3,ALL_LIST,14,FALSE))</f>
        <v>3</v>
      </c>
    </row>
    <row r="7" spans="1:26">
      <c r="M7" s="43" t="s">
        <v>8</v>
      </c>
      <c r="N7" s="186" t="s">
        <v>175</v>
      </c>
      <c r="O7" s="187"/>
      <c r="P7" s="188"/>
      <c r="Q7" s="45"/>
      <c r="R7" s="34" t="s">
        <v>12</v>
      </c>
      <c r="S7" s="25">
        <f>MAX(Y11:Y35)</f>
        <v>36</v>
      </c>
    </row>
    <row r="10" spans="1:26" s="20" customFormat="1" ht="16">
      <c r="A10" s="35" t="s">
        <v>13</v>
      </c>
      <c r="B10" s="35" t="s">
        <v>2</v>
      </c>
      <c r="C10" s="35" t="s">
        <v>15</v>
      </c>
      <c r="D10" s="35" t="s">
        <v>16</v>
      </c>
      <c r="E10" s="35" t="s">
        <v>3</v>
      </c>
      <c r="F10" s="35" t="s">
        <v>17</v>
      </c>
      <c r="G10" s="36" t="s">
        <v>18</v>
      </c>
      <c r="H10" s="36" t="s">
        <v>19</v>
      </c>
      <c r="I10" s="36" t="s">
        <v>20</v>
      </c>
      <c r="J10" s="36" t="s">
        <v>21</v>
      </c>
      <c r="K10" s="37" t="s">
        <v>22</v>
      </c>
      <c r="L10" s="38" t="s">
        <v>31</v>
      </c>
      <c r="M10" s="149" t="s">
        <v>23</v>
      </c>
      <c r="N10" s="150"/>
      <c r="O10" s="151"/>
      <c r="P10" s="149" t="s">
        <v>4</v>
      </c>
      <c r="Q10" s="150"/>
      <c r="R10" s="150"/>
      <c r="S10" s="151"/>
      <c r="T10" s="31" t="s">
        <v>24</v>
      </c>
      <c r="U10" s="31" t="s">
        <v>25</v>
      </c>
      <c r="V10" s="31" t="s">
        <v>26</v>
      </c>
      <c r="W10" s="31" t="s">
        <v>27</v>
      </c>
      <c r="X10" s="31" t="s">
        <v>26</v>
      </c>
      <c r="Y10" s="31" t="s">
        <v>28</v>
      </c>
      <c r="Z10" s="31" t="s">
        <v>29</v>
      </c>
    </row>
    <row r="11" spans="1:26" ht="31">
      <c r="A11" s="54" t="str">
        <f>$N$3</f>
        <v>材1-1-SW-02</v>
      </c>
      <c r="B11" s="55">
        <f t="shared" ref="B11:B25" si="0">VLOOKUP($N$3,ALL_LIST,2,FALSE)</f>
        <v>0</v>
      </c>
      <c r="C11" s="55" t="str">
        <f t="shared" ref="C11:C25" si="1">VLOOKUP($N$3,ALL_LIST,3,FALSE)</f>
        <v>石油與天然氣輸儲查核與檢測雲端平台-資料庫</v>
      </c>
      <c r="D11" s="55" t="str">
        <f t="shared" ref="D11:D25" si="2">VLOOKUP($N$3,ALL_LIST,4,FALSE)</f>
        <v>石油與天然氣輸儲查核與檢測雲端平台所使用資料庫</v>
      </c>
      <c r="E11" s="55">
        <f t="shared" ref="E11:E25" si="3">VLOOKUP($N$3,ALL_LIST,6,FALSE)</f>
        <v>1</v>
      </c>
      <c r="F11" s="55" t="str">
        <f t="shared" ref="F11:F25" si="4">VLOOKUP($N$3,ALL_LIST,7,FALSE)</f>
        <v>劉莉晶</v>
      </c>
      <c r="G11" s="55">
        <f t="shared" ref="G11:G25" si="5">VLOOKUP($N$3,ALL_LIST,8,FALSE)</f>
        <v>3</v>
      </c>
      <c r="H11" s="55">
        <f t="shared" ref="H11:H25" si="6">VLOOKUP($N$3,ALL_LIST,10,FALSE)</f>
        <v>3</v>
      </c>
      <c r="I11" s="55">
        <f t="shared" ref="I11:I25" si="7">VLOOKUP($N$3,ALL_LIST,12,FALSE)</f>
        <v>2</v>
      </c>
      <c r="J11" s="55">
        <f t="shared" ref="J11:J25" si="8">VLOOKUP($N$3,ALL_LIST,14,FALSE)</f>
        <v>3</v>
      </c>
      <c r="K11" s="56">
        <f t="shared" ref="K11:K25" si="9">VLOOKUP($N$3,ALL_LIST,16,FALSE)</f>
        <v>3</v>
      </c>
      <c r="L11" s="56">
        <f t="shared" ref="L11:L25" si="10">$S$7</f>
        <v>36</v>
      </c>
      <c r="M11" s="120" t="s">
        <v>160</v>
      </c>
      <c r="N11" s="121"/>
      <c r="O11" s="122"/>
      <c r="P11" s="118" t="s">
        <v>111</v>
      </c>
      <c r="Q11" s="119" t="s">
        <v>112</v>
      </c>
      <c r="R11" s="119" t="s">
        <v>112</v>
      </c>
      <c r="S11" s="119" t="s">
        <v>112</v>
      </c>
      <c r="T11" s="57" t="s">
        <v>113</v>
      </c>
      <c r="U11" s="57">
        <v>1</v>
      </c>
      <c r="V11" s="71" t="s">
        <v>203</v>
      </c>
      <c r="W11" s="57">
        <v>1</v>
      </c>
      <c r="X11" s="71" t="s">
        <v>164</v>
      </c>
      <c r="Y11" s="58">
        <f t="shared" ref="Y11:Y35" si="11">IF((T11="N"),"不適用",IF(COUNTA(U11,W11)&lt;2,"評鑑中",$S$2*U11*W11))</f>
        <v>3</v>
      </c>
      <c r="Z11" s="66"/>
    </row>
    <row r="12" spans="1:26" ht="31">
      <c r="A12" s="54" t="str">
        <f t="shared" ref="A12:A25" si="12">$N$3</f>
        <v>材1-1-SW-02</v>
      </c>
      <c r="B12" s="55">
        <f t="shared" si="0"/>
        <v>0</v>
      </c>
      <c r="C12" s="55" t="str">
        <f t="shared" si="1"/>
        <v>石油與天然氣輸儲查核與檢測雲端平台-資料庫</v>
      </c>
      <c r="D12" s="55" t="str">
        <f t="shared" si="2"/>
        <v>石油與天然氣輸儲查核與檢測雲端平台所使用資料庫</v>
      </c>
      <c r="E12" s="55">
        <f t="shared" si="3"/>
        <v>1</v>
      </c>
      <c r="F12" s="55" t="str">
        <f t="shared" si="4"/>
        <v>劉莉晶</v>
      </c>
      <c r="G12" s="55">
        <f t="shared" si="5"/>
        <v>3</v>
      </c>
      <c r="H12" s="55">
        <f t="shared" si="6"/>
        <v>3</v>
      </c>
      <c r="I12" s="55">
        <f t="shared" si="7"/>
        <v>2</v>
      </c>
      <c r="J12" s="55">
        <f t="shared" si="8"/>
        <v>3</v>
      </c>
      <c r="K12" s="56">
        <f t="shared" si="9"/>
        <v>3</v>
      </c>
      <c r="L12" s="56">
        <f t="shared" si="10"/>
        <v>36</v>
      </c>
      <c r="M12" s="128" t="s">
        <v>114</v>
      </c>
      <c r="N12" s="129"/>
      <c r="O12" s="130"/>
      <c r="P12" s="147" t="s">
        <v>115</v>
      </c>
      <c r="Q12" s="148" t="s">
        <v>116</v>
      </c>
      <c r="R12" s="148" t="s">
        <v>116</v>
      </c>
      <c r="S12" s="148" t="s">
        <v>116</v>
      </c>
      <c r="T12" s="57" t="s">
        <v>113</v>
      </c>
      <c r="U12" s="57">
        <v>1</v>
      </c>
      <c r="V12" s="72" t="s">
        <v>162</v>
      </c>
      <c r="W12" s="57">
        <v>1</v>
      </c>
      <c r="X12" s="72" t="s">
        <v>163</v>
      </c>
      <c r="Y12" s="58">
        <f t="shared" si="11"/>
        <v>3</v>
      </c>
      <c r="Z12" s="66"/>
    </row>
    <row r="13" spans="1:26" ht="31">
      <c r="A13" s="54" t="str">
        <f t="shared" si="12"/>
        <v>材1-1-SW-02</v>
      </c>
      <c r="B13" s="55">
        <f t="shared" si="0"/>
        <v>0</v>
      </c>
      <c r="C13" s="55" t="str">
        <f t="shared" si="1"/>
        <v>石油與天然氣輸儲查核與檢測雲端平台-資料庫</v>
      </c>
      <c r="D13" s="55" t="str">
        <f t="shared" si="2"/>
        <v>石油與天然氣輸儲查核與檢測雲端平台所使用資料庫</v>
      </c>
      <c r="E13" s="55">
        <f t="shared" si="3"/>
        <v>1</v>
      </c>
      <c r="F13" s="55" t="str">
        <f t="shared" si="4"/>
        <v>劉莉晶</v>
      </c>
      <c r="G13" s="55">
        <f t="shared" si="5"/>
        <v>3</v>
      </c>
      <c r="H13" s="55">
        <f t="shared" si="6"/>
        <v>3</v>
      </c>
      <c r="I13" s="55">
        <f t="shared" si="7"/>
        <v>2</v>
      </c>
      <c r="J13" s="55">
        <f t="shared" si="8"/>
        <v>3</v>
      </c>
      <c r="K13" s="56">
        <f t="shared" si="9"/>
        <v>3</v>
      </c>
      <c r="L13" s="56">
        <f t="shared" si="10"/>
        <v>36</v>
      </c>
      <c r="M13" s="128" t="s">
        <v>114</v>
      </c>
      <c r="N13" s="129"/>
      <c r="O13" s="130"/>
      <c r="P13" s="147" t="s">
        <v>117</v>
      </c>
      <c r="Q13" s="148" t="s">
        <v>118</v>
      </c>
      <c r="R13" s="148" t="s">
        <v>118</v>
      </c>
      <c r="S13" s="148" t="s">
        <v>118</v>
      </c>
      <c r="T13" s="57" t="s">
        <v>113</v>
      </c>
      <c r="U13" s="57">
        <v>1</v>
      </c>
      <c r="V13" s="71" t="s">
        <v>203</v>
      </c>
      <c r="W13" s="57">
        <v>1</v>
      </c>
      <c r="X13" s="72" t="s">
        <v>163</v>
      </c>
      <c r="Y13" s="58">
        <f t="shared" si="11"/>
        <v>3</v>
      </c>
      <c r="Z13" s="66"/>
    </row>
    <row r="14" spans="1:26" ht="46.5">
      <c r="A14" s="54" t="str">
        <f t="shared" si="12"/>
        <v>材1-1-SW-02</v>
      </c>
      <c r="B14" s="55">
        <f t="shared" si="0"/>
        <v>0</v>
      </c>
      <c r="C14" s="55" t="str">
        <f t="shared" si="1"/>
        <v>石油與天然氣輸儲查核與檢測雲端平台-資料庫</v>
      </c>
      <c r="D14" s="55" t="str">
        <f t="shared" si="2"/>
        <v>石油與天然氣輸儲查核與檢測雲端平台所使用資料庫</v>
      </c>
      <c r="E14" s="55">
        <f t="shared" si="3"/>
        <v>1</v>
      </c>
      <c r="F14" s="55" t="str">
        <f t="shared" si="4"/>
        <v>劉莉晶</v>
      </c>
      <c r="G14" s="55">
        <f t="shared" si="5"/>
        <v>3</v>
      </c>
      <c r="H14" s="55">
        <f t="shared" si="6"/>
        <v>3</v>
      </c>
      <c r="I14" s="55">
        <f t="shared" si="7"/>
        <v>2</v>
      </c>
      <c r="J14" s="55">
        <f t="shared" si="8"/>
        <v>3</v>
      </c>
      <c r="K14" s="56">
        <f t="shared" si="9"/>
        <v>3</v>
      </c>
      <c r="L14" s="56">
        <f t="shared" si="10"/>
        <v>36</v>
      </c>
      <c r="M14" s="128" t="s">
        <v>114</v>
      </c>
      <c r="N14" s="129"/>
      <c r="O14" s="130"/>
      <c r="P14" s="147" t="s">
        <v>119</v>
      </c>
      <c r="Q14" s="148" t="s">
        <v>120</v>
      </c>
      <c r="R14" s="148" t="s">
        <v>120</v>
      </c>
      <c r="S14" s="148" t="s">
        <v>120</v>
      </c>
      <c r="T14" s="57" t="s">
        <v>113</v>
      </c>
      <c r="U14" s="57">
        <v>1</v>
      </c>
      <c r="V14" s="72" t="s">
        <v>202</v>
      </c>
      <c r="W14" s="57">
        <v>1</v>
      </c>
      <c r="X14" s="72" t="s">
        <v>163</v>
      </c>
      <c r="Y14" s="58">
        <f t="shared" si="11"/>
        <v>3</v>
      </c>
      <c r="Z14" s="66"/>
    </row>
    <row r="15" spans="1:26" ht="46.5">
      <c r="A15" s="54" t="str">
        <f t="shared" si="12"/>
        <v>材1-1-SW-02</v>
      </c>
      <c r="B15" s="55">
        <f t="shared" si="0"/>
        <v>0</v>
      </c>
      <c r="C15" s="55" t="str">
        <f t="shared" si="1"/>
        <v>石油與天然氣輸儲查核與檢測雲端平台-資料庫</v>
      </c>
      <c r="D15" s="55" t="str">
        <f t="shared" si="2"/>
        <v>石油與天然氣輸儲查核與檢測雲端平台所使用資料庫</v>
      </c>
      <c r="E15" s="55">
        <f t="shared" si="3"/>
        <v>1</v>
      </c>
      <c r="F15" s="55" t="str">
        <f t="shared" si="4"/>
        <v>劉莉晶</v>
      </c>
      <c r="G15" s="55">
        <f t="shared" si="5"/>
        <v>3</v>
      </c>
      <c r="H15" s="55">
        <f t="shared" si="6"/>
        <v>3</v>
      </c>
      <c r="I15" s="55">
        <f t="shared" si="7"/>
        <v>2</v>
      </c>
      <c r="J15" s="55">
        <f t="shared" si="8"/>
        <v>3</v>
      </c>
      <c r="K15" s="56">
        <f t="shared" si="9"/>
        <v>3</v>
      </c>
      <c r="L15" s="56">
        <f t="shared" si="10"/>
        <v>36</v>
      </c>
      <c r="M15" s="128" t="s">
        <v>114</v>
      </c>
      <c r="N15" s="129"/>
      <c r="O15" s="130"/>
      <c r="P15" s="118" t="s">
        <v>121</v>
      </c>
      <c r="Q15" s="119" t="s">
        <v>122</v>
      </c>
      <c r="R15" s="119" t="s">
        <v>122</v>
      </c>
      <c r="S15" s="119" t="s">
        <v>122</v>
      </c>
      <c r="T15" s="57" t="s">
        <v>113</v>
      </c>
      <c r="U15" s="57">
        <v>1</v>
      </c>
      <c r="V15" s="72" t="s">
        <v>188</v>
      </c>
      <c r="W15" s="57">
        <v>1</v>
      </c>
      <c r="X15" s="72" t="s">
        <v>163</v>
      </c>
      <c r="Y15" s="58">
        <f t="shared" si="11"/>
        <v>3</v>
      </c>
      <c r="Z15" s="66"/>
    </row>
    <row r="16" spans="1:26" ht="31">
      <c r="A16" s="54" t="str">
        <f t="shared" si="12"/>
        <v>材1-1-SW-02</v>
      </c>
      <c r="B16" s="55">
        <f t="shared" si="0"/>
        <v>0</v>
      </c>
      <c r="C16" s="55" t="str">
        <f t="shared" si="1"/>
        <v>石油與天然氣輸儲查核與檢測雲端平台-資料庫</v>
      </c>
      <c r="D16" s="55" t="str">
        <f t="shared" si="2"/>
        <v>石油與天然氣輸儲查核與檢測雲端平台所使用資料庫</v>
      </c>
      <c r="E16" s="55">
        <f t="shared" si="3"/>
        <v>1</v>
      </c>
      <c r="F16" s="55" t="str">
        <f t="shared" si="4"/>
        <v>劉莉晶</v>
      </c>
      <c r="G16" s="55">
        <f t="shared" si="5"/>
        <v>3</v>
      </c>
      <c r="H16" s="55">
        <f t="shared" si="6"/>
        <v>3</v>
      </c>
      <c r="I16" s="55">
        <f t="shared" si="7"/>
        <v>2</v>
      </c>
      <c r="J16" s="55">
        <f t="shared" si="8"/>
        <v>3</v>
      </c>
      <c r="K16" s="56">
        <f t="shared" si="9"/>
        <v>3</v>
      </c>
      <c r="L16" s="56">
        <f t="shared" si="10"/>
        <v>36</v>
      </c>
      <c r="M16" s="128" t="s">
        <v>114</v>
      </c>
      <c r="N16" s="129"/>
      <c r="O16" s="130"/>
      <c r="P16" s="147" t="s">
        <v>123</v>
      </c>
      <c r="Q16" s="148" t="s">
        <v>124</v>
      </c>
      <c r="R16" s="148" t="s">
        <v>124</v>
      </c>
      <c r="S16" s="148" t="s">
        <v>124</v>
      </c>
      <c r="T16" s="57" t="s">
        <v>113</v>
      </c>
      <c r="U16" s="57">
        <v>1</v>
      </c>
      <c r="V16" s="72" t="s">
        <v>189</v>
      </c>
      <c r="W16" s="57">
        <v>1</v>
      </c>
      <c r="X16" s="72" t="s">
        <v>163</v>
      </c>
      <c r="Y16" s="58">
        <f t="shared" si="11"/>
        <v>3</v>
      </c>
      <c r="Z16" s="66"/>
    </row>
    <row r="17" spans="1:26" ht="46.5">
      <c r="A17" s="54" t="str">
        <f t="shared" si="12"/>
        <v>材1-1-SW-02</v>
      </c>
      <c r="B17" s="55">
        <f t="shared" si="0"/>
        <v>0</v>
      </c>
      <c r="C17" s="55" t="str">
        <f t="shared" si="1"/>
        <v>石油與天然氣輸儲查核與檢測雲端平台-資料庫</v>
      </c>
      <c r="D17" s="55" t="str">
        <f t="shared" si="2"/>
        <v>石油與天然氣輸儲查核與檢測雲端平台所使用資料庫</v>
      </c>
      <c r="E17" s="55">
        <f t="shared" si="3"/>
        <v>1</v>
      </c>
      <c r="F17" s="55" t="str">
        <f t="shared" si="4"/>
        <v>劉莉晶</v>
      </c>
      <c r="G17" s="55">
        <f t="shared" si="5"/>
        <v>3</v>
      </c>
      <c r="H17" s="55">
        <f t="shared" si="6"/>
        <v>3</v>
      </c>
      <c r="I17" s="55">
        <f t="shared" si="7"/>
        <v>2</v>
      </c>
      <c r="J17" s="55">
        <f t="shared" si="8"/>
        <v>3</v>
      </c>
      <c r="K17" s="56">
        <f t="shared" si="9"/>
        <v>3</v>
      </c>
      <c r="L17" s="56">
        <f t="shared" si="10"/>
        <v>36</v>
      </c>
      <c r="M17" s="120" t="s">
        <v>127</v>
      </c>
      <c r="N17" s="121"/>
      <c r="O17" s="122"/>
      <c r="P17" s="118" t="s">
        <v>125</v>
      </c>
      <c r="Q17" s="119" t="s">
        <v>126</v>
      </c>
      <c r="R17" s="119" t="s">
        <v>126</v>
      </c>
      <c r="S17" s="119" t="s">
        <v>126</v>
      </c>
      <c r="T17" s="57" t="s">
        <v>113</v>
      </c>
      <c r="U17" s="57">
        <v>1</v>
      </c>
      <c r="V17" s="72" t="s">
        <v>188</v>
      </c>
      <c r="W17" s="57">
        <v>2</v>
      </c>
      <c r="X17" s="72"/>
      <c r="Y17" s="58">
        <f t="shared" si="11"/>
        <v>6</v>
      </c>
      <c r="Z17" s="66"/>
    </row>
    <row r="18" spans="1:26" ht="46.5">
      <c r="A18" s="54" t="str">
        <f t="shared" si="12"/>
        <v>材1-1-SW-02</v>
      </c>
      <c r="B18" s="55">
        <f t="shared" si="0"/>
        <v>0</v>
      </c>
      <c r="C18" s="55" t="str">
        <f t="shared" si="1"/>
        <v>石油與天然氣輸儲查核與檢測雲端平台-資料庫</v>
      </c>
      <c r="D18" s="55" t="str">
        <f t="shared" si="2"/>
        <v>石油與天然氣輸儲查核與檢測雲端平台所使用資料庫</v>
      </c>
      <c r="E18" s="55">
        <f t="shared" si="3"/>
        <v>1</v>
      </c>
      <c r="F18" s="55" t="str">
        <f t="shared" si="4"/>
        <v>劉莉晶</v>
      </c>
      <c r="G18" s="55">
        <f t="shared" si="5"/>
        <v>3</v>
      </c>
      <c r="H18" s="55">
        <f t="shared" si="6"/>
        <v>3</v>
      </c>
      <c r="I18" s="55">
        <f t="shared" si="7"/>
        <v>2</v>
      </c>
      <c r="J18" s="55">
        <f t="shared" si="8"/>
        <v>3</v>
      </c>
      <c r="K18" s="56">
        <f t="shared" si="9"/>
        <v>3</v>
      </c>
      <c r="L18" s="56">
        <f t="shared" si="10"/>
        <v>36</v>
      </c>
      <c r="M18" s="142" t="s">
        <v>127</v>
      </c>
      <c r="N18" s="143"/>
      <c r="O18" s="144"/>
      <c r="P18" s="118" t="s">
        <v>128</v>
      </c>
      <c r="Q18" s="119" t="s">
        <v>129</v>
      </c>
      <c r="R18" s="119" t="s">
        <v>129</v>
      </c>
      <c r="S18" s="119" t="s">
        <v>129</v>
      </c>
      <c r="T18" s="57" t="s">
        <v>113</v>
      </c>
      <c r="U18" s="57">
        <v>1</v>
      </c>
      <c r="V18" s="72" t="s">
        <v>188</v>
      </c>
      <c r="W18" s="57">
        <v>2</v>
      </c>
      <c r="X18" s="72"/>
      <c r="Y18" s="58">
        <f t="shared" si="11"/>
        <v>6</v>
      </c>
      <c r="Z18" s="66"/>
    </row>
    <row r="19" spans="1:26" ht="16.649999999999999" customHeight="1">
      <c r="A19" s="54" t="str">
        <f t="shared" si="12"/>
        <v>材1-1-SW-02</v>
      </c>
      <c r="B19" s="55">
        <f t="shared" si="0"/>
        <v>0</v>
      </c>
      <c r="C19" s="55" t="str">
        <f t="shared" si="1"/>
        <v>石油與天然氣輸儲查核與檢測雲端平台-資料庫</v>
      </c>
      <c r="D19" s="55" t="str">
        <f t="shared" si="2"/>
        <v>石油與天然氣輸儲查核與檢測雲端平台所使用資料庫</v>
      </c>
      <c r="E19" s="55">
        <f t="shared" si="3"/>
        <v>1</v>
      </c>
      <c r="F19" s="55" t="str">
        <f t="shared" si="4"/>
        <v>劉莉晶</v>
      </c>
      <c r="G19" s="55">
        <f t="shared" si="5"/>
        <v>3</v>
      </c>
      <c r="H19" s="55">
        <f t="shared" si="6"/>
        <v>3</v>
      </c>
      <c r="I19" s="55">
        <f t="shared" si="7"/>
        <v>2</v>
      </c>
      <c r="J19" s="55">
        <f t="shared" si="8"/>
        <v>3</v>
      </c>
      <c r="K19" s="56">
        <f t="shared" si="9"/>
        <v>3</v>
      </c>
      <c r="L19" s="56">
        <f t="shared" si="10"/>
        <v>36</v>
      </c>
      <c r="M19" s="120" t="s">
        <v>159</v>
      </c>
      <c r="N19" s="121"/>
      <c r="O19" s="122"/>
      <c r="P19" s="145" t="s">
        <v>130</v>
      </c>
      <c r="Q19" s="146" t="s">
        <v>131</v>
      </c>
      <c r="R19" s="146" t="s">
        <v>131</v>
      </c>
      <c r="S19" s="146" t="s">
        <v>131</v>
      </c>
      <c r="T19" s="57" t="s">
        <v>113</v>
      </c>
      <c r="U19" s="57">
        <v>1</v>
      </c>
      <c r="V19" s="72" t="s">
        <v>190</v>
      </c>
      <c r="W19" s="57">
        <v>3</v>
      </c>
      <c r="X19" s="72" t="s">
        <v>163</v>
      </c>
      <c r="Y19" s="58">
        <f t="shared" si="11"/>
        <v>9</v>
      </c>
      <c r="Z19" s="66"/>
    </row>
    <row r="20" spans="1:26" ht="31">
      <c r="A20" s="54" t="str">
        <f t="shared" si="12"/>
        <v>材1-1-SW-02</v>
      </c>
      <c r="B20" s="55">
        <f t="shared" si="0"/>
        <v>0</v>
      </c>
      <c r="C20" s="55" t="str">
        <f t="shared" si="1"/>
        <v>石油與天然氣輸儲查核與檢測雲端平台-資料庫</v>
      </c>
      <c r="D20" s="55" t="str">
        <f t="shared" si="2"/>
        <v>石油與天然氣輸儲查核與檢測雲端平台所使用資料庫</v>
      </c>
      <c r="E20" s="55">
        <f t="shared" si="3"/>
        <v>1</v>
      </c>
      <c r="F20" s="55" t="str">
        <f t="shared" si="4"/>
        <v>劉莉晶</v>
      </c>
      <c r="G20" s="55">
        <f t="shared" si="5"/>
        <v>3</v>
      </c>
      <c r="H20" s="55">
        <f t="shared" si="6"/>
        <v>3</v>
      </c>
      <c r="I20" s="55">
        <f t="shared" si="7"/>
        <v>2</v>
      </c>
      <c r="J20" s="55">
        <f t="shared" si="8"/>
        <v>3</v>
      </c>
      <c r="K20" s="56">
        <f t="shared" si="9"/>
        <v>3</v>
      </c>
      <c r="L20" s="56">
        <f t="shared" si="10"/>
        <v>36</v>
      </c>
      <c r="M20" s="120" t="s">
        <v>133</v>
      </c>
      <c r="N20" s="121"/>
      <c r="O20" s="122"/>
      <c r="P20" s="118" t="s">
        <v>115</v>
      </c>
      <c r="Q20" s="119" t="s">
        <v>132</v>
      </c>
      <c r="R20" s="119" t="s">
        <v>132</v>
      </c>
      <c r="S20" s="119" t="s">
        <v>132</v>
      </c>
      <c r="T20" s="57" t="s">
        <v>113</v>
      </c>
      <c r="U20" s="57">
        <v>1</v>
      </c>
      <c r="V20" s="72" t="s">
        <v>191</v>
      </c>
      <c r="W20" s="57">
        <v>1</v>
      </c>
      <c r="X20" s="72"/>
      <c r="Y20" s="58">
        <f t="shared" si="11"/>
        <v>3</v>
      </c>
      <c r="Z20" s="66"/>
    </row>
    <row r="21" spans="1:26">
      <c r="A21" s="54" t="str">
        <f t="shared" si="12"/>
        <v>材1-1-SW-02</v>
      </c>
      <c r="B21" s="55">
        <f t="shared" si="0"/>
        <v>0</v>
      </c>
      <c r="C21" s="55" t="str">
        <f t="shared" si="1"/>
        <v>石油與天然氣輸儲查核與檢測雲端平台-資料庫</v>
      </c>
      <c r="D21" s="55" t="str">
        <f t="shared" si="2"/>
        <v>石油與天然氣輸儲查核與檢測雲端平台所使用資料庫</v>
      </c>
      <c r="E21" s="55">
        <f t="shared" si="3"/>
        <v>1</v>
      </c>
      <c r="F21" s="55" t="str">
        <f t="shared" si="4"/>
        <v>劉莉晶</v>
      </c>
      <c r="G21" s="55">
        <f t="shared" si="5"/>
        <v>3</v>
      </c>
      <c r="H21" s="55">
        <f t="shared" si="6"/>
        <v>3</v>
      </c>
      <c r="I21" s="55">
        <f t="shared" si="7"/>
        <v>2</v>
      </c>
      <c r="J21" s="55">
        <f t="shared" si="8"/>
        <v>3</v>
      </c>
      <c r="K21" s="56">
        <f t="shared" si="9"/>
        <v>3</v>
      </c>
      <c r="L21" s="56">
        <f t="shared" si="10"/>
        <v>36</v>
      </c>
      <c r="M21" s="128" t="s">
        <v>133</v>
      </c>
      <c r="N21" s="129"/>
      <c r="O21" s="130"/>
      <c r="P21" s="118" t="s">
        <v>134</v>
      </c>
      <c r="Q21" s="119" t="s">
        <v>135</v>
      </c>
      <c r="R21" s="119" t="s">
        <v>135</v>
      </c>
      <c r="S21" s="119" t="s">
        <v>135</v>
      </c>
      <c r="T21" s="57" t="s">
        <v>155</v>
      </c>
      <c r="U21" s="57"/>
      <c r="V21" s="71"/>
      <c r="W21" s="57"/>
      <c r="X21" s="72"/>
      <c r="Y21" s="58" t="str">
        <f t="shared" si="11"/>
        <v>不適用</v>
      </c>
      <c r="Z21" s="66"/>
    </row>
    <row r="22" spans="1:26">
      <c r="A22" s="54" t="str">
        <f t="shared" si="12"/>
        <v>材1-1-SW-02</v>
      </c>
      <c r="B22" s="55">
        <f t="shared" si="0"/>
        <v>0</v>
      </c>
      <c r="C22" s="55" t="str">
        <f t="shared" si="1"/>
        <v>石油與天然氣輸儲查核與檢測雲端平台-資料庫</v>
      </c>
      <c r="D22" s="55" t="str">
        <f t="shared" si="2"/>
        <v>石油與天然氣輸儲查核與檢測雲端平台所使用資料庫</v>
      </c>
      <c r="E22" s="55">
        <f t="shared" si="3"/>
        <v>1</v>
      </c>
      <c r="F22" s="55" t="str">
        <f t="shared" si="4"/>
        <v>劉莉晶</v>
      </c>
      <c r="G22" s="55">
        <f t="shared" si="5"/>
        <v>3</v>
      </c>
      <c r="H22" s="55">
        <f t="shared" si="6"/>
        <v>3</v>
      </c>
      <c r="I22" s="55">
        <f t="shared" si="7"/>
        <v>2</v>
      </c>
      <c r="J22" s="55">
        <f t="shared" si="8"/>
        <v>3</v>
      </c>
      <c r="K22" s="56">
        <f t="shared" si="9"/>
        <v>3</v>
      </c>
      <c r="L22" s="56">
        <f t="shared" si="10"/>
        <v>36</v>
      </c>
      <c r="M22" s="128" t="s">
        <v>133</v>
      </c>
      <c r="N22" s="129"/>
      <c r="O22" s="130"/>
      <c r="P22" s="118" t="s">
        <v>136</v>
      </c>
      <c r="Q22" s="119" t="s">
        <v>137</v>
      </c>
      <c r="R22" s="119" t="s">
        <v>137</v>
      </c>
      <c r="S22" s="119" t="s">
        <v>137</v>
      </c>
      <c r="T22" s="57" t="s">
        <v>155</v>
      </c>
      <c r="U22" s="57"/>
      <c r="V22" s="71"/>
      <c r="W22" s="57"/>
      <c r="X22" s="72"/>
      <c r="Y22" s="58" t="str">
        <f t="shared" si="11"/>
        <v>不適用</v>
      </c>
      <c r="Z22" s="66"/>
    </row>
    <row r="23" spans="1:26" s="167" customFormat="1" ht="31">
      <c r="A23" s="168"/>
      <c r="B23" s="169"/>
      <c r="C23" s="169"/>
      <c r="D23" s="169"/>
      <c r="E23" s="169"/>
      <c r="F23" s="169"/>
      <c r="G23" s="169"/>
      <c r="H23" s="169"/>
      <c r="I23" s="169"/>
      <c r="J23" s="169"/>
      <c r="K23" s="170"/>
      <c r="L23" s="170"/>
      <c r="M23" s="164"/>
      <c r="N23" s="177"/>
      <c r="O23" s="178"/>
      <c r="P23" s="118" t="s">
        <v>207</v>
      </c>
      <c r="Q23" s="119" t="s">
        <v>138</v>
      </c>
      <c r="R23" s="119" t="s">
        <v>138</v>
      </c>
      <c r="S23" s="119" t="s">
        <v>138</v>
      </c>
      <c r="T23" s="171" t="s">
        <v>113</v>
      </c>
      <c r="U23" s="171">
        <v>1</v>
      </c>
      <c r="V23" s="174" t="s">
        <v>208</v>
      </c>
      <c r="W23" s="171">
        <v>2</v>
      </c>
      <c r="X23" s="174" t="s">
        <v>209</v>
      </c>
      <c r="Y23" s="172">
        <f t="shared" si="11"/>
        <v>6</v>
      </c>
      <c r="Z23" s="173"/>
    </row>
    <row r="24" spans="1:26" s="167" customFormat="1" ht="62" customHeight="1">
      <c r="A24" s="168" t="str">
        <f t="shared" ref="A24" si="13">$N$3</f>
        <v>材1-1-SW-02</v>
      </c>
      <c r="B24" s="169">
        <f t="shared" ref="B24" si="14">VLOOKUP($N$3,ALL_LIST,2,FALSE)</f>
        <v>0</v>
      </c>
      <c r="C24" s="169" t="str">
        <f t="shared" ref="C24" si="15">VLOOKUP($N$3,ALL_LIST,3,FALSE)</f>
        <v>石油與天然氣輸儲查核與檢測雲端平台-資料庫</v>
      </c>
      <c r="D24" s="169" t="str">
        <f t="shared" ref="D24" si="16">VLOOKUP($N$3,ALL_LIST,4,FALSE)</f>
        <v>石油與天然氣輸儲查核與檢測雲端平台所使用資料庫</v>
      </c>
      <c r="E24" s="169">
        <f t="shared" ref="E24" si="17">VLOOKUP($N$3,ALL_LIST,6,FALSE)</f>
        <v>1</v>
      </c>
      <c r="F24" s="169" t="str">
        <f t="shared" ref="F24" si="18">VLOOKUP($N$3,ALL_LIST,7,FALSE)</f>
        <v>劉莉晶</v>
      </c>
      <c r="G24" s="169">
        <f t="shared" ref="G24" si="19">VLOOKUP($N$3,ALL_LIST,8,FALSE)</f>
        <v>3</v>
      </c>
      <c r="H24" s="169">
        <f t="shared" ref="H24" si="20">VLOOKUP($N$3,ALL_LIST,10,FALSE)</f>
        <v>3</v>
      </c>
      <c r="I24" s="169">
        <f t="shared" ref="I24" si="21">VLOOKUP($N$3,ALL_LIST,12,FALSE)</f>
        <v>2</v>
      </c>
      <c r="J24" s="169">
        <f t="shared" ref="J24" si="22">VLOOKUP($N$3,ALL_LIST,14,FALSE)</f>
        <v>3</v>
      </c>
      <c r="K24" s="170">
        <f t="shared" ref="K24" si="23">VLOOKUP($N$3,ALL_LIST,16,FALSE)</f>
        <v>3</v>
      </c>
      <c r="L24" s="170">
        <f t="shared" ref="L24" si="24">$S$7</f>
        <v>36</v>
      </c>
      <c r="M24" s="128" t="s">
        <v>133</v>
      </c>
      <c r="N24" s="129"/>
      <c r="O24" s="130"/>
      <c r="P24" s="166" t="s">
        <v>210</v>
      </c>
      <c r="Q24" s="165" t="s">
        <v>211</v>
      </c>
      <c r="R24" s="165" t="s">
        <v>211</v>
      </c>
      <c r="S24" s="165" t="s">
        <v>211</v>
      </c>
      <c r="T24" s="175" t="s">
        <v>113</v>
      </c>
      <c r="U24" s="175">
        <v>3</v>
      </c>
      <c r="V24" s="176" t="s">
        <v>212</v>
      </c>
      <c r="W24" s="175">
        <v>4</v>
      </c>
      <c r="X24" s="176" t="s">
        <v>213</v>
      </c>
      <c r="Y24" s="172">
        <f t="shared" si="11"/>
        <v>36</v>
      </c>
      <c r="Z24" s="173"/>
    </row>
    <row r="25" spans="1:26" ht="16" thickBot="1">
      <c r="A25" s="59" t="str">
        <f t="shared" si="12"/>
        <v>材1-1-SW-02</v>
      </c>
      <c r="B25" s="60">
        <f t="shared" si="0"/>
        <v>0</v>
      </c>
      <c r="C25" s="60" t="str">
        <f t="shared" si="1"/>
        <v>石油與天然氣輸儲查核與檢測雲端平台-資料庫</v>
      </c>
      <c r="D25" s="60" t="str">
        <f t="shared" si="2"/>
        <v>石油與天然氣輸儲查核與檢測雲端平台所使用資料庫</v>
      </c>
      <c r="E25" s="60">
        <f t="shared" si="3"/>
        <v>1</v>
      </c>
      <c r="F25" s="60" t="str">
        <f t="shared" si="4"/>
        <v>劉莉晶</v>
      </c>
      <c r="G25" s="60">
        <f t="shared" si="5"/>
        <v>3</v>
      </c>
      <c r="H25" s="60">
        <f t="shared" si="6"/>
        <v>3</v>
      </c>
      <c r="I25" s="60">
        <f t="shared" si="7"/>
        <v>2</v>
      </c>
      <c r="J25" s="60">
        <f t="shared" si="8"/>
        <v>3</v>
      </c>
      <c r="K25" s="61">
        <f t="shared" si="9"/>
        <v>3</v>
      </c>
      <c r="L25" s="61">
        <f t="shared" si="10"/>
        <v>36</v>
      </c>
      <c r="M25" s="120" t="s">
        <v>158</v>
      </c>
      <c r="N25" s="121"/>
      <c r="O25" s="122"/>
      <c r="P25" s="118" t="s">
        <v>139</v>
      </c>
      <c r="Q25" s="119" t="s">
        <v>140</v>
      </c>
      <c r="R25" s="119" t="s">
        <v>140</v>
      </c>
      <c r="S25" s="119" t="s">
        <v>140</v>
      </c>
      <c r="T25" s="57" t="s">
        <v>155</v>
      </c>
      <c r="U25" s="57"/>
      <c r="V25" s="81"/>
      <c r="W25" s="57"/>
      <c r="X25" s="72"/>
      <c r="Y25" s="58" t="str">
        <f t="shared" si="11"/>
        <v>不適用</v>
      </c>
      <c r="Z25" s="67"/>
    </row>
    <row r="26" spans="1:26" ht="31">
      <c r="A26" s="62"/>
      <c r="B26" s="62"/>
      <c r="C26" s="62"/>
      <c r="D26" s="62"/>
      <c r="E26" s="62"/>
      <c r="F26" s="62"/>
      <c r="G26" s="62"/>
      <c r="H26" s="62"/>
      <c r="I26" s="62"/>
      <c r="J26" s="62"/>
      <c r="K26" s="62"/>
      <c r="L26" s="62"/>
      <c r="M26" s="125" t="s">
        <v>141</v>
      </c>
      <c r="N26" s="126"/>
      <c r="O26" s="127"/>
      <c r="P26" s="118" t="s">
        <v>142</v>
      </c>
      <c r="Q26" s="119" t="s">
        <v>143</v>
      </c>
      <c r="R26" s="119" t="s">
        <v>143</v>
      </c>
      <c r="S26" s="119" t="s">
        <v>143</v>
      </c>
      <c r="T26" s="57" t="s">
        <v>113</v>
      </c>
      <c r="U26" s="57">
        <v>1</v>
      </c>
      <c r="V26" s="81" t="s">
        <v>195</v>
      </c>
      <c r="W26" s="57">
        <v>1</v>
      </c>
      <c r="X26" s="72" t="s">
        <v>163</v>
      </c>
      <c r="Y26" s="58">
        <f t="shared" si="11"/>
        <v>3</v>
      </c>
      <c r="Z26" s="67"/>
    </row>
    <row r="27" spans="1:26" s="64" customFormat="1" ht="31">
      <c r="A27" s="63"/>
      <c r="B27" s="63"/>
      <c r="C27" s="63"/>
      <c r="D27" s="63"/>
      <c r="E27" s="63"/>
      <c r="F27" s="63"/>
      <c r="G27" s="63"/>
      <c r="H27" s="63"/>
      <c r="I27" s="63"/>
      <c r="J27" s="63"/>
      <c r="K27" s="63"/>
      <c r="L27" s="63"/>
      <c r="M27" s="125" t="s">
        <v>141</v>
      </c>
      <c r="N27" s="126"/>
      <c r="O27" s="127"/>
      <c r="P27" s="118" t="s">
        <v>144</v>
      </c>
      <c r="Q27" s="119" t="s">
        <v>144</v>
      </c>
      <c r="R27" s="119" t="s">
        <v>144</v>
      </c>
      <c r="S27" s="119" t="s">
        <v>144</v>
      </c>
      <c r="T27" s="57" t="s">
        <v>113</v>
      </c>
      <c r="U27" s="57">
        <v>2</v>
      </c>
      <c r="V27" s="81" t="s">
        <v>196</v>
      </c>
      <c r="W27" s="57">
        <v>1</v>
      </c>
      <c r="X27" s="72" t="s">
        <v>163</v>
      </c>
      <c r="Y27" s="58">
        <f t="shared" si="11"/>
        <v>6</v>
      </c>
      <c r="Z27" s="67"/>
    </row>
    <row r="28" spans="1:26" s="64" customFormat="1" ht="32.25" customHeight="1">
      <c r="A28" s="63"/>
      <c r="B28" s="63"/>
      <c r="C28" s="63"/>
      <c r="D28" s="63"/>
      <c r="E28" s="63"/>
      <c r="F28" s="63"/>
      <c r="G28" s="63"/>
      <c r="H28" s="63"/>
      <c r="I28" s="63"/>
      <c r="J28" s="63"/>
      <c r="K28" s="63"/>
      <c r="L28" s="63"/>
      <c r="M28" s="120" t="s">
        <v>146</v>
      </c>
      <c r="N28" s="121"/>
      <c r="O28" s="122"/>
      <c r="P28" s="118" t="s">
        <v>145</v>
      </c>
      <c r="Q28" s="119"/>
      <c r="R28" s="119"/>
      <c r="S28" s="119"/>
      <c r="T28" s="57" t="s">
        <v>155</v>
      </c>
      <c r="U28" s="73"/>
      <c r="V28" s="82"/>
      <c r="W28" s="73"/>
      <c r="X28" s="23"/>
      <c r="Y28" s="58" t="str">
        <f t="shared" si="11"/>
        <v>不適用</v>
      </c>
      <c r="Z28" s="68"/>
    </row>
    <row r="29" spans="1:26" s="64" customFormat="1">
      <c r="A29" s="63"/>
      <c r="B29" s="63"/>
      <c r="C29" s="63"/>
      <c r="D29" s="63"/>
      <c r="E29" s="63"/>
      <c r="F29" s="63"/>
      <c r="G29" s="63"/>
      <c r="H29" s="63"/>
      <c r="I29" s="63"/>
      <c r="J29" s="63"/>
      <c r="K29" s="63"/>
      <c r="L29" s="63"/>
      <c r="M29" s="133" t="s">
        <v>146</v>
      </c>
      <c r="N29" s="134"/>
      <c r="O29" s="135"/>
      <c r="P29" s="118" t="s">
        <v>147</v>
      </c>
      <c r="Q29" s="119"/>
      <c r="R29" s="119"/>
      <c r="S29" s="119"/>
      <c r="T29" s="57" t="s">
        <v>155</v>
      </c>
      <c r="U29" s="73"/>
      <c r="V29" s="82"/>
      <c r="W29" s="73"/>
      <c r="X29" s="23"/>
      <c r="Y29" s="58" t="str">
        <f t="shared" si="11"/>
        <v>不適用</v>
      </c>
      <c r="Z29" s="68"/>
    </row>
    <row r="30" spans="1:26" s="64" customFormat="1" ht="33" customHeight="1">
      <c r="A30" s="63"/>
      <c r="B30" s="63"/>
      <c r="C30" s="63"/>
      <c r="D30" s="63"/>
      <c r="E30" s="63"/>
      <c r="F30" s="63"/>
      <c r="G30" s="63"/>
      <c r="H30" s="63"/>
      <c r="I30" s="63"/>
      <c r="J30" s="63"/>
      <c r="K30" s="63"/>
      <c r="L30" s="63"/>
      <c r="M30" s="120" t="s">
        <v>149</v>
      </c>
      <c r="N30" s="121"/>
      <c r="O30" s="122"/>
      <c r="P30" s="118" t="s">
        <v>148</v>
      </c>
      <c r="Q30" s="119"/>
      <c r="R30" s="119"/>
      <c r="S30" s="119"/>
      <c r="T30" s="57" t="s">
        <v>155</v>
      </c>
      <c r="U30" s="73"/>
      <c r="V30" s="82"/>
      <c r="W30" s="73"/>
      <c r="X30" s="23"/>
      <c r="Y30" s="58" t="str">
        <f t="shared" si="11"/>
        <v>不適用</v>
      </c>
      <c r="Z30" s="68"/>
    </row>
    <row r="31" spans="1:26" s="64" customFormat="1">
      <c r="A31" s="63"/>
      <c r="B31" s="63"/>
      <c r="C31" s="63"/>
      <c r="D31" s="63"/>
      <c r="E31" s="63"/>
      <c r="F31" s="63"/>
      <c r="G31" s="63"/>
      <c r="H31" s="63"/>
      <c r="I31" s="63"/>
      <c r="J31" s="63"/>
      <c r="K31" s="63"/>
      <c r="L31" s="63"/>
      <c r="M31" s="133" t="s">
        <v>149</v>
      </c>
      <c r="N31" s="134"/>
      <c r="O31" s="135"/>
      <c r="P31" s="118" t="s">
        <v>150</v>
      </c>
      <c r="Q31" s="119"/>
      <c r="R31" s="119"/>
      <c r="S31" s="119"/>
      <c r="T31" s="57" t="s">
        <v>155</v>
      </c>
      <c r="U31" s="73"/>
      <c r="V31" s="82"/>
      <c r="W31" s="73"/>
      <c r="X31" s="23"/>
      <c r="Y31" s="58" t="str">
        <f t="shared" si="11"/>
        <v>不適用</v>
      </c>
      <c r="Z31" s="68"/>
    </row>
    <row r="32" spans="1:26" s="64" customFormat="1">
      <c r="A32" s="63"/>
      <c r="B32" s="63"/>
      <c r="C32" s="63"/>
      <c r="D32" s="63"/>
      <c r="E32" s="63"/>
      <c r="F32" s="63"/>
      <c r="G32" s="63"/>
      <c r="H32" s="63"/>
      <c r="I32" s="63"/>
      <c r="J32" s="63"/>
      <c r="K32" s="63"/>
      <c r="L32" s="63"/>
      <c r="M32" s="115" t="s">
        <v>157</v>
      </c>
      <c r="N32" s="116"/>
      <c r="O32" s="117"/>
      <c r="P32" s="118" t="s">
        <v>151</v>
      </c>
      <c r="Q32" s="119"/>
      <c r="R32" s="119"/>
      <c r="S32" s="119"/>
      <c r="T32" s="57" t="s">
        <v>155</v>
      </c>
      <c r="U32" s="73"/>
      <c r="V32" s="82"/>
      <c r="W32" s="73"/>
      <c r="X32" s="23"/>
      <c r="Y32" s="58" t="str">
        <f t="shared" si="11"/>
        <v>不適用</v>
      </c>
      <c r="Z32" s="68"/>
    </row>
    <row r="33" spans="1:26" s="64" customFormat="1" ht="35" customHeight="1">
      <c r="A33" s="63"/>
      <c r="B33" s="63"/>
      <c r="C33" s="63"/>
      <c r="D33" s="63"/>
      <c r="E33" s="63"/>
      <c r="F33" s="63"/>
      <c r="G33" s="63"/>
      <c r="H33" s="63"/>
      <c r="I33" s="63"/>
      <c r="J33" s="63"/>
      <c r="K33" s="63"/>
      <c r="L33" s="63"/>
      <c r="M33" s="120" t="s">
        <v>156</v>
      </c>
      <c r="N33" s="121"/>
      <c r="O33" s="122"/>
      <c r="P33" s="123" t="s">
        <v>152</v>
      </c>
      <c r="Q33" s="124"/>
      <c r="R33" s="124"/>
      <c r="S33" s="124"/>
      <c r="T33" s="57" t="s">
        <v>155</v>
      </c>
      <c r="U33" s="57"/>
      <c r="V33" s="81"/>
      <c r="W33" s="73"/>
      <c r="X33" s="23"/>
      <c r="Y33" s="65" t="str">
        <f t="shared" si="11"/>
        <v>不適用</v>
      </c>
      <c r="Z33" s="68"/>
    </row>
    <row r="34" spans="1:26" s="64" customFormat="1" ht="46.5">
      <c r="A34" s="63"/>
      <c r="B34" s="63"/>
      <c r="C34" s="63"/>
      <c r="D34" s="63"/>
      <c r="E34" s="63"/>
      <c r="F34" s="63"/>
      <c r="G34" s="63"/>
      <c r="H34" s="63"/>
      <c r="I34" s="63"/>
      <c r="J34" s="63"/>
      <c r="K34" s="63"/>
      <c r="L34" s="63"/>
      <c r="M34" s="136" t="s">
        <v>183</v>
      </c>
      <c r="N34" s="137"/>
      <c r="O34" s="138"/>
      <c r="P34" s="139" t="s">
        <v>184</v>
      </c>
      <c r="Q34" s="140"/>
      <c r="R34" s="140"/>
      <c r="S34" s="141"/>
      <c r="T34" s="73" t="s">
        <v>113</v>
      </c>
      <c r="U34" s="73">
        <v>1</v>
      </c>
      <c r="V34" s="71" t="s">
        <v>185</v>
      </c>
      <c r="W34" s="57">
        <v>3</v>
      </c>
      <c r="X34" s="71" t="s">
        <v>186</v>
      </c>
      <c r="Y34" s="65">
        <f t="shared" si="11"/>
        <v>9</v>
      </c>
      <c r="Z34" s="68"/>
    </row>
    <row r="35" spans="1:26" s="64" customFormat="1">
      <c r="A35" s="63"/>
      <c r="B35" s="63"/>
      <c r="C35" s="63"/>
      <c r="D35" s="63"/>
      <c r="E35" s="63"/>
      <c r="F35" s="63"/>
      <c r="G35" s="63"/>
      <c r="H35" s="63"/>
      <c r="I35" s="63"/>
      <c r="J35" s="63"/>
      <c r="K35" s="63"/>
      <c r="L35" s="63"/>
      <c r="M35" s="131" t="s">
        <v>153</v>
      </c>
      <c r="N35" s="131"/>
      <c r="O35" s="131"/>
      <c r="P35" s="132" t="s">
        <v>154</v>
      </c>
      <c r="Q35" s="132"/>
      <c r="R35" s="132"/>
      <c r="S35" s="132"/>
      <c r="T35" s="57" t="s">
        <v>155</v>
      </c>
      <c r="U35" s="23"/>
      <c r="V35" s="23"/>
      <c r="W35" s="23"/>
      <c r="X35" s="23"/>
      <c r="Y35" s="69" t="str">
        <f t="shared" si="11"/>
        <v>不適用</v>
      </c>
      <c r="Z35" s="67"/>
    </row>
    <row r="40" spans="1:26">
      <c r="M40" s="7"/>
    </row>
  </sheetData>
  <sheetProtection formatCells="0" formatColumns="0" formatRows="0" insertColumns="0" insertRows="0" insertHyperlinks="0" deleteColumns="0" deleteRows="0" sort="0" autoFilter="0" pivotTables="0"/>
  <autoFilter ref="M10:Z10" xr:uid="{00000000-0009-0000-0000-000004000000}">
    <filterColumn colId="0" showButton="0"/>
    <filterColumn colId="1" showButton="0"/>
    <filterColumn colId="3" showButton="0"/>
    <filterColumn colId="4" showButton="0"/>
    <filterColumn colId="5" showButton="0"/>
  </autoFilter>
  <mergeCells count="59">
    <mergeCell ref="M32:O32"/>
    <mergeCell ref="P32:S32"/>
    <mergeCell ref="M33:O33"/>
    <mergeCell ref="P33:S33"/>
    <mergeCell ref="M35:O35"/>
    <mergeCell ref="P35:S35"/>
    <mergeCell ref="M34:O34"/>
    <mergeCell ref="P34:S34"/>
    <mergeCell ref="M29:O29"/>
    <mergeCell ref="P29:S29"/>
    <mergeCell ref="M30:O30"/>
    <mergeCell ref="P30:S30"/>
    <mergeCell ref="M31:O31"/>
    <mergeCell ref="P31:S31"/>
    <mergeCell ref="M26:O26"/>
    <mergeCell ref="P26:S26"/>
    <mergeCell ref="M27:O27"/>
    <mergeCell ref="P27:S27"/>
    <mergeCell ref="M28:O28"/>
    <mergeCell ref="P28:S28"/>
    <mergeCell ref="M22:O22"/>
    <mergeCell ref="P22:S22"/>
    <mergeCell ref="M25:O25"/>
    <mergeCell ref="P25:S25"/>
    <mergeCell ref="M23:O23"/>
    <mergeCell ref="P23:S23"/>
    <mergeCell ref="M24:O24"/>
    <mergeCell ref="P24:S24"/>
    <mergeCell ref="M19:O19"/>
    <mergeCell ref="P19:S19"/>
    <mergeCell ref="M20:O20"/>
    <mergeCell ref="P20:S20"/>
    <mergeCell ref="M21:O21"/>
    <mergeCell ref="P21:S21"/>
    <mergeCell ref="M16:O16"/>
    <mergeCell ref="P16:S16"/>
    <mergeCell ref="M17:O17"/>
    <mergeCell ref="P17:S17"/>
    <mergeCell ref="M18:O18"/>
    <mergeCell ref="P18:S18"/>
    <mergeCell ref="M13:O13"/>
    <mergeCell ref="P13:S13"/>
    <mergeCell ref="M14:O14"/>
    <mergeCell ref="P14:S14"/>
    <mergeCell ref="M15:O15"/>
    <mergeCell ref="P15:S15"/>
    <mergeCell ref="M12:O12"/>
    <mergeCell ref="P12:S12"/>
    <mergeCell ref="M1:Z1"/>
    <mergeCell ref="N2:P2"/>
    <mergeCell ref="N3:P3"/>
    <mergeCell ref="N4:P4"/>
    <mergeCell ref="N5:P5"/>
    <mergeCell ref="N6:P6"/>
    <mergeCell ref="N7:P7"/>
    <mergeCell ref="M10:O10"/>
    <mergeCell ref="P10:S10"/>
    <mergeCell ref="M11:O11"/>
    <mergeCell ref="P11:S11"/>
  </mergeCells>
  <phoneticPr fontId="1" type="noConversion"/>
  <dataValidations count="2">
    <dataValidation type="list" allowBlank="1" showInputMessage="1" showErrorMessage="1" sqref="T65547:T65570 JI65547:JI65570 TE65547:TE65570 ADA65547:ADA65570 AMW65547:AMW65570 AWS65547:AWS65570 BGO65547:BGO65570 BQK65547:BQK65570 CAG65547:CAG65570 CKC65547:CKC65570 CTY65547:CTY65570 DDU65547:DDU65570 DNQ65547:DNQ65570 DXM65547:DXM65570 EHI65547:EHI65570 ERE65547:ERE65570 FBA65547:FBA65570 FKW65547:FKW65570 FUS65547:FUS65570 GEO65547:GEO65570 GOK65547:GOK65570 GYG65547:GYG65570 HIC65547:HIC65570 HRY65547:HRY65570 IBU65547:IBU65570 ILQ65547:ILQ65570 IVM65547:IVM65570 JFI65547:JFI65570 JPE65547:JPE65570 JZA65547:JZA65570 KIW65547:KIW65570 KSS65547:KSS65570 LCO65547:LCO65570 LMK65547:LMK65570 LWG65547:LWG65570 MGC65547:MGC65570 MPY65547:MPY65570 MZU65547:MZU65570 NJQ65547:NJQ65570 NTM65547:NTM65570 ODI65547:ODI65570 ONE65547:ONE65570 OXA65547:OXA65570 PGW65547:PGW65570 PQS65547:PQS65570 QAO65547:QAO65570 QKK65547:QKK65570 QUG65547:QUG65570 REC65547:REC65570 RNY65547:RNY65570 RXU65547:RXU65570 SHQ65547:SHQ65570 SRM65547:SRM65570 TBI65547:TBI65570 TLE65547:TLE65570 TVA65547:TVA65570 UEW65547:UEW65570 UOS65547:UOS65570 UYO65547:UYO65570 VIK65547:VIK65570 VSG65547:VSG65570 WCC65547:WCC65570 WLY65547:WLY65570 WVU65547:WVU65570 T131083:T131106 JI131083:JI131106 TE131083:TE131106 ADA131083:ADA131106 AMW131083:AMW131106 AWS131083:AWS131106 BGO131083:BGO131106 BQK131083:BQK131106 CAG131083:CAG131106 CKC131083:CKC131106 CTY131083:CTY131106 DDU131083:DDU131106 DNQ131083:DNQ131106 DXM131083:DXM131106 EHI131083:EHI131106 ERE131083:ERE131106 FBA131083:FBA131106 FKW131083:FKW131106 FUS131083:FUS131106 GEO131083:GEO131106 GOK131083:GOK131106 GYG131083:GYG131106 HIC131083:HIC131106 HRY131083:HRY131106 IBU131083:IBU131106 ILQ131083:ILQ131106 IVM131083:IVM131106 JFI131083:JFI131106 JPE131083:JPE131106 JZA131083:JZA131106 KIW131083:KIW131106 KSS131083:KSS131106 LCO131083:LCO131106 LMK131083:LMK131106 LWG131083:LWG131106 MGC131083:MGC131106 MPY131083:MPY131106 MZU131083:MZU131106 NJQ131083:NJQ131106 NTM131083:NTM131106 ODI131083:ODI131106 ONE131083:ONE131106 OXA131083:OXA131106 PGW131083:PGW131106 PQS131083:PQS131106 QAO131083:QAO131106 QKK131083:QKK131106 QUG131083:QUG131106 REC131083:REC131106 RNY131083:RNY131106 RXU131083:RXU131106 SHQ131083:SHQ131106 SRM131083:SRM131106 TBI131083:TBI131106 TLE131083:TLE131106 TVA131083:TVA131106 UEW131083:UEW131106 UOS131083:UOS131106 UYO131083:UYO131106 VIK131083:VIK131106 VSG131083:VSG131106 WCC131083:WCC131106 WLY131083:WLY131106 WVU131083:WVU131106 T196619:T196642 JI196619:JI196642 TE196619:TE196642 ADA196619:ADA196642 AMW196619:AMW196642 AWS196619:AWS196642 BGO196619:BGO196642 BQK196619:BQK196642 CAG196619:CAG196642 CKC196619:CKC196642 CTY196619:CTY196642 DDU196619:DDU196642 DNQ196619:DNQ196642 DXM196619:DXM196642 EHI196619:EHI196642 ERE196619:ERE196642 FBA196619:FBA196642 FKW196619:FKW196642 FUS196619:FUS196642 GEO196619:GEO196642 GOK196619:GOK196642 GYG196619:GYG196642 HIC196619:HIC196642 HRY196619:HRY196642 IBU196619:IBU196642 ILQ196619:ILQ196642 IVM196619:IVM196642 JFI196619:JFI196642 JPE196619:JPE196642 JZA196619:JZA196642 KIW196619:KIW196642 KSS196619:KSS196642 LCO196619:LCO196642 LMK196619:LMK196642 LWG196619:LWG196642 MGC196619:MGC196642 MPY196619:MPY196642 MZU196619:MZU196642 NJQ196619:NJQ196642 NTM196619:NTM196642 ODI196619:ODI196642 ONE196619:ONE196642 OXA196619:OXA196642 PGW196619:PGW196642 PQS196619:PQS196642 QAO196619:QAO196642 QKK196619:QKK196642 QUG196619:QUG196642 REC196619:REC196642 RNY196619:RNY196642 RXU196619:RXU196642 SHQ196619:SHQ196642 SRM196619:SRM196642 TBI196619:TBI196642 TLE196619:TLE196642 TVA196619:TVA196642 UEW196619:UEW196642 UOS196619:UOS196642 UYO196619:UYO196642 VIK196619:VIK196642 VSG196619:VSG196642 WCC196619:WCC196642 WLY196619:WLY196642 WVU196619:WVU196642 T262155:T262178 JI262155:JI262178 TE262155:TE262178 ADA262155:ADA262178 AMW262155:AMW262178 AWS262155:AWS262178 BGO262155:BGO262178 BQK262155:BQK262178 CAG262155:CAG262178 CKC262155:CKC262178 CTY262155:CTY262178 DDU262155:DDU262178 DNQ262155:DNQ262178 DXM262155:DXM262178 EHI262155:EHI262178 ERE262155:ERE262178 FBA262155:FBA262178 FKW262155:FKW262178 FUS262155:FUS262178 GEO262155:GEO262178 GOK262155:GOK262178 GYG262155:GYG262178 HIC262155:HIC262178 HRY262155:HRY262178 IBU262155:IBU262178 ILQ262155:ILQ262178 IVM262155:IVM262178 JFI262155:JFI262178 JPE262155:JPE262178 JZA262155:JZA262178 KIW262155:KIW262178 KSS262155:KSS262178 LCO262155:LCO262178 LMK262155:LMK262178 LWG262155:LWG262178 MGC262155:MGC262178 MPY262155:MPY262178 MZU262155:MZU262178 NJQ262155:NJQ262178 NTM262155:NTM262178 ODI262155:ODI262178 ONE262155:ONE262178 OXA262155:OXA262178 PGW262155:PGW262178 PQS262155:PQS262178 QAO262155:QAO262178 QKK262155:QKK262178 QUG262155:QUG262178 REC262155:REC262178 RNY262155:RNY262178 RXU262155:RXU262178 SHQ262155:SHQ262178 SRM262155:SRM262178 TBI262155:TBI262178 TLE262155:TLE262178 TVA262155:TVA262178 UEW262155:UEW262178 UOS262155:UOS262178 UYO262155:UYO262178 VIK262155:VIK262178 VSG262155:VSG262178 WCC262155:WCC262178 WLY262155:WLY262178 WVU262155:WVU262178 T327691:T327714 JI327691:JI327714 TE327691:TE327714 ADA327691:ADA327714 AMW327691:AMW327714 AWS327691:AWS327714 BGO327691:BGO327714 BQK327691:BQK327714 CAG327691:CAG327714 CKC327691:CKC327714 CTY327691:CTY327714 DDU327691:DDU327714 DNQ327691:DNQ327714 DXM327691:DXM327714 EHI327691:EHI327714 ERE327691:ERE327714 FBA327691:FBA327714 FKW327691:FKW327714 FUS327691:FUS327714 GEO327691:GEO327714 GOK327691:GOK327714 GYG327691:GYG327714 HIC327691:HIC327714 HRY327691:HRY327714 IBU327691:IBU327714 ILQ327691:ILQ327714 IVM327691:IVM327714 JFI327691:JFI327714 JPE327691:JPE327714 JZA327691:JZA327714 KIW327691:KIW327714 KSS327691:KSS327714 LCO327691:LCO327714 LMK327691:LMK327714 LWG327691:LWG327714 MGC327691:MGC327714 MPY327691:MPY327714 MZU327691:MZU327714 NJQ327691:NJQ327714 NTM327691:NTM327714 ODI327691:ODI327714 ONE327691:ONE327714 OXA327691:OXA327714 PGW327691:PGW327714 PQS327691:PQS327714 QAO327691:QAO327714 QKK327691:QKK327714 QUG327691:QUG327714 REC327691:REC327714 RNY327691:RNY327714 RXU327691:RXU327714 SHQ327691:SHQ327714 SRM327691:SRM327714 TBI327691:TBI327714 TLE327691:TLE327714 TVA327691:TVA327714 UEW327691:UEW327714 UOS327691:UOS327714 UYO327691:UYO327714 VIK327691:VIK327714 VSG327691:VSG327714 WCC327691:WCC327714 WLY327691:WLY327714 WVU327691:WVU327714 T393227:T393250 JI393227:JI393250 TE393227:TE393250 ADA393227:ADA393250 AMW393227:AMW393250 AWS393227:AWS393250 BGO393227:BGO393250 BQK393227:BQK393250 CAG393227:CAG393250 CKC393227:CKC393250 CTY393227:CTY393250 DDU393227:DDU393250 DNQ393227:DNQ393250 DXM393227:DXM393250 EHI393227:EHI393250 ERE393227:ERE393250 FBA393227:FBA393250 FKW393227:FKW393250 FUS393227:FUS393250 GEO393227:GEO393250 GOK393227:GOK393250 GYG393227:GYG393250 HIC393227:HIC393250 HRY393227:HRY393250 IBU393227:IBU393250 ILQ393227:ILQ393250 IVM393227:IVM393250 JFI393227:JFI393250 JPE393227:JPE393250 JZA393227:JZA393250 KIW393227:KIW393250 KSS393227:KSS393250 LCO393227:LCO393250 LMK393227:LMK393250 LWG393227:LWG393250 MGC393227:MGC393250 MPY393227:MPY393250 MZU393227:MZU393250 NJQ393227:NJQ393250 NTM393227:NTM393250 ODI393227:ODI393250 ONE393227:ONE393250 OXA393227:OXA393250 PGW393227:PGW393250 PQS393227:PQS393250 QAO393227:QAO393250 QKK393227:QKK393250 QUG393227:QUG393250 REC393227:REC393250 RNY393227:RNY393250 RXU393227:RXU393250 SHQ393227:SHQ393250 SRM393227:SRM393250 TBI393227:TBI393250 TLE393227:TLE393250 TVA393227:TVA393250 UEW393227:UEW393250 UOS393227:UOS393250 UYO393227:UYO393250 VIK393227:VIK393250 VSG393227:VSG393250 WCC393227:WCC393250 WLY393227:WLY393250 WVU393227:WVU393250 T458763:T458786 JI458763:JI458786 TE458763:TE458786 ADA458763:ADA458786 AMW458763:AMW458786 AWS458763:AWS458786 BGO458763:BGO458786 BQK458763:BQK458786 CAG458763:CAG458786 CKC458763:CKC458786 CTY458763:CTY458786 DDU458763:DDU458786 DNQ458763:DNQ458786 DXM458763:DXM458786 EHI458763:EHI458786 ERE458763:ERE458786 FBA458763:FBA458786 FKW458763:FKW458786 FUS458763:FUS458786 GEO458763:GEO458786 GOK458763:GOK458786 GYG458763:GYG458786 HIC458763:HIC458786 HRY458763:HRY458786 IBU458763:IBU458786 ILQ458763:ILQ458786 IVM458763:IVM458786 JFI458763:JFI458786 JPE458763:JPE458786 JZA458763:JZA458786 KIW458763:KIW458786 KSS458763:KSS458786 LCO458763:LCO458786 LMK458763:LMK458786 LWG458763:LWG458786 MGC458763:MGC458786 MPY458763:MPY458786 MZU458763:MZU458786 NJQ458763:NJQ458786 NTM458763:NTM458786 ODI458763:ODI458786 ONE458763:ONE458786 OXA458763:OXA458786 PGW458763:PGW458786 PQS458763:PQS458786 QAO458763:QAO458786 QKK458763:QKK458786 QUG458763:QUG458786 REC458763:REC458786 RNY458763:RNY458786 RXU458763:RXU458786 SHQ458763:SHQ458786 SRM458763:SRM458786 TBI458763:TBI458786 TLE458763:TLE458786 TVA458763:TVA458786 UEW458763:UEW458786 UOS458763:UOS458786 UYO458763:UYO458786 VIK458763:VIK458786 VSG458763:VSG458786 WCC458763:WCC458786 WLY458763:WLY458786 WVU458763:WVU458786 T524299:T524322 JI524299:JI524322 TE524299:TE524322 ADA524299:ADA524322 AMW524299:AMW524322 AWS524299:AWS524322 BGO524299:BGO524322 BQK524299:BQK524322 CAG524299:CAG524322 CKC524299:CKC524322 CTY524299:CTY524322 DDU524299:DDU524322 DNQ524299:DNQ524322 DXM524299:DXM524322 EHI524299:EHI524322 ERE524299:ERE524322 FBA524299:FBA524322 FKW524299:FKW524322 FUS524299:FUS524322 GEO524299:GEO524322 GOK524299:GOK524322 GYG524299:GYG524322 HIC524299:HIC524322 HRY524299:HRY524322 IBU524299:IBU524322 ILQ524299:ILQ524322 IVM524299:IVM524322 JFI524299:JFI524322 JPE524299:JPE524322 JZA524299:JZA524322 KIW524299:KIW524322 KSS524299:KSS524322 LCO524299:LCO524322 LMK524299:LMK524322 LWG524299:LWG524322 MGC524299:MGC524322 MPY524299:MPY524322 MZU524299:MZU524322 NJQ524299:NJQ524322 NTM524299:NTM524322 ODI524299:ODI524322 ONE524299:ONE524322 OXA524299:OXA524322 PGW524299:PGW524322 PQS524299:PQS524322 QAO524299:QAO524322 QKK524299:QKK524322 QUG524299:QUG524322 REC524299:REC524322 RNY524299:RNY524322 RXU524299:RXU524322 SHQ524299:SHQ524322 SRM524299:SRM524322 TBI524299:TBI524322 TLE524299:TLE524322 TVA524299:TVA524322 UEW524299:UEW524322 UOS524299:UOS524322 UYO524299:UYO524322 VIK524299:VIK524322 VSG524299:VSG524322 WCC524299:WCC524322 WLY524299:WLY524322 WVU524299:WVU524322 T589835:T589858 JI589835:JI589858 TE589835:TE589858 ADA589835:ADA589858 AMW589835:AMW589858 AWS589835:AWS589858 BGO589835:BGO589858 BQK589835:BQK589858 CAG589835:CAG589858 CKC589835:CKC589858 CTY589835:CTY589858 DDU589835:DDU589858 DNQ589835:DNQ589858 DXM589835:DXM589858 EHI589835:EHI589858 ERE589835:ERE589858 FBA589835:FBA589858 FKW589835:FKW589858 FUS589835:FUS589858 GEO589835:GEO589858 GOK589835:GOK589858 GYG589835:GYG589858 HIC589835:HIC589858 HRY589835:HRY589858 IBU589835:IBU589858 ILQ589835:ILQ589858 IVM589835:IVM589858 JFI589835:JFI589858 JPE589835:JPE589858 JZA589835:JZA589858 KIW589835:KIW589858 KSS589835:KSS589858 LCO589835:LCO589858 LMK589835:LMK589858 LWG589835:LWG589858 MGC589835:MGC589858 MPY589835:MPY589858 MZU589835:MZU589858 NJQ589835:NJQ589858 NTM589835:NTM589858 ODI589835:ODI589858 ONE589835:ONE589858 OXA589835:OXA589858 PGW589835:PGW589858 PQS589835:PQS589858 QAO589835:QAO589858 QKK589835:QKK589858 QUG589835:QUG589858 REC589835:REC589858 RNY589835:RNY589858 RXU589835:RXU589858 SHQ589835:SHQ589858 SRM589835:SRM589858 TBI589835:TBI589858 TLE589835:TLE589858 TVA589835:TVA589858 UEW589835:UEW589858 UOS589835:UOS589858 UYO589835:UYO589858 VIK589835:VIK589858 VSG589835:VSG589858 WCC589835:WCC589858 WLY589835:WLY589858 WVU589835:WVU589858 T655371:T655394 JI655371:JI655394 TE655371:TE655394 ADA655371:ADA655394 AMW655371:AMW655394 AWS655371:AWS655394 BGO655371:BGO655394 BQK655371:BQK655394 CAG655371:CAG655394 CKC655371:CKC655394 CTY655371:CTY655394 DDU655371:DDU655394 DNQ655371:DNQ655394 DXM655371:DXM655394 EHI655371:EHI655394 ERE655371:ERE655394 FBA655371:FBA655394 FKW655371:FKW655394 FUS655371:FUS655394 GEO655371:GEO655394 GOK655371:GOK655394 GYG655371:GYG655394 HIC655371:HIC655394 HRY655371:HRY655394 IBU655371:IBU655394 ILQ655371:ILQ655394 IVM655371:IVM655394 JFI655371:JFI655394 JPE655371:JPE655394 JZA655371:JZA655394 KIW655371:KIW655394 KSS655371:KSS655394 LCO655371:LCO655394 LMK655371:LMK655394 LWG655371:LWG655394 MGC655371:MGC655394 MPY655371:MPY655394 MZU655371:MZU655394 NJQ655371:NJQ655394 NTM655371:NTM655394 ODI655371:ODI655394 ONE655371:ONE655394 OXA655371:OXA655394 PGW655371:PGW655394 PQS655371:PQS655394 QAO655371:QAO655394 QKK655371:QKK655394 QUG655371:QUG655394 REC655371:REC655394 RNY655371:RNY655394 RXU655371:RXU655394 SHQ655371:SHQ655394 SRM655371:SRM655394 TBI655371:TBI655394 TLE655371:TLE655394 TVA655371:TVA655394 UEW655371:UEW655394 UOS655371:UOS655394 UYO655371:UYO655394 VIK655371:VIK655394 VSG655371:VSG655394 WCC655371:WCC655394 WLY655371:WLY655394 WVU655371:WVU655394 T720907:T720930 JI720907:JI720930 TE720907:TE720930 ADA720907:ADA720930 AMW720907:AMW720930 AWS720907:AWS720930 BGO720907:BGO720930 BQK720907:BQK720930 CAG720907:CAG720930 CKC720907:CKC720930 CTY720907:CTY720930 DDU720907:DDU720930 DNQ720907:DNQ720930 DXM720907:DXM720930 EHI720907:EHI720930 ERE720907:ERE720930 FBA720907:FBA720930 FKW720907:FKW720930 FUS720907:FUS720930 GEO720907:GEO720930 GOK720907:GOK720930 GYG720907:GYG720930 HIC720907:HIC720930 HRY720907:HRY720930 IBU720907:IBU720930 ILQ720907:ILQ720930 IVM720907:IVM720930 JFI720907:JFI720930 JPE720907:JPE720930 JZA720907:JZA720930 KIW720907:KIW720930 KSS720907:KSS720930 LCO720907:LCO720930 LMK720907:LMK720930 LWG720907:LWG720930 MGC720907:MGC720930 MPY720907:MPY720930 MZU720907:MZU720930 NJQ720907:NJQ720930 NTM720907:NTM720930 ODI720907:ODI720930 ONE720907:ONE720930 OXA720907:OXA720930 PGW720907:PGW720930 PQS720907:PQS720930 QAO720907:QAO720930 QKK720907:QKK720930 QUG720907:QUG720930 REC720907:REC720930 RNY720907:RNY720930 RXU720907:RXU720930 SHQ720907:SHQ720930 SRM720907:SRM720930 TBI720907:TBI720930 TLE720907:TLE720930 TVA720907:TVA720930 UEW720907:UEW720930 UOS720907:UOS720930 UYO720907:UYO720930 VIK720907:VIK720930 VSG720907:VSG720930 WCC720907:WCC720930 WLY720907:WLY720930 WVU720907:WVU720930 T786443:T786466 JI786443:JI786466 TE786443:TE786466 ADA786443:ADA786466 AMW786443:AMW786466 AWS786443:AWS786466 BGO786443:BGO786466 BQK786443:BQK786466 CAG786443:CAG786466 CKC786443:CKC786466 CTY786443:CTY786466 DDU786443:DDU786466 DNQ786443:DNQ786466 DXM786443:DXM786466 EHI786443:EHI786466 ERE786443:ERE786466 FBA786443:FBA786466 FKW786443:FKW786466 FUS786443:FUS786466 GEO786443:GEO786466 GOK786443:GOK786466 GYG786443:GYG786466 HIC786443:HIC786466 HRY786443:HRY786466 IBU786443:IBU786466 ILQ786443:ILQ786466 IVM786443:IVM786466 JFI786443:JFI786466 JPE786443:JPE786466 JZA786443:JZA786466 KIW786443:KIW786466 KSS786443:KSS786466 LCO786443:LCO786466 LMK786443:LMK786466 LWG786443:LWG786466 MGC786443:MGC786466 MPY786443:MPY786466 MZU786443:MZU786466 NJQ786443:NJQ786466 NTM786443:NTM786466 ODI786443:ODI786466 ONE786443:ONE786466 OXA786443:OXA786466 PGW786443:PGW786466 PQS786443:PQS786466 QAO786443:QAO786466 QKK786443:QKK786466 QUG786443:QUG786466 REC786443:REC786466 RNY786443:RNY786466 RXU786443:RXU786466 SHQ786443:SHQ786466 SRM786443:SRM786466 TBI786443:TBI786466 TLE786443:TLE786466 TVA786443:TVA786466 UEW786443:UEW786466 UOS786443:UOS786466 UYO786443:UYO786466 VIK786443:VIK786466 VSG786443:VSG786466 WCC786443:WCC786466 WLY786443:WLY786466 WVU786443:WVU786466 T851979:T852002 JI851979:JI852002 TE851979:TE852002 ADA851979:ADA852002 AMW851979:AMW852002 AWS851979:AWS852002 BGO851979:BGO852002 BQK851979:BQK852002 CAG851979:CAG852002 CKC851979:CKC852002 CTY851979:CTY852002 DDU851979:DDU852002 DNQ851979:DNQ852002 DXM851979:DXM852002 EHI851979:EHI852002 ERE851979:ERE852002 FBA851979:FBA852002 FKW851979:FKW852002 FUS851979:FUS852002 GEO851979:GEO852002 GOK851979:GOK852002 GYG851979:GYG852002 HIC851979:HIC852002 HRY851979:HRY852002 IBU851979:IBU852002 ILQ851979:ILQ852002 IVM851979:IVM852002 JFI851979:JFI852002 JPE851979:JPE852002 JZA851979:JZA852002 KIW851979:KIW852002 KSS851979:KSS852002 LCO851979:LCO852002 LMK851979:LMK852002 LWG851979:LWG852002 MGC851979:MGC852002 MPY851979:MPY852002 MZU851979:MZU852002 NJQ851979:NJQ852002 NTM851979:NTM852002 ODI851979:ODI852002 ONE851979:ONE852002 OXA851979:OXA852002 PGW851979:PGW852002 PQS851979:PQS852002 QAO851979:QAO852002 QKK851979:QKK852002 QUG851979:QUG852002 REC851979:REC852002 RNY851979:RNY852002 RXU851979:RXU852002 SHQ851979:SHQ852002 SRM851979:SRM852002 TBI851979:TBI852002 TLE851979:TLE852002 TVA851979:TVA852002 UEW851979:UEW852002 UOS851979:UOS852002 UYO851979:UYO852002 VIK851979:VIK852002 VSG851979:VSG852002 WCC851979:WCC852002 WLY851979:WLY852002 WVU851979:WVU852002 T917515:T917538 JI917515:JI917538 TE917515:TE917538 ADA917515:ADA917538 AMW917515:AMW917538 AWS917515:AWS917538 BGO917515:BGO917538 BQK917515:BQK917538 CAG917515:CAG917538 CKC917515:CKC917538 CTY917515:CTY917538 DDU917515:DDU917538 DNQ917515:DNQ917538 DXM917515:DXM917538 EHI917515:EHI917538 ERE917515:ERE917538 FBA917515:FBA917538 FKW917515:FKW917538 FUS917515:FUS917538 GEO917515:GEO917538 GOK917515:GOK917538 GYG917515:GYG917538 HIC917515:HIC917538 HRY917515:HRY917538 IBU917515:IBU917538 ILQ917515:ILQ917538 IVM917515:IVM917538 JFI917515:JFI917538 JPE917515:JPE917538 JZA917515:JZA917538 KIW917515:KIW917538 KSS917515:KSS917538 LCO917515:LCO917538 LMK917515:LMK917538 LWG917515:LWG917538 MGC917515:MGC917538 MPY917515:MPY917538 MZU917515:MZU917538 NJQ917515:NJQ917538 NTM917515:NTM917538 ODI917515:ODI917538 ONE917515:ONE917538 OXA917515:OXA917538 PGW917515:PGW917538 PQS917515:PQS917538 QAO917515:QAO917538 QKK917515:QKK917538 QUG917515:QUG917538 REC917515:REC917538 RNY917515:RNY917538 RXU917515:RXU917538 SHQ917515:SHQ917538 SRM917515:SRM917538 TBI917515:TBI917538 TLE917515:TLE917538 TVA917515:TVA917538 UEW917515:UEW917538 UOS917515:UOS917538 UYO917515:UYO917538 VIK917515:VIK917538 VSG917515:VSG917538 WCC917515:WCC917538 WLY917515:WLY917538 WVU917515:WVU917538 T983051:T983074 JI983051:JI983074 TE983051:TE983074 ADA983051:ADA983074 AMW983051:AMW983074 AWS983051:AWS983074 BGO983051:BGO983074 BQK983051:BQK983074 CAG983051:CAG983074 CKC983051:CKC983074 CTY983051:CTY983074 DDU983051:DDU983074 DNQ983051:DNQ983074 DXM983051:DXM983074 EHI983051:EHI983074 ERE983051:ERE983074 FBA983051:FBA983074 FKW983051:FKW983074 FUS983051:FUS983074 GEO983051:GEO983074 GOK983051:GOK983074 GYG983051:GYG983074 HIC983051:HIC983074 HRY983051:HRY983074 IBU983051:IBU983074 ILQ983051:ILQ983074 IVM983051:IVM983074 JFI983051:JFI983074 JPE983051:JPE983074 JZA983051:JZA983074 KIW983051:KIW983074 KSS983051:KSS983074 LCO983051:LCO983074 LMK983051:LMK983074 LWG983051:LWG983074 MGC983051:MGC983074 MPY983051:MPY983074 MZU983051:MZU983074 NJQ983051:NJQ983074 NTM983051:NTM983074 ODI983051:ODI983074 ONE983051:ONE983074 OXA983051:OXA983074 PGW983051:PGW983074 PQS983051:PQS983074 QAO983051:QAO983074 QKK983051:QKK983074 QUG983051:QUG983074 REC983051:REC983074 RNY983051:RNY983074 RXU983051:RXU983074 SHQ983051:SHQ983074 SRM983051:SRM983074 TBI983051:TBI983074 TLE983051:TLE983074 TVA983051:TVA983074 UEW983051:UEW983074 UOS983051:UOS983074 UYO983051:UYO983074 VIK983051:VIK983074 VSG983051:VSG983074 WCC983051:WCC983074 WLY983051:WLY983074 WVU983051:WVU983074 T34:T35 T33:U33 SP11:SP30 IT11:IT30 WVF11:WVF30 WLJ11:WLJ30 WBN11:WBN30 VRR11:VRR30 VHV11:VHV30 UXZ11:UXZ30 UOD11:UOD30 UEH11:UEH30 TUL11:TUL30 TKP11:TKP30 TAT11:TAT30 SQX11:SQX30 SHB11:SHB30 RXF11:RXF30 RNJ11:RNJ30 RDN11:RDN30 QTR11:QTR30 QJV11:QJV30 PZZ11:PZZ30 PQD11:PQD30 PGH11:PGH30 OWL11:OWL30 OMP11:OMP30 OCT11:OCT30 NSX11:NSX30 NJB11:NJB30 MZF11:MZF30 MPJ11:MPJ30 MFN11:MFN30 LVR11:LVR30 LLV11:LLV30 LBZ11:LBZ30 KSD11:KSD30 KIH11:KIH30 JYL11:JYL30 JOP11:JOP30 JET11:JET30 IUX11:IUX30 ILB11:ILB30 IBF11:IBF30 HRJ11:HRJ30 HHN11:HHN30 GXR11:GXR30 GNV11:GNV30 GDZ11:GDZ30 FUD11:FUD30 FKH11:FKH30 FAL11:FAL30 EQP11:EQP30 EGT11:EGT30 DWX11:DWX30 DNB11:DNB30 DDF11:DDF30 CTJ11:CTJ30 CJN11:CJN30 BZR11:BZR30 BPV11:BPV30 BFZ11:BFZ30 AWD11:AWD30 AMH11:AMH30 ACL11:ACL30 T11:T32" xr:uid="{00000000-0002-0000-0400-000000000000}">
      <formula1>"Y,N"</formula1>
    </dataValidation>
    <dataValidation type="list" allowBlank="1" showInputMessage="1" showErrorMessage="1" sqref="WVX983051:WVX983074 JH5:JH7 TD5:TD7 ACZ5:ACZ7 AMV5:AMV7 AWR5:AWR7 BGN5:BGN7 BQJ5:BQJ7 CAF5:CAF7 CKB5:CKB7 CTX5:CTX7 DDT5:DDT7 DNP5:DNP7 DXL5:DXL7 EHH5:EHH7 ERD5:ERD7 FAZ5:FAZ7 FKV5:FKV7 FUR5:FUR7 GEN5:GEN7 GOJ5:GOJ7 GYF5:GYF7 HIB5:HIB7 HRX5:HRX7 IBT5:IBT7 ILP5:ILP7 IVL5:IVL7 JFH5:JFH7 JPD5:JPD7 JYZ5:JYZ7 KIV5:KIV7 KSR5:KSR7 LCN5:LCN7 LMJ5:LMJ7 LWF5:LWF7 MGB5:MGB7 MPX5:MPX7 MZT5:MZT7 NJP5:NJP7 NTL5:NTL7 ODH5:ODH7 OND5:OND7 OWZ5:OWZ7 PGV5:PGV7 PQR5:PQR7 QAN5:QAN7 QKJ5:QKJ7 QUF5:QUF7 REB5:REB7 RNX5:RNX7 RXT5:RXT7 SHP5:SHP7 SRL5:SRL7 TBH5:TBH7 TLD5:TLD7 TUZ5:TUZ7 UEV5:UEV7 UOR5:UOR7 UYN5:UYN7 VIJ5:VIJ7 VSF5:VSF7 WCB5:WCB7 WLX5:WLX7 WVT5:WVT7 S65541:S65543 JH65541:JH65543 TD65541:TD65543 ACZ65541:ACZ65543 AMV65541:AMV65543 AWR65541:AWR65543 BGN65541:BGN65543 BQJ65541:BQJ65543 CAF65541:CAF65543 CKB65541:CKB65543 CTX65541:CTX65543 DDT65541:DDT65543 DNP65541:DNP65543 DXL65541:DXL65543 EHH65541:EHH65543 ERD65541:ERD65543 FAZ65541:FAZ65543 FKV65541:FKV65543 FUR65541:FUR65543 GEN65541:GEN65543 GOJ65541:GOJ65543 GYF65541:GYF65543 HIB65541:HIB65543 HRX65541:HRX65543 IBT65541:IBT65543 ILP65541:ILP65543 IVL65541:IVL65543 JFH65541:JFH65543 JPD65541:JPD65543 JYZ65541:JYZ65543 KIV65541:KIV65543 KSR65541:KSR65543 LCN65541:LCN65543 LMJ65541:LMJ65543 LWF65541:LWF65543 MGB65541:MGB65543 MPX65541:MPX65543 MZT65541:MZT65543 NJP65541:NJP65543 NTL65541:NTL65543 ODH65541:ODH65543 OND65541:OND65543 OWZ65541:OWZ65543 PGV65541:PGV65543 PQR65541:PQR65543 QAN65541:QAN65543 QKJ65541:QKJ65543 QUF65541:QUF65543 REB65541:REB65543 RNX65541:RNX65543 RXT65541:RXT65543 SHP65541:SHP65543 SRL65541:SRL65543 TBH65541:TBH65543 TLD65541:TLD65543 TUZ65541:TUZ65543 UEV65541:UEV65543 UOR65541:UOR65543 UYN65541:UYN65543 VIJ65541:VIJ65543 VSF65541:VSF65543 WCB65541:WCB65543 WLX65541:WLX65543 WVT65541:WVT65543 S131077:S131079 JH131077:JH131079 TD131077:TD131079 ACZ131077:ACZ131079 AMV131077:AMV131079 AWR131077:AWR131079 BGN131077:BGN131079 BQJ131077:BQJ131079 CAF131077:CAF131079 CKB131077:CKB131079 CTX131077:CTX131079 DDT131077:DDT131079 DNP131077:DNP131079 DXL131077:DXL131079 EHH131077:EHH131079 ERD131077:ERD131079 FAZ131077:FAZ131079 FKV131077:FKV131079 FUR131077:FUR131079 GEN131077:GEN131079 GOJ131077:GOJ131079 GYF131077:GYF131079 HIB131077:HIB131079 HRX131077:HRX131079 IBT131077:IBT131079 ILP131077:ILP131079 IVL131077:IVL131079 JFH131077:JFH131079 JPD131077:JPD131079 JYZ131077:JYZ131079 KIV131077:KIV131079 KSR131077:KSR131079 LCN131077:LCN131079 LMJ131077:LMJ131079 LWF131077:LWF131079 MGB131077:MGB131079 MPX131077:MPX131079 MZT131077:MZT131079 NJP131077:NJP131079 NTL131077:NTL131079 ODH131077:ODH131079 OND131077:OND131079 OWZ131077:OWZ131079 PGV131077:PGV131079 PQR131077:PQR131079 QAN131077:QAN131079 QKJ131077:QKJ131079 QUF131077:QUF131079 REB131077:REB131079 RNX131077:RNX131079 RXT131077:RXT131079 SHP131077:SHP131079 SRL131077:SRL131079 TBH131077:TBH131079 TLD131077:TLD131079 TUZ131077:TUZ131079 UEV131077:UEV131079 UOR131077:UOR131079 UYN131077:UYN131079 VIJ131077:VIJ131079 VSF131077:VSF131079 WCB131077:WCB131079 WLX131077:WLX131079 WVT131077:WVT131079 S196613:S196615 JH196613:JH196615 TD196613:TD196615 ACZ196613:ACZ196615 AMV196613:AMV196615 AWR196613:AWR196615 BGN196613:BGN196615 BQJ196613:BQJ196615 CAF196613:CAF196615 CKB196613:CKB196615 CTX196613:CTX196615 DDT196613:DDT196615 DNP196613:DNP196615 DXL196613:DXL196615 EHH196613:EHH196615 ERD196613:ERD196615 FAZ196613:FAZ196615 FKV196613:FKV196615 FUR196613:FUR196615 GEN196613:GEN196615 GOJ196613:GOJ196615 GYF196613:GYF196615 HIB196613:HIB196615 HRX196613:HRX196615 IBT196613:IBT196615 ILP196613:ILP196615 IVL196613:IVL196615 JFH196613:JFH196615 JPD196613:JPD196615 JYZ196613:JYZ196615 KIV196613:KIV196615 KSR196613:KSR196615 LCN196613:LCN196615 LMJ196613:LMJ196615 LWF196613:LWF196615 MGB196613:MGB196615 MPX196613:MPX196615 MZT196613:MZT196615 NJP196613:NJP196615 NTL196613:NTL196615 ODH196613:ODH196615 OND196613:OND196615 OWZ196613:OWZ196615 PGV196613:PGV196615 PQR196613:PQR196615 QAN196613:QAN196615 QKJ196613:QKJ196615 QUF196613:QUF196615 REB196613:REB196615 RNX196613:RNX196615 RXT196613:RXT196615 SHP196613:SHP196615 SRL196613:SRL196615 TBH196613:TBH196615 TLD196613:TLD196615 TUZ196613:TUZ196615 UEV196613:UEV196615 UOR196613:UOR196615 UYN196613:UYN196615 VIJ196613:VIJ196615 VSF196613:VSF196615 WCB196613:WCB196615 WLX196613:WLX196615 WVT196613:WVT196615 S262149:S262151 JH262149:JH262151 TD262149:TD262151 ACZ262149:ACZ262151 AMV262149:AMV262151 AWR262149:AWR262151 BGN262149:BGN262151 BQJ262149:BQJ262151 CAF262149:CAF262151 CKB262149:CKB262151 CTX262149:CTX262151 DDT262149:DDT262151 DNP262149:DNP262151 DXL262149:DXL262151 EHH262149:EHH262151 ERD262149:ERD262151 FAZ262149:FAZ262151 FKV262149:FKV262151 FUR262149:FUR262151 GEN262149:GEN262151 GOJ262149:GOJ262151 GYF262149:GYF262151 HIB262149:HIB262151 HRX262149:HRX262151 IBT262149:IBT262151 ILP262149:ILP262151 IVL262149:IVL262151 JFH262149:JFH262151 JPD262149:JPD262151 JYZ262149:JYZ262151 KIV262149:KIV262151 KSR262149:KSR262151 LCN262149:LCN262151 LMJ262149:LMJ262151 LWF262149:LWF262151 MGB262149:MGB262151 MPX262149:MPX262151 MZT262149:MZT262151 NJP262149:NJP262151 NTL262149:NTL262151 ODH262149:ODH262151 OND262149:OND262151 OWZ262149:OWZ262151 PGV262149:PGV262151 PQR262149:PQR262151 QAN262149:QAN262151 QKJ262149:QKJ262151 QUF262149:QUF262151 REB262149:REB262151 RNX262149:RNX262151 RXT262149:RXT262151 SHP262149:SHP262151 SRL262149:SRL262151 TBH262149:TBH262151 TLD262149:TLD262151 TUZ262149:TUZ262151 UEV262149:UEV262151 UOR262149:UOR262151 UYN262149:UYN262151 VIJ262149:VIJ262151 VSF262149:VSF262151 WCB262149:WCB262151 WLX262149:WLX262151 WVT262149:WVT262151 S327685:S327687 JH327685:JH327687 TD327685:TD327687 ACZ327685:ACZ327687 AMV327685:AMV327687 AWR327685:AWR327687 BGN327685:BGN327687 BQJ327685:BQJ327687 CAF327685:CAF327687 CKB327685:CKB327687 CTX327685:CTX327687 DDT327685:DDT327687 DNP327685:DNP327687 DXL327685:DXL327687 EHH327685:EHH327687 ERD327685:ERD327687 FAZ327685:FAZ327687 FKV327685:FKV327687 FUR327685:FUR327687 GEN327685:GEN327687 GOJ327685:GOJ327687 GYF327685:GYF327687 HIB327685:HIB327687 HRX327685:HRX327687 IBT327685:IBT327687 ILP327685:ILP327687 IVL327685:IVL327687 JFH327685:JFH327687 JPD327685:JPD327687 JYZ327685:JYZ327687 KIV327685:KIV327687 KSR327685:KSR327687 LCN327685:LCN327687 LMJ327685:LMJ327687 LWF327685:LWF327687 MGB327685:MGB327687 MPX327685:MPX327687 MZT327685:MZT327687 NJP327685:NJP327687 NTL327685:NTL327687 ODH327685:ODH327687 OND327685:OND327687 OWZ327685:OWZ327687 PGV327685:PGV327687 PQR327685:PQR327687 QAN327685:QAN327687 QKJ327685:QKJ327687 QUF327685:QUF327687 REB327685:REB327687 RNX327685:RNX327687 RXT327685:RXT327687 SHP327685:SHP327687 SRL327685:SRL327687 TBH327685:TBH327687 TLD327685:TLD327687 TUZ327685:TUZ327687 UEV327685:UEV327687 UOR327685:UOR327687 UYN327685:UYN327687 VIJ327685:VIJ327687 VSF327685:VSF327687 WCB327685:WCB327687 WLX327685:WLX327687 WVT327685:WVT327687 S393221:S393223 JH393221:JH393223 TD393221:TD393223 ACZ393221:ACZ393223 AMV393221:AMV393223 AWR393221:AWR393223 BGN393221:BGN393223 BQJ393221:BQJ393223 CAF393221:CAF393223 CKB393221:CKB393223 CTX393221:CTX393223 DDT393221:DDT393223 DNP393221:DNP393223 DXL393221:DXL393223 EHH393221:EHH393223 ERD393221:ERD393223 FAZ393221:FAZ393223 FKV393221:FKV393223 FUR393221:FUR393223 GEN393221:GEN393223 GOJ393221:GOJ393223 GYF393221:GYF393223 HIB393221:HIB393223 HRX393221:HRX393223 IBT393221:IBT393223 ILP393221:ILP393223 IVL393221:IVL393223 JFH393221:JFH393223 JPD393221:JPD393223 JYZ393221:JYZ393223 KIV393221:KIV393223 KSR393221:KSR393223 LCN393221:LCN393223 LMJ393221:LMJ393223 LWF393221:LWF393223 MGB393221:MGB393223 MPX393221:MPX393223 MZT393221:MZT393223 NJP393221:NJP393223 NTL393221:NTL393223 ODH393221:ODH393223 OND393221:OND393223 OWZ393221:OWZ393223 PGV393221:PGV393223 PQR393221:PQR393223 QAN393221:QAN393223 QKJ393221:QKJ393223 QUF393221:QUF393223 REB393221:REB393223 RNX393221:RNX393223 RXT393221:RXT393223 SHP393221:SHP393223 SRL393221:SRL393223 TBH393221:TBH393223 TLD393221:TLD393223 TUZ393221:TUZ393223 UEV393221:UEV393223 UOR393221:UOR393223 UYN393221:UYN393223 VIJ393221:VIJ393223 VSF393221:VSF393223 WCB393221:WCB393223 WLX393221:WLX393223 WVT393221:WVT393223 S458757:S458759 JH458757:JH458759 TD458757:TD458759 ACZ458757:ACZ458759 AMV458757:AMV458759 AWR458757:AWR458759 BGN458757:BGN458759 BQJ458757:BQJ458759 CAF458757:CAF458759 CKB458757:CKB458759 CTX458757:CTX458759 DDT458757:DDT458759 DNP458757:DNP458759 DXL458757:DXL458759 EHH458757:EHH458759 ERD458757:ERD458759 FAZ458757:FAZ458759 FKV458757:FKV458759 FUR458757:FUR458759 GEN458757:GEN458759 GOJ458757:GOJ458759 GYF458757:GYF458759 HIB458757:HIB458759 HRX458757:HRX458759 IBT458757:IBT458759 ILP458757:ILP458759 IVL458757:IVL458759 JFH458757:JFH458759 JPD458757:JPD458759 JYZ458757:JYZ458759 KIV458757:KIV458759 KSR458757:KSR458759 LCN458757:LCN458759 LMJ458757:LMJ458759 LWF458757:LWF458759 MGB458757:MGB458759 MPX458757:MPX458759 MZT458757:MZT458759 NJP458757:NJP458759 NTL458757:NTL458759 ODH458757:ODH458759 OND458757:OND458759 OWZ458757:OWZ458759 PGV458757:PGV458759 PQR458757:PQR458759 QAN458757:QAN458759 QKJ458757:QKJ458759 QUF458757:QUF458759 REB458757:REB458759 RNX458757:RNX458759 RXT458757:RXT458759 SHP458757:SHP458759 SRL458757:SRL458759 TBH458757:TBH458759 TLD458757:TLD458759 TUZ458757:TUZ458759 UEV458757:UEV458759 UOR458757:UOR458759 UYN458757:UYN458759 VIJ458757:VIJ458759 VSF458757:VSF458759 WCB458757:WCB458759 WLX458757:WLX458759 WVT458757:WVT458759 S524293:S524295 JH524293:JH524295 TD524293:TD524295 ACZ524293:ACZ524295 AMV524293:AMV524295 AWR524293:AWR524295 BGN524293:BGN524295 BQJ524293:BQJ524295 CAF524293:CAF524295 CKB524293:CKB524295 CTX524293:CTX524295 DDT524293:DDT524295 DNP524293:DNP524295 DXL524293:DXL524295 EHH524293:EHH524295 ERD524293:ERD524295 FAZ524293:FAZ524295 FKV524293:FKV524295 FUR524293:FUR524295 GEN524293:GEN524295 GOJ524293:GOJ524295 GYF524293:GYF524295 HIB524293:HIB524295 HRX524293:HRX524295 IBT524293:IBT524295 ILP524293:ILP524295 IVL524293:IVL524295 JFH524293:JFH524295 JPD524293:JPD524295 JYZ524293:JYZ524295 KIV524293:KIV524295 KSR524293:KSR524295 LCN524293:LCN524295 LMJ524293:LMJ524295 LWF524293:LWF524295 MGB524293:MGB524295 MPX524293:MPX524295 MZT524293:MZT524295 NJP524293:NJP524295 NTL524293:NTL524295 ODH524293:ODH524295 OND524293:OND524295 OWZ524293:OWZ524295 PGV524293:PGV524295 PQR524293:PQR524295 QAN524293:QAN524295 QKJ524293:QKJ524295 QUF524293:QUF524295 REB524293:REB524295 RNX524293:RNX524295 RXT524293:RXT524295 SHP524293:SHP524295 SRL524293:SRL524295 TBH524293:TBH524295 TLD524293:TLD524295 TUZ524293:TUZ524295 UEV524293:UEV524295 UOR524293:UOR524295 UYN524293:UYN524295 VIJ524293:VIJ524295 VSF524293:VSF524295 WCB524293:WCB524295 WLX524293:WLX524295 WVT524293:WVT524295 S589829:S589831 JH589829:JH589831 TD589829:TD589831 ACZ589829:ACZ589831 AMV589829:AMV589831 AWR589829:AWR589831 BGN589829:BGN589831 BQJ589829:BQJ589831 CAF589829:CAF589831 CKB589829:CKB589831 CTX589829:CTX589831 DDT589829:DDT589831 DNP589829:DNP589831 DXL589829:DXL589831 EHH589829:EHH589831 ERD589829:ERD589831 FAZ589829:FAZ589831 FKV589829:FKV589831 FUR589829:FUR589831 GEN589829:GEN589831 GOJ589829:GOJ589831 GYF589829:GYF589831 HIB589829:HIB589831 HRX589829:HRX589831 IBT589829:IBT589831 ILP589829:ILP589831 IVL589829:IVL589831 JFH589829:JFH589831 JPD589829:JPD589831 JYZ589829:JYZ589831 KIV589829:KIV589831 KSR589829:KSR589831 LCN589829:LCN589831 LMJ589829:LMJ589831 LWF589829:LWF589831 MGB589829:MGB589831 MPX589829:MPX589831 MZT589829:MZT589831 NJP589829:NJP589831 NTL589829:NTL589831 ODH589829:ODH589831 OND589829:OND589831 OWZ589829:OWZ589831 PGV589829:PGV589831 PQR589829:PQR589831 QAN589829:QAN589831 QKJ589829:QKJ589831 QUF589829:QUF589831 REB589829:REB589831 RNX589829:RNX589831 RXT589829:RXT589831 SHP589829:SHP589831 SRL589829:SRL589831 TBH589829:TBH589831 TLD589829:TLD589831 TUZ589829:TUZ589831 UEV589829:UEV589831 UOR589829:UOR589831 UYN589829:UYN589831 VIJ589829:VIJ589831 VSF589829:VSF589831 WCB589829:WCB589831 WLX589829:WLX589831 WVT589829:WVT589831 S655365:S655367 JH655365:JH655367 TD655365:TD655367 ACZ655365:ACZ655367 AMV655365:AMV655367 AWR655365:AWR655367 BGN655365:BGN655367 BQJ655365:BQJ655367 CAF655365:CAF655367 CKB655365:CKB655367 CTX655365:CTX655367 DDT655365:DDT655367 DNP655365:DNP655367 DXL655365:DXL655367 EHH655365:EHH655367 ERD655365:ERD655367 FAZ655365:FAZ655367 FKV655365:FKV655367 FUR655365:FUR655367 GEN655365:GEN655367 GOJ655365:GOJ655367 GYF655365:GYF655367 HIB655365:HIB655367 HRX655365:HRX655367 IBT655365:IBT655367 ILP655365:ILP655367 IVL655365:IVL655367 JFH655365:JFH655367 JPD655365:JPD655367 JYZ655365:JYZ655367 KIV655365:KIV655367 KSR655365:KSR655367 LCN655365:LCN655367 LMJ655365:LMJ655367 LWF655365:LWF655367 MGB655365:MGB655367 MPX655365:MPX655367 MZT655365:MZT655367 NJP655365:NJP655367 NTL655365:NTL655367 ODH655365:ODH655367 OND655365:OND655367 OWZ655365:OWZ655367 PGV655365:PGV655367 PQR655365:PQR655367 QAN655365:QAN655367 QKJ655365:QKJ655367 QUF655365:QUF655367 REB655365:REB655367 RNX655365:RNX655367 RXT655365:RXT655367 SHP655365:SHP655367 SRL655365:SRL655367 TBH655365:TBH655367 TLD655365:TLD655367 TUZ655365:TUZ655367 UEV655365:UEV655367 UOR655365:UOR655367 UYN655365:UYN655367 VIJ655365:VIJ655367 VSF655365:VSF655367 WCB655365:WCB655367 WLX655365:WLX655367 WVT655365:WVT655367 S720901:S720903 JH720901:JH720903 TD720901:TD720903 ACZ720901:ACZ720903 AMV720901:AMV720903 AWR720901:AWR720903 BGN720901:BGN720903 BQJ720901:BQJ720903 CAF720901:CAF720903 CKB720901:CKB720903 CTX720901:CTX720903 DDT720901:DDT720903 DNP720901:DNP720903 DXL720901:DXL720903 EHH720901:EHH720903 ERD720901:ERD720903 FAZ720901:FAZ720903 FKV720901:FKV720903 FUR720901:FUR720903 GEN720901:GEN720903 GOJ720901:GOJ720903 GYF720901:GYF720903 HIB720901:HIB720903 HRX720901:HRX720903 IBT720901:IBT720903 ILP720901:ILP720903 IVL720901:IVL720903 JFH720901:JFH720903 JPD720901:JPD720903 JYZ720901:JYZ720903 KIV720901:KIV720903 KSR720901:KSR720903 LCN720901:LCN720903 LMJ720901:LMJ720903 LWF720901:LWF720903 MGB720901:MGB720903 MPX720901:MPX720903 MZT720901:MZT720903 NJP720901:NJP720903 NTL720901:NTL720903 ODH720901:ODH720903 OND720901:OND720903 OWZ720901:OWZ720903 PGV720901:PGV720903 PQR720901:PQR720903 QAN720901:QAN720903 QKJ720901:QKJ720903 QUF720901:QUF720903 REB720901:REB720903 RNX720901:RNX720903 RXT720901:RXT720903 SHP720901:SHP720903 SRL720901:SRL720903 TBH720901:TBH720903 TLD720901:TLD720903 TUZ720901:TUZ720903 UEV720901:UEV720903 UOR720901:UOR720903 UYN720901:UYN720903 VIJ720901:VIJ720903 VSF720901:VSF720903 WCB720901:WCB720903 WLX720901:WLX720903 WVT720901:WVT720903 S786437:S786439 JH786437:JH786439 TD786437:TD786439 ACZ786437:ACZ786439 AMV786437:AMV786439 AWR786437:AWR786439 BGN786437:BGN786439 BQJ786437:BQJ786439 CAF786437:CAF786439 CKB786437:CKB786439 CTX786437:CTX786439 DDT786437:DDT786439 DNP786437:DNP786439 DXL786437:DXL786439 EHH786437:EHH786439 ERD786437:ERD786439 FAZ786437:FAZ786439 FKV786437:FKV786439 FUR786437:FUR786439 GEN786437:GEN786439 GOJ786437:GOJ786439 GYF786437:GYF786439 HIB786437:HIB786439 HRX786437:HRX786439 IBT786437:IBT786439 ILP786437:ILP786439 IVL786437:IVL786439 JFH786437:JFH786439 JPD786437:JPD786439 JYZ786437:JYZ786439 KIV786437:KIV786439 KSR786437:KSR786439 LCN786437:LCN786439 LMJ786437:LMJ786439 LWF786437:LWF786439 MGB786437:MGB786439 MPX786437:MPX786439 MZT786437:MZT786439 NJP786437:NJP786439 NTL786437:NTL786439 ODH786437:ODH786439 OND786437:OND786439 OWZ786437:OWZ786439 PGV786437:PGV786439 PQR786437:PQR786439 QAN786437:QAN786439 QKJ786437:QKJ786439 QUF786437:QUF786439 REB786437:REB786439 RNX786437:RNX786439 RXT786437:RXT786439 SHP786437:SHP786439 SRL786437:SRL786439 TBH786437:TBH786439 TLD786437:TLD786439 TUZ786437:TUZ786439 UEV786437:UEV786439 UOR786437:UOR786439 UYN786437:UYN786439 VIJ786437:VIJ786439 VSF786437:VSF786439 WCB786437:WCB786439 WLX786437:WLX786439 WVT786437:WVT786439 S851973:S851975 JH851973:JH851975 TD851973:TD851975 ACZ851973:ACZ851975 AMV851973:AMV851975 AWR851973:AWR851975 BGN851973:BGN851975 BQJ851973:BQJ851975 CAF851973:CAF851975 CKB851973:CKB851975 CTX851973:CTX851975 DDT851973:DDT851975 DNP851973:DNP851975 DXL851973:DXL851975 EHH851973:EHH851975 ERD851973:ERD851975 FAZ851973:FAZ851975 FKV851973:FKV851975 FUR851973:FUR851975 GEN851973:GEN851975 GOJ851973:GOJ851975 GYF851973:GYF851975 HIB851973:HIB851975 HRX851973:HRX851975 IBT851973:IBT851975 ILP851973:ILP851975 IVL851973:IVL851975 JFH851973:JFH851975 JPD851973:JPD851975 JYZ851973:JYZ851975 KIV851973:KIV851975 KSR851973:KSR851975 LCN851973:LCN851975 LMJ851973:LMJ851975 LWF851973:LWF851975 MGB851973:MGB851975 MPX851973:MPX851975 MZT851973:MZT851975 NJP851973:NJP851975 NTL851973:NTL851975 ODH851973:ODH851975 OND851973:OND851975 OWZ851973:OWZ851975 PGV851973:PGV851975 PQR851973:PQR851975 QAN851973:QAN851975 QKJ851973:QKJ851975 QUF851973:QUF851975 REB851973:REB851975 RNX851973:RNX851975 RXT851973:RXT851975 SHP851973:SHP851975 SRL851973:SRL851975 TBH851973:TBH851975 TLD851973:TLD851975 TUZ851973:TUZ851975 UEV851973:UEV851975 UOR851973:UOR851975 UYN851973:UYN851975 VIJ851973:VIJ851975 VSF851973:VSF851975 WCB851973:WCB851975 WLX851973:WLX851975 WVT851973:WVT851975 S917509:S917511 JH917509:JH917511 TD917509:TD917511 ACZ917509:ACZ917511 AMV917509:AMV917511 AWR917509:AWR917511 BGN917509:BGN917511 BQJ917509:BQJ917511 CAF917509:CAF917511 CKB917509:CKB917511 CTX917509:CTX917511 DDT917509:DDT917511 DNP917509:DNP917511 DXL917509:DXL917511 EHH917509:EHH917511 ERD917509:ERD917511 FAZ917509:FAZ917511 FKV917509:FKV917511 FUR917509:FUR917511 GEN917509:GEN917511 GOJ917509:GOJ917511 GYF917509:GYF917511 HIB917509:HIB917511 HRX917509:HRX917511 IBT917509:IBT917511 ILP917509:ILP917511 IVL917509:IVL917511 JFH917509:JFH917511 JPD917509:JPD917511 JYZ917509:JYZ917511 KIV917509:KIV917511 KSR917509:KSR917511 LCN917509:LCN917511 LMJ917509:LMJ917511 LWF917509:LWF917511 MGB917509:MGB917511 MPX917509:MPX917511 MZT917509:MZT917511 NJP917509:NJP917511 NTL917509:NTL917511 ODH917509:ODH917511 OND917509:OND917511 OWZ917509:OWZ917511 PGV917509:PGV917511 PQR917509:PQR917511 QAN917509:QAN917511 QKJ917509:QKJ917511 QUF917509:QUF917511 REB917509:REB917511 RNX917509:RNX917511 RXT917509:RXT917511 SHP917509:SHP917511 SRL917509:SRL917511 TBH917509:TBH917511 TLD917509:TLD917511 TUZ917509:TUZ917511 UEV917509:UEV917511 UOR917509:UOR917511 UYN917509:UYN917511 VIJ917509:VIJ917511 VSF917509:VSF917511 WCB917509:WCB917511 WLX917509:WLX917511 WVT917509:WVT917511 S983045:S983047 JH983045:JH983047 TD983045:TD983047 ACZ983045:ACZ983047 AMV983045:AMV983047 AWR983045:AWR983047 BGN983045:BGN983047 BQJ983045:BQJ983047 CAF983045:CAF983047 CKB983045:CKB983047 CTX983045:CTX983047 DDT983045:DDT983047 DNP983045:DNP983047 DXL983045:DXL983047 EHH983045:EHH983047 ERD983045:ERD983047 FAZ983045:FAZ983047 FKV983045:FKV983047 FUR983045:FUR983047 GEN983045:GEN983047 GOJ983045:GOJ983047 GYF983045:GYF983047 HIB983045:HIB983047 HRX983045:HRX983047 IBT983045:IBT983047 ILP983045:ILP983047 IVL983045:IVL983047 JFH983045:JFH983047 JPD983045:JPD983047 JYZ983045:JYZ983047 KIV983045:KIV983047 KSR983045:KSR983047 LCN983045:LCN983047 LMJ983045:LMJ983047 LWF983045:LWF983047 MGB983045:MGB983047 MPX983045:MPX983047 MZT983045:MZT983047 NJP983045:NJP983047 NTL983045:NTL983047 ODH983045:ODH983047 OND983045:OND983047 OWZ983045:OWZ983047 PGV983045:PGV983047 PQR983045:PQR983047 QAN983045:QAN983047 QKJ983045:QKJ983047 QUF983045:QUF983047 REB983045:REB983047 RNX983045:RNX983047 RXT983045:RXT983047 SHP983045:SHP983047 SRL983045:SRL983047 TBH983045:TBH983047 TLD983045:TLD983047 TUZ983045:TUZ983047 UEV983045:UEV983047 UOR983045:UOR983047 UYN983045:UYN983047 VIJ983045:VIJ983047 VSF983045:VSF983047 WCB983045:WCB983047 WLX983045:WLX983047 WVT983045:WVT983047 U65547:U65570 JJ65547:JJ65570 TF65547:TF65570 ADB65547:ADB65570 AMX65547:AMX65570 AWT65547:AWT65570 BGP65547:BGP65570 BQL65547:BQL65570 CAH65547:CAH65570 CKD65547:CKD65570 CTZ65547:CTZ65570 DDV65547:DDV65570 DNR65547:DNR65570 DXN65547:DXN65570 EHJ65547:EHJ65570 ERF65547:ERF65570 FBB65547:FBB65570 FKX65547:FKX65570 FUT65547:FUT65570 GEP65547:GEP65570 GOL65547:GOL65570 GYH65547:GYH65570 HID65547:HID65570 HRZ65547:HRZ65570 IBV65547:IBV65570 ILR65547:ILR65570 IVN65547:IVN65570 JFJ65547:JFJ65570 JPF65547:JPF65570 JZB65547:JZB65570 KIX65547:KIX65570 KST65547:KST65570 LCP65547:LCP65570 LML65547:LML65570 LWH65547:LWH65570 MGD65547:MGD65570 MPZ65547:MPZ65570 MZV65547:MZV65570 NJR65547:NJR65570 NTN65547:NTN65570 ODJ65547:ODJ65570 ONF65547:ONF65570 OXB65547:OXB65570 PGX65547:PGX65570 PQT65547:PQT65570 QAP65547:QAP65570 QKL65547:QKL65570 QUH65547:QUH65570 RED65547:RED65570 RNZ65547:RNZ65570 RXV65547:RXV65570 SHR65547:SHR65570 SRN65547:SRN65570 TBJ65547:TBJ65570 TLF65547:TLF65570 TVB65547:TVB65570 UEX65547:UEX65570 UOT65547:UOT65570 UYP65547:UYP65570 VIL65547:VIL65570 VSH65547:VSH65570 WCD65547:WCD65570 WLZ65547:WLZ65570 WVV65547:WVV65570 U131083:U131106 JJ131083:JJ131106 TF131083:TF131106 ADB131083:ADB131106 AMX131083:AMX131106 AWT131083:AWT131106 BGP131083:BGP131106 BQL131083:BQL131106 CAH131083:CAH131106 CKD131083:CKD131106 CTZ131083:CTZ131106 DDV131083:DDV131106 DNR131083:DNR131106 DXN131083:DXN131106 EHJ131083:EHJ131106 ERF131083:ERF131106 FBB131083:FBB131106 FKX131083:FKX131106 FUT131083:FUT131106 GEP131083:GEP131106 GOL131083:GOL131106 GYH131083:GYH131106 HID131083:HID131106 HRZ131083:HRZ131106 IBV131083:IBV131106 ILR131083:ILR131106 IVN131083:IVN131106 JFJ131083:JFJ131106 JPF131083:JPF131106 JZB131083:JZB131106 KIX131083:KIX131106 KST131083:KST131106 LCP131083:LCP131106 LML131083:LML131106 LWH131083:LWH131106 MGD131083:MGD131106 MPZ131083:MPZ131106 MZV131083:MZV131106 NJR131083:NJR131106 NTN131083:NTN131106 ODJ131083:ODJ131106 ONF131083:ONF131106 OXB131083:OXB131106 PGX131083:PGX131106 PQT131083:PQT131106 QAP131083:QAP131106 QKL131083:QKL131106 QUH131083:QUH131106 RED131083:RED131106 RNZ131083:RNZ131106 RXV131083:RXV131106 SHR131083:SHR131106 SRN131083:SRN131106 TBJ131083:TBJ131106 TLF131083:TLF131106 TVB131083:TVB131106 UEX131083:UEX131106 UOT131083:UOT131106 UYP131083:UYP131106 VIL131083:VIL131106 VSH131083:VSH131106 WCD131083:WCD131106 WLZ131083:WLZ131106 WVV131083:WVV131106 U196619:U196642 JJ196619:JJ196642 TF196619:TF196642 ADB196619:ADB196642 AMX196619:AMX196642 AWT196619:AWT196642 BGP196619:BGP196642 BQL196619:BQL196642 CAH196619:CAH196642 CKD196619:CKD196642 CTZ196619:CTZ196642 DDV196619:DDV196642 DNR196619:DNR196642 DXN196619:DXN196642 EHJ196619:EHJ196642 ERF196619:ERF196642 FBB196619:FBB196642 FKX196619:FKX196642 FUT196619:FUT196642 GEP196619:GEP196642 GOL196619:GOL196642 GYH196619:GYH196642 HID196619:HID196642 HRZ196619:HRZ196642 IBV196619:IBV196642 ILR196619:ILR196642 IVN196619:IVN196642 JFJ196619:JFJ196642 JPF196619:JPF196642 JZB196619:JZB196642 KIX196619:KIX196642 KST196619:KST196642 LCP196619:LCP196642 LML196619:LML196642 LWH196619:LWH196642 MGD196619:MGD196642 MPZ196619:MPZ196642 MZV196619:MZV196642 NJR196619:NJR196642 NTN196619:NTN196642 ODJ196619:ODJ196642 ONF196619:ONF196642 OXB196619:OXB196642 PGX196619:PGX196642 PQT196619:PQT196642 QAP196619:QAP196642 QKL196619:QKL196642 QUH196619:QUH196642 RED196619:RED196642 RNZ196619:RNZ196642 RXV196619:RXV196642 SHR196619:SHR196642 SRN196619:SRN196642 TBJ196619:TBJ196642 TLF196619:TLF196642 TVB196619:TVB196642 UEX196619:UEX196642 UOT196619:UOT196642 UYP196619:UYP196642 VIL196619:VIL196642 VSH196619:VSH196642 WCD196619:WCD196642 WLZ196619:WLZ196642 WVV196619:WVV196642 U262155:U262178 JJ262155:JJ262178 TF262155:TF262178 ADB262155:ADB262178 AMX262155:AMX262178 AWT262155:AWT262178 BGP262155:BGP262178 BQL262155:BQL262178 CAH262155:CAH262178 CKD262155:CKD262178 CTZ262155:CTZ262178 DDV262155:DDV262178 DNR262155:DNR262178 DXN262155:DXN262178 EHJ262155:EHJ262178 ERF262155:ERF262178 FBB262155:FBB262178 FKX262155:FKX262178 FUT262155:FUT262178 GEP262155:GEP262178 GOL262155:GOL262178 GYH262155:GYH262178 HID262155:HID262178 HRZ262155:HRZ262178 IBV262155:IBV262178 ILR262155:ILR262178 IVN262155:IVN262178 JFJ262155:JFJ262178 JPF262155:JPF262178 JZB262155:JZB262178 KIX262155:KIX262178 KST262155:KST262178 LCP262155:LCP262178 LML262155:LML262178 LWH262155:LWH262178 MGD262155:MGD262178 MPZ262155:MPZ262178 MZV262155:MZV262178 NJR262155:NJR262178 NTN262155:NTN262178 ODJ262155:ODJ262178 ONF262155:ONF262178 OXB262155:OXB262178 PGX262155:PGX262178 PQT262155:PQT262178 QAP262155:QAP262178 QKL262155:QKL262178 QUH262155:QUH262178 RED262155:RED262178 RNZ262155:RNZ262178 RXV262155:RXV262178 SHR262155:SHR262178 SRN262155:SRN262178 TBJ262155:TBJ262178 TLF262155:TLF262178 TVB262155:TVB262178 UEX262155:UEX262178 UOT262155:UOT262178 UYP262155:UYP262178 VIL262155:VIL262178 VSH262155:VSH262178 WCD262155:WCD262178 WLZ262155:WLZ262178 WVV262155:WVV262178 U327691:U327714 JJ327691:JJ327714 TF327691:TF327714 ADB327691:ADB327714 AMX327691:AMX327714 AWT327691:AWT327714 BGP327691:BGP327714 BQL327691:BQL327714 CAH327691:CAH327714 CKD327691:CKD327714 CTZ327691:CTZ327714 DDV327691:DDV327714 DNR327691:DNR327714 DXN327691:DXN327714 EHJ327691:EHJ327714 ERF327691:ERF327714 FBB327691:FBB327714 FKX327691:FKX327714 FUT327691:FUT327714 GEP327691:GEP327714 GOL327691:GOL327714 GYH327691:GYH327714 HID327691:HID327714 HRZ327691:HRZ327714 IBV327691:IBV327714 ILR327691:ILR327714 IVN327691:IVN327714 JFJ327691:JFJ327714 JPF327691:JPF327714 JZB327691:JZB327714 KIX327691:KIX327714 KST327691:KST327714 LCP327691:LCP327714 LML327691:LML327714 LWH327691:LWH327714 MGD327691:MGD327714 MPZ327691:MPZ327714 MZV327691:MZV327714 NJR327691:NJR327714 NTN327691:NTN327714 ODJ327691:ODJ327714 ONF327691:ONF327714 OXB327691:OXB327714 PGX327691:PGX327714 PQT327691:PQT327714 QAP327691:QAP327714 QKL327691:QKL327714 QUH327691:QUH327714 RED327691:RED327714 RNZ327691:RNZ327714 RXV327691:RXV327714 SHR327691:SHR327714 SRN327691:SRN327714 TBJ327691:TBJ327714 TLF327691:TLF327714 TVB327691:TVB327714 UEX327691:UEX327714 UOT327691:UOT327714 UYP327691:UYP327714 VIL327691:VIL327714 VSH327691:VSH327714 WCD327691:WCD327714 WLZ327691:WLZ327714 WVV327691:WVV327714 U393227:U393250 JJ393227:JJ393250 TF393227:TF393250 ADB393227:ADB393250 AMX393227:AMX393250 AWT393227:AWT393250 BGP393227:BGP393250 BQL393227:BQL393250 CAH393227:CAH393250 CKD393227:CKD393250 CTZ393227:CTZ393250 DDV393227:DDV393250 DNR393227:DNR393250 DXN393227:DXN393250 EHJ393227:EHJ393250 ERF393227:ERF393250 FBB393227:FBB393250 FKX393227:FKX393250 FUT393227:FUT393250 GEP393227:GEP393250 GOL393227:GOL393250 GYH393227:GYH393250 HID393227:HID393250 HRZ393227:HRZ393250 IBV393227:IBV393250 ILR393227:ILR393250 IVN393227:IVN393250 JFJ393227:JFJ393250 JPF393227:JPF393250 JZB393227:JZB393250 KIX393227:KIX393250 KST393227:KST393250 LCP393227:LCP393250 LML393227:LML393250 LWH393227:LWH393250 MGD393227:MGD393250 MPZ393227:MPZ393250 MZV393227:MZV393250 NJR393227:NJR393250 NTN393227:NTN393250 ODJ393227:ODJ393250 ONF393227:ONF393250 OXB393227:OXB393250 PGX393227:PGX393250 PQT393227:PQT393250 QAP393227:QAP393250 QKL393227:QKL393250 QUH393227:QUH393250 RED393227:RED393250 RNZ393227:RNZ393250 RXV393227:RXV393250 SHR393227:SHR393250 SRN393227:SRN393250 TBJ393227:TBJ393250 TLF393227:TLF393250 TVB393227:TVB393250 UEX393227:UEX393250 UOT393227:UOT393250 UYP393227:UYP393250 VIL393227:VIL393250 VSH393227:VSH393250 WCD393227:WCD393250 WLZ393227:WLZ393250 WVV393227:WVV393250 U458763:U458786 JJ458763:JJ458786 TF458763:TF458786 ADB458763:ADB458786 AMX458763:AMX458786 AWT458763:AWT458786 BGP458763:BGP458786 BQL458763:BQL458786 CAH458763:CAH458786 CKD458763:CKD458786 CTZ458763:CTZ458786 DDV458763:DDV458786 DNR458763:DNR458786 DXN458763:DXN458786 EHJ458763:EHJ458786 ERF458763:ERF458786 FBB458763:FBB458786 FKX458763:FKX458786 FUT458763:FUT458786 GEP458763:GEP458786 GOL458763:GOL458786 GYH458763:GYH458786 HID458763:HID458786 HRZ458763:HRZ458786 IBV458763:IBV458786 ILR458763:ILR458786 IVN458763:IVN458786 JFJ458763:JFJ458786 JPF458763:JPF458786 JZB458763:JZB458786 KIX458763:KIX458786 KST458763:KST458786 LCP458763:LCP458786 LML458763:LML458786 LWH458763:LWH458786 MGD458763:MGD458786 MPZ458763:MPZ458786 MZV458763:MZV458786 NJR458763:NJR458786 NTN458763:NTN458786 ODJ458763:ODJ458786 ONF458763:ONF458786 OXB458763:OXB458786 PGX458763:PGX458786 PQT458763:PQT458786 QAP458763:QAP458786 QKL458763:QKL458786 QUH458763:QUH458786 RED458763:RED458786 RNZ458763:RNZ458786 RXV458763:RXV458786 SHR458763:SHR458786 SRN458763:SRN458786 TBJ458763:TBJ458786 TLF458763:TLF458786 TVB458763:TVB458786 UEX458763:UEX458786 UOT458763:UOT458786 UYP458763:UYP458786 VIL458763:VIL458786 VSH458763:VSH458786 WCD458763:WCD458786 WLZ458763:WLZ458786 WVV458763:WVV458786 U524299:U524322 JJ524299:JJ524322 TF524299:TF524322 ADB524299:ADB524322 AMX524299:AMX524322 AWT524299:AWT524322 BGP524299:BGP524322 BQL524299:BQL524322 CAH524299:CAH524322 CKD524299:CKD524322 CTZ524299:CTZ524322 DDV524299:DDV524322 DNR524299:DNR524322 DXN524299:DXN524322 EHJ524299:EHJ524322 ERF524299:ERF524322 FBB524299:FBB524322 FKX524299:FKX524322 FUT524299:FUT524322 GEP524299:GEP524322 GOL524299:GOL524322 GYH524299:GYH524322 HID524299:HID524322 HRZ524299:HRZ524322 IBV524299:IBV524322 ILR524299:ILR524322 IVN524299:IVN524322 JFJ524299:JFJ524322 JPF524299:JPF524322 JZB524299:JZB524322 KIX524299:KIX524322 KST524299:KST524322 LCP524299:LCP524322 LML524299:LML524322 LWH524299:LWH524322 MGD524299:MGD524322 MPZ524299:MPZ524322 MZV524299:MZV524322 NJR524299:NJR524322 NTN524299:NTN524322 ODJ524299:ODJ524322 ONF524299:ONF524322 OXB524299:OXB524322 PGX524299:PGX524322 PQT524299:PQT524322 QAP524299:QAP524322 QKL524299:QKL524322 QUH524299:QUH524322 RED524299:RED524322 RNZ524299:RNZ524322 RXV524299:RXV524322 SHR524299:SHR524322 SRN524299:SRN524322 TBJ524299:TBJ524322 TLF524299:TLF524322 TVB524299:TVB524322 UEX524299:UEX524322 UOT524299:UOT524322 UYP524299:UYP524322 VIL524299:VIL524322 VSH524299:VSH524322 WCD524299:WCD524322 WLZ524299:WLZ524322 WVV524299:WVV524322 U589835:U589858 JJ589835:JJ589858 TF589835:TF589858 ADB589835:ADB589858 AMX589835:AMX589858 AWT589835:AWT589858 BGP589835:BGP589858 BQL589835:BQL589858 CAH589835:CAH589858 CKD589835:CKD589858 CTZ589835:CTZ589858 DDV589835:DDV589858 DNR589835:DNR589858 DXN589835:DXN589858 EHJ589835:EHJ589858 ERF589835:ERF589858 FBB589835:FBB589858 FKX589835:FKX589858 FUT589835:FUT589858 GEP589835:GEP589858 GOL589835:GOL589858 GYH589835:GYH589858 HID589835:HID589858 HRZ589835:HRZ589858 IBV589835:IBV589858 ILR589835:ILR589858 IVN589835:IVN589858 JFJ589835:JFJ589858 JPF589835:JPF589858 JZB589835:JZB589858 KIX589835:KIX589858 KST589835:KST589858 LCP589835:LCP589858 LML589835:LML589858 LWH589835:LWH589858 MGD589835:MGD589858 MPZ589835:MPZ589858 MZV589835:MZV589858 NJR589835:NJR589858 NTN589835:NTN589858 ODJ589835:ODJ589858 ONF589835:ONF589858 OXB589835:OXB589858 PGX589835:PGX589858 PQT589835:PQT589858 QAP589835:QAP589858 QKL589835:QKL589858 QUH589835:QUH589858 RED589835:RED589858 RNZ589835:RNZ589858 RXV589835:RXV589858 SHR589835:SHR589858 SRN589835:SRN589858 TBJ589835:TBJ589858 TLF589835:TLF589858 TVB589835:TVB589858 UEX589835:UEX589858 UOT589835:UOT589858 UYP589835:UYP589858 VIL589835:VIL589858 VSH589835:VSH589858 WCD589835:WCD589858 WLZ589835:WLZ589858 WVV589835:WVV589858 U655371:U655394 JJ655371:JJ655394 TF655371:TF655394 ADB655371:ADB655394 AMX655371:AMX655394 AWT655371:AWT655394 BGP655371:BGP655394 BQL655371:BQL655394 CAH655371:CAH655394 CKD655371:CKD655394 CTZ655371:CTZ655394 DDV655371:DDV655394 DNR655371:DNR655394 DXN655371:DXN655394 EHJ655371:EHJ655394 ERF655371:ERF655394 FBB655371:FBB655394 FKX655371:FKX655394 FUT655371:FUT655394 GEP655371:GEP655394 GOL655371:GOL655394 GYH655371:GYH655394 HID655371:HID655394 HRZ655371:HRZ655394 IBV655371:IBV655394 ILR655371:ILR655394 IVN655371:IVN655394 JFJ655371:JFJ655394 JPF655371:JPF655394 JZB655371:JZB655394 KIX655371:KIX655394 KST655371:KST655394 LCP655371:LCP655394 LML655371:LML655394 LWH655371:LWH655394 MGD655371:MGD655394 MPZ655371:MPZ655394 MZV655371:MZV655394 NJR655371:NJR655394 NTN655371:NTN655394 ODJ655371:ODJ655394 ONF655371:ONF655394 OXB655371:OXB655394 PGX655371:PGX655394 PQT655371:PQT655394 QAP655371:QAP655394 QKL655371:QKL655394 QUH655371:QUH655394 RED655371:RED655394 RNZ655371:RNZ655394 RXV655371:RXV655394 SHR655371:SHR655394 SRN655371:SRN655394 TBJ655371:TBJ655394 TLF655371:TLF655394 TVB655371:TVB655394 UEX655371:UEX655394 UOT655371:UOT655394 UYP655371:UYP655394 VIL655371:VIL655394 VSH655371:VSH655394 WCD655371:WCD655394 WLZ655371:WLZ655394 WVV655371:WVV655394 U720907:U720930 JJ720907:JJ720930 TF720907:TF720930 ADB720907:ADB720930 AMX720907:AMX720930 AWT720907:AWT720930 BGP720907:BGP720930 BQL720907:BQL720930 CAH720907:CAH720930 CKD720907:CKD720930 CTZ720907:CTZ720930 DDV720907:DDV720930 DNR720907:DNR720930 DXN720907:DXN720930 EHJ720907:EHJ720930 ERF720907:ERF720930 FBB720907:FBB720930 FKX720907:FKX720930 FUT720907:FUT720930 GEP720907:GEP720930 GOL720907:GOL720930 GYH720907:GYH720930 HID720907:HID720930 HRZ720907:HRZ720930 IBV720907:IBV720930 ILR720907:ILR720930 IVN720907:IVN720930 JFJ720907:JFJ720930 JPF720907:JPF720930 JZB720907:JZB720930 KIX720907:KIX720930 KST720907:KST720930 LCP720907:LCP720930 LML720907:LML720930 LWH720907:LWH720930 MGD720907:MGD720930 MPZ720907:MPZ720930 MZV720907:MZV720930 NJR720907:NJR720930 NTN720907:NTN720930 ODJ720907:ODJ720930 ONF720907:ONF720930 OXB720907:OXB720930 PGX720907:PGX720930 PQT720907:PQT720930 QAP720907:QAP720930 QKL720907:QKL720930 QUH720907:QUH720930 RED720907:RED720930 RNZ720907:RNZ720930 RXV720907:RXV720930 SHR720907:SHR720930 SRN720907:SRN720930 TBJ720907:TBJ720930 TLF720907:TLF720930 TVB720907:TVB720930 UEX720907:UEX720930 UOT720907:UOT720930 UYP720907:UYP720930 VIL720907:VIL720930 VSH720907:VSH720930 WCD720907:WCD720930 WLZ720907:WLZ720930 WVV720907:WVV720930 U786443:U786466 JJ786443:JJ786466 TF786443:TF786466 ADB786443:ADB786466 AMX786443:AMX786466 AWT786443:AWT786466 BGP786443:BGP786466 BQL786443:BQL786466 CAH786443:CAH786466 CKD786443:CKD786466 CTZ786443:CTZ786466 DDV786443:DDV786466 DNR786443:DNR786466 DXN786443:DXN786466 EHJ786443:EHJ786466 ERF786443:ERF786466 FBB786443:FBB786466 FKX786443:FKX786466 FUT786443:FUT786466 GEP786443:GEP786466 GOL786443:GOL786466 GYH786443:GYH786466 HID786443:HID786466 HRZ786443:HRZ786466 IBV786443:IBV786466 ILR786443:ILR786466 IVN786443:IVN786466 JFJ786443:JFJ786466 JPF786443:JPF786466 JZB786443:JZB786466 KIX786443:KIX786466 KST786443:KST786466 LCP786443:LCP786466 LML786443:LML786466 LWH786443:LWH786466 MGD786443:MGD786466 MPZ786443:MPZ786466 MZV786443:MZV786466 NJR786443:NJR786466 NTN786443:NTN786466 ODJ786443:ODJ786466 ONF786443:ONF786466 OXB786443:OXB786466 PGX786443:PGX786466 PQT786443:PQT786466 QAP786443:QAP786466 QKL786443:QKL786466 QUH786443:QUH786466 RED786443:RED786466 RNZ786443:RNZ786466 RXV786443:RXV786466 SHR786443:SHR786466 SRN786443:SRN786466 TBJ786443:TBJ786466 TLF786443:TLF786466 TVB786443:TVB786466 UEX786443:UEX786466 UOT786443:UOT786466 UYP786443:UYP786466 VIL786443:VIL786466 VSH786443:VSH786466 WCD786443:WCD786466 WLZ786443:WLZ786466 WVV786443:WVV786466 U851979:U852002 JJ851979:JJ852002 TF851979:TF852002 ADB851979:ADB852002 AMX851979:AMX852002 AWT851979:AWT852002 BGP851979:BGP852002 BQL851979:BQL852002 CAH851979:CAH852002 CKD851979:CKD852002 CTZ851979:CTZ852002 DDV851979:DDV852002 DNR851979:DNR852002 DXN851979:DXN852002 EHJ851979:EHJ852002 ERF851979:ERF852002 FBB851979:FBB852002 FKX851979:FKX852002 FUT851979:FUT852002 GEP851979:GEP852002 GOL851979:GOL852002 GYH851979:GYH852002 HID851979:HID852002 HRZ851979:HRZ852002 IBV851979:IBV852002 ILR851979:ILR852002 IVN851979:IVN852002 JFJ851979:JFJ852002 JPF851979:JPF852002 JZB851979:JZB852002 KIX851979:KIX852002 KST851979:KST852002 LCP851979:LCP852002 LML851979:LML852002 LWH851979:LWH852002 MGD851979:MGD852002 MPZ851979:MPZ852002 MZV851979:MZV852002 NJR851979:NJR852002 NTN851979:NTN852002 ODJ851979:ODJ852002 ONF851979:ONF852002 OXB851979:OXB852002 PGX851979:PGX852002 PQT851979:PQT852002 QAP851979:QAP852002 QKL851979:QKL852002 QUH851979:QUH852002 RED851979:RED852002 RNZ851979:RNZ852002 RXV851979:RXV852002 SHR851979:SHR852002 SRN851979:SRN852002 TBJ851979:TBJ852002 TLF851979:TLF852002 TVB851979:TVB852002 UEX851979:UEX852002 UOT851979:UOT852002 UYP851979:UYP852002 VIL851979:VIL852002 VSH851979:VSH852002 WCD851979:WCD852002 WLZ851979:WLZ852002 WVV851979:WVV852002 U917515:U917538 JJ917515:JJ917538 TF917515:TF917538 ADB917515:ADB917538 AMX917515:AMX917538 AWT917515:AWT917538 BGP917515:BGP917538 BQL917515:BQL917538 CAH917515:CAH917538 CKD917515:CKD917538 CTZ917515:CTZ917538 DDV917515:DDV917538 DNR917515:DNR917538 DXN917515:DXN917538 EHJ917515:EHJ917538 ERF917515:ERF917538 FBB917515:FBB917538 FKX917515:FKX917538 FUT917515:FUT917538 GEP917515:GEP917538 GOL917515:GOL917538 GYH917515:GYH917538 HID917515:HID917538 HRZ917515:HRZ917538 IBV917515:IBV917538 ILR917515:ILR917538 IVN917515:IVN917538 JFJ917515:JFJ917538 JPF917515:JPF917538 JZB917515:JZB917538 KIX917515:KIX917538 KST917515:KST917538 LCP917515:LCP917538 LML917515:LML917538 LWH917515:LWH917538 MGD917515:MGD917538 MPZ917515:MPZ917538 MZV917515:MZV917538 NJR917515:NJR917538 NTN917515:NTN917538 ODJ917515:ODJ917538 ONF917515:ONF917538 OXB917515:OXB917538 PGX917515:PGX917538 PQT917515:PQT917538 QAP917515:QAP917538 QKL917515:QKL917538 QUH917515:QUH917538 RED917515:RED917538 RNZ917515:RNZ917538 RXV917515:RXV917538 SHR917515:SHR917538 SRN917515:SRN917538 TBJ917515:TBJ917538 TLF917515:TLF917538 TVB917515:TVB917538 UEX917515:UEX917538 UOT917515:UOT917538 UYP917515:UYP917538 VIL917515:VIL917538 VSH917515:VSH917538 WCD917515:WCD917538 WLZ917515:WLZ917538 WVV917515:WVV917538 U983051:U983074 JJ983051:JJ983074 TF983051:TF983074 ADB983051:ADB983074 AMX983051:AMX983074 AWT983051:AWT983074 BGP983051:BGP983074 BQL983051:BQL983074 CAH983051:CAH983074 CKD983051:CKD983074 CTZ983051:CTZ983074 DDV983051:DDV983074 DNR983051:DNR983074 DXN983051:DXN983074 EHJ983051:EHJ983074 ERF983051:ERF983074 FBB983051:FBB983074 FKX983051:FKX983074 FUT983051:FUT983074 GEP983051:GEP983074 GOL983051:GOL983074 GYH983051:GYH983074 HID983051:HID983074 HRZ983051:HRZ983074 IBV983051:IBV983074 ILR983051:ILR983074 IVN983051:IVN983074 JFJ983051:JFJ983074 JPF983051:JPF983074 JZB983051:JZB983074 KIX983051:KIX983074 KST983051:KST983074 LCP983051:LCP983074 LML983051:LML983074 LWH983051:LWH983074 MGD983051:MGD983074 MPZ983051:MPZ983074 MZV983051:MZV983074 NJR983051:NJR983074 NTN983051:NTN983074 ODJ983051:ODJ983074 ONF983051:ONF983074 OXB983051:OXB983074 PGX983051:PGX983074 PQT983051:PQT983074 QAP983051:QAP983074 QKL983051:QKL983074 QUH983051:QUH983074 RED983051:RED983074 RNZ983051:RNZ983074 RXV983051:RXV983074 SHR983051:SHR983074 SRN983051:SRN983074 TBJ983051:TBJ983074 TLF983051:TLF983074 TVB983051:TVB983074 UEX983051:UEX983074 UOT983051:UOT983074 UYP983051:UYP983074 VIL983051:VIL983074 VSH983051:VSH983074 WCD983051:WCD983074 WLZ983051:WLZ983074 WVV983051:WVV983074 JL65547:JL65570 TH65547:TH65570 ADD65547:ADD65570 AMZ65547:AMZ65570 AWV65547:AWV65570 BGR65547:BGR65570 BQN65547:BQN65570 CAJ65547:CAJ65570 CKF65547:CKF65570 CUB65547:CUB65570 DDX65547:DDX65570 DNT65547:DNT65570 DXP65547:DXP65570 EHL65547:EHL65570 ERH65547:ERH65570 FBD65547:FBD65570 FKZ65547:FKZ65570 FUV65547:FUV65570 GER65547:GER65570 GON65547:GON65570 GYJ65547:GYJ65570 HIF65547:HIF65570 HSB65547:HSB65570 IBX65547:IBX65570 ILT65547:ILT65570 IVP65547:IVP65570 JFL65547:JFL65570 JPH65547:JPH65570 JZD65547:JZD65570 KIZ65547:KIZ65570 KSV65547:KSV65570 LCR65547:LCR65570 LMN65547:LMN65570 LWJ65547:LWJ65570 MGF65547:MGF65570 MQB65547:MQB65570 MZX65547:MZX65570 NJT65547:NJT65570 NTP65547:NTP65570 ODL65547:ODL65570 ONH65547:ONH65570 OXD65547:OXD65570 PGZ65547:PGZ65570 PQV65547:PQV65570 QAR65547:QAR65570 QKN65547:QKN65570 QUJ65547:QUJ65570 REF65547:REF65570 ROB65547:ROB65570 RXX65547:RXX65570 SHT65547:SHT65570 SRP65547:SRP65570 TBL65547:TBL65570 TLH65547:TLH65570 TVD65547:TVD65570 UEZ65547:UEZ65570 UOV65547:UOV65570 UYR65547:UYR65570 VIN65547:VIN65570 VSJ65547:VSJ65570 WCF65547:WCF65570 WMB65547:WMB65570 WVX65547:WVX65570 JL131083:JL131106 TH131083:TH131106 ADD131083:ADD131106 AMZ131083:AMZ131106 AWV131083:AWV131106 BGR131083:BGR131106 BQN131083:BQN131106 CAJ131083:CAJ131106 CKF131083:CKF131106 CUB131083:CUB131106 DDX131083:DDX131106 DNT131083:DNT131106 DXP131083:DXP131106 EHL131083:EHL131106 ERH131083:ERH131106 FBD131083:FBD131106 FKZ131083:FKZ131106 FUV131083:FUV131106 GER131083:GER131106 GON131083:GON131106 GYJ131083:GYJ131106 HIF131083:HIF131106 HSB131083:HSB131106 IBX131083:IBX131106 ILT131083:ILT131106 IVP131083:IVP131106 JFL131083:JFL131106 JPH131083:JPH131106 JZD131083:JZD131106 KIZ131083:KIZ131106 KSV131083:KSV131106 LCR131083:LCR131106 LMN131083:LMN131106 LWJ131083:LWJ131106 MGF131083:MGF131106 MQB131083:MQB131106 MZX131083:MZX131106 NJT131083:NJT131106 NTP131083:NTP131106 ODL131083:ODL131106 ONH131083:ONH131106 OXD131083:OXD131106 PGZ131083:PGZ131106 PQV131083:PQV131106 QAR131083:QAR131106 QKN131083:QKN131106 QUJ131083:QUJ131106 REF131083:REF131106 ROB131083:ROB131106 RXX131083:RXX131106 SHT131083:SHT131106 SRP131083:SRP131106 TBL131083:TBL131106 TLH131083:TLH131106 TVD131083:TVD131106 UEZ131083:UEZ131106 UOV131083:UOV131106 UYR131083:UYR131106 VIN131083:VIN131106 VSJ131083:VSJ131106 WCF131083:WCF131106 WMB131083:WMB131106 WVX131083:WVX131106 JL196619:JL196642 TH196619:TH196642 ADD196619:ADD196642 AMZ196619:AMZ196642 AWV196619:AWV196642 BGR196619:BGR196642 BQN196619:BQN196642 CAJ196619:CAJ196642 CKF196619:CKF196642 CUB196619:CUB196642 DDX196619:DDX196642 DNT196619:DNT196642 DXP196619:DXP196642 EHL196619:EHL196642 ERH196619:ERH196642 FBD196619:FBD196642 FKZ196619:FKZ196642 FUV196619:FUV196642 GER196619:GER196642 GON196619:GON196642 GYJ196619:GYJ196642 HIF196619:HIF196642 HSB196619:HSB196642 IBX196619:IBX196642 ILT196619:ILT196642 IVP196619:IVP196642 JFL196619:JFL196642 JPH196619:JPH196642 JZD196619:JZD196642 KIZ196619:KIZ196642 KSV196619:KSV196642 LCR196619:LCR196642 LMN196619:LMN196642 LWJ196619:LWJ196642 MGF196619:MGF196642 MQB196619:MQB196642 MZX196619:MZX196642 NJT196619:NJT196642 NTP196619:NTP196642 ODL196619:ODL196642 ONH196619:ONH196642 OXD196619:OXD196642 PGZ196619:PGZ196642 PQV196619:PQV196642 QAR196619:QAR196642 QKN196619:QKN196642 QUJ196619:QUJ196642 REF196619:REF196642 ROB196619:ROB196642 RXX196619:RXX196642 SHT196619:SHT196642 SRP196619:SRP196642 TBL196619:TBL196642 TLH196619:TLH196642 TVD196619:TVD196642 UEZ196619:UEZ196642 UOV196619:UOV196642 UYR196619:UYR196642 VIN196619:VIN196642 VSJ196619:VSJ196642 WCF196619:WCF196642 WMB196619:WMB196642 WVX196619:WVX196642 JL262155:JL262178 TH262155:TH262178 ADD262155:ADD262178 AMZ262155:AMZ262178 AWV262155:AWV262178 BGR262155:BGR262178 BQN262155:BQN262178 CAJ262155:CAJ262178 CKF262155:CKF262178 CUB262155:CUB262178 DDX262155:DDX262178 DNT262155:DNT262178 DXP262155:DXP262178 EHL262155:EHL262178 ERH262155:ERH262178 FBD262155:FBD262178 FKZ262155:FKZ262178 FUV262155:FUV262178 GER262155:GER262178 GON262155:GON262178 GYJ262155:GYJ262178 HIF262155:HIF262178 HSB262155:HSB262178 IBX262155:IBX262178 ILT262155:ILT262178 IVP262155:IVP262178 JFL262155:JFL262178 JPH262155:JPH262178 JZD262155:JZD262178 KIZ262155:KIZ262178 KSV262155:KSV262178 LCR262155:LCR262178 LMN262155:LMN262178 LWJ262155:LWJ262178 MGF262155:MGF262178 MQB262155:MQB262178 MZX262155:MZX262178 NJT262155:NJT262178 NTP262155:NTP262178 ODL262155:ODL262178 ONH262155:ONH262178 OXD262155:OXD262178 PGZ262155:PGZ262178 PQV262155:PQV262178 QAR262155:QAR262178 QKN262155:QKN262178 QUJ262155:QUJ262178 REF262155:REF262178 ROB262155:ROB262178 RXX262155:RXX262178 SHT262155:SHT262178 SRP262155:SRP262178 TBL262155:TBL262178 TLH262155:TLH262178 TVD262155:TVD262178 UEZ262155:UEZ262178 UOV262155:UOV262178 UYR262155:UYR262178 VIN262155:VIN262178 VSJ262155:VSJ262178 WCF262155:WCF262178 WMB262155:WMB262178 WVX262155:WVX262178 JL327691:JL327714 TH327691:TH327714 ADD327691:ADD327714 AMZ327691:AMZ327714 AWV327691:AWV327714 BGR327691:BGR327714 BQN327691:BQN327714 CAJ327691:CAJ327714 CKF327691:CKF327714 CUB327691:CUB327714 DDX327691:DDX327714 DNT327691:DNT327714 DXP327691:DXP327714 EHL327691:EHL327714 ERH327691:ERH327714 FBD327691:FBD327714 FKZ327691:FKZ327714 FUV327691:FUV327714 GER327691:GER327714 GON327691:GON327714 GYJ327691:GYJ327714 HIF327691:HIF327714 HSB327691:HSB327714 IBX327691:IBX327714 ILT327691:ILT327714 IVP327691:IVP327714 JFL327691:JFL327714 JPH327691:JPH327714 JZD327691:JZD327714 KIZ327691:KIZ327714 KSV327691:KSV327714 LCR327691:LCR327714 LMN327691:LMN327714 LWJ327691:LWJ327714 MGF327691:MGF327714 MQB327691:MQB327714 MZX327691:MZX327714 NJT327691:NJT327714 NTP327691:NTP327714 ODL327691:ODL327714 ONH327691:ONH327714 OXD327691:OXD327714 PGZ327691:PGZ327714 PQV327691:PQV327714 QAR327691:QAR327714 QKN327691:QKN327714 QUJ327691:QUJ327714 REF327691:REF327714 ROB327691:ROB327714 RXX327691:RXX327714 SHT327691:SHT327714 SRP327691:SRP327714 TBL327691:TBL327714 TLH327691:TLH327714 TVD327691:TVD327714 UEZ327691:UEZ327714 UOV327691:UOV327714 UYR327691:UYR327714 VIN327691:VIN327714 VSJ327691:VSJ327714 WCF327691:WCF327714 WMB327691:WMB327714 WVX327691:WVX327714 JL393227:JL393250 TH393227:TH393250 ADD393227:ADD393250 AMZ393227:AMZ393250 AWV393227:AWV393250 BGR393227:BGR393250 BQN393227:BQN393250 CAJ393227:CAJ393250 CKF393227:CKF393250 CUB393227:CUB393250 DDX393227:DDX393250 DNT393227:DNT393250 DXP393227:DXP393250 EHL393227:EHL393250 ERH393227:ERH393250 FBD393227:FBD393250 FKZ393227:FKZ393250 FUV393227:FUV393250 GER393227:GER393250 GON393227:GON393250 GYJ393227:GYJ393250 HIF393227:HIF393250 HSB393227:HSB393250 IBX393227:IBX393250 ILT393227:ILT393250 IVP393227:IVP393250 JFL393227:JFL393250 JPH393227:JPH393250 JZD393227:JZD393250 KIZ393227:KIZ393250 KSV393227:KSV393250 LCR393227:LCR393250 LMN393227:LMN393250 LWJ393227:LWJ393250 MGF393227:MGF393250 MQB393227:MQB393250 MZX393227:MZX393250 NJT393227:NJT393250 NTP393227:NTP393250 ODL393227:ODL393250 ONH393227:ONH393250 OXD393227:OXD393250 PGZ393227:PGZ393250 PQV393227:PQV393250 QAR393227:QAR393250 QKN393227:QKN393250 QUJ393227:QUJ393250 REF393227:REF393250 ROB393227:ROB393250 RXX393227:RXX393250 SHT393227:SHT393250 SRP393227:SRP393250 TBL393227:TBL393250 TLH393227:TLH393250 TVD393227:TVD393250 UEZ393227:UEZ393250 UOV393227:UOV393250 UYR393227:UYR393250 VIN393227:VIN393250 VSJ393227:VSJ393250 WCF393227:WCF393250 WMB393227:WMB393250 WVX393227:WVX393250 JL458763:JL458786 TH458763:TH458786 ADD458763:ADD458786 AMZ458763:AMZ458786 AWV458763:AWV458786 BGR458763:BGR458786 BQN458763:BQN458786 CAJ458763:CAJ458786 CKF458763:CKF458786 CUB458763:CUB458786 DDX458763:DDX458786 DNT458763:DNT458786 DXP458763:DXP458786 EHL458763:EHL458786 ERH458763:ERH458786 FBD458763:FBD458786 FKZ458763:FKZ458786 FUV458763:FUV458786 GER458763:GER458786 GON458763:GON458786 GYJ458763:GYJ458786 HIF458763:HIF458786 HSB458763:HSB458786 IBX458763:IBX458786 ILT458763:ILT458786 IVP458763:IVP458786 JFL458763:JFL458786 JPH458763:JPH458786 JZD458763:JZD458786 KIZ458763:KIZ458786 KSV458763:KSV458786 LCR458763:LCR458786 LMN458763:LMN458786 LWJ458763:LWJ458786 MGF458763:MGF458786 MQB458763:MQB458786 MZX458763:MZX458786 NJT458763:NJT458786 NTP458763:NTP458786 ODL458763:ODL458786 ONH458763:ONH458786 OXD458763:OXD458786 PGZ458763:PGZ458786 PQV458763:PQV458786 QAR458763:QAR458786 QKN458763:QKN458786 QUJ458763:QUJ458786 REF458763:REF458786 ROB458763:ROB458786 RXX458763:RXX458786 SHT458763:SHT458786 SRP458763:SRP458786 TBL458763:TBL458786 TLH458763:TLH458786 TVD458763:TVD458786 UEZ458763:UEZ458786 UOV458763:UOV458786 UYR458763:UYR458786 VIN458763:VIN458786 VSJ458763:VSJ458786 WCF458763:WCF458786 WMB458763:WMB458786 WVX458763:WVX458786 JL524299:JL524322 TH524299:TH524322 ADD524299:ADD524322 AMZ524299:AMZ524322 AWV524299:AWV524322 BGR524299:BGR524322 BQN524299:BQN524322 CAJ524299:CAJ524322 CKF524299:CKF524322 CUB524299:CUB524322 DDX524299:DDX524322 DNT524299:DNT524322 DXP524299:DXP524322 EHL524299:EHL524322 ERH524299:ERH524322 FBD524299:FBD524322 FKZ524299:FKZ524322 FUV524299:FUV524322 GER524299:GER524322 GON524299:GON524322 GYJ524299:GYJ524322 HIF524299:HIF524322 HSB524299:HSB524322 IBX524299:IBX524322 ILT524299:ILT524322 IVP524299:IVP524322 JFL524299:JFL524322 JPH524299:JPH524322 JZD524299:JZD524322 KIZ524299:KIZ524322 KSV524299:KSV524322 LCR524299:LCR524322 LMN524299:LMN524322 LWJ524299:LWJ524322 MGF524299:MGF524322 MQB524299:MQB524322 MZX524299:MZX524322 NJT524299:NJT524322 NTP524299:NTP524322 ODL524299:ODL524322 ONH524299:ONH524322 OXD524299:OXD524322 PGZ524299:PGZ524322 PQV524299:PQV524322 QAR524299:QAR524322 QKN524299:QKN524322 QUJ524299:QUJ524322 REF524299:REF524322 ROB524299:ROB524322 RXX524299:RXX524322 SHT524299:SHT524322 SRP524299:SRP524322 TBL524299:TBL524322 TLH524299:TLH524322 TVD524299:TVD524322 UEZ524299:UEZ524322 UOV524299:UOV524322 UYR524299:UYR524322 VIN524299:VIN524322 VSJ524299:VSJ524322 WCF524299:WCF524322 WMB524299:WMB524322 WVX524299:WVX524322 JL589835:JL589858 TH589835:TH589858 ADD589835:ADD589858 AMZ589835:AMZ589858 AWV589835:AWV589858 BGR589835:BGR589858 BQN589835:BQN589858 CAJ589835:CAJ589858 CKF589835:CKF589858 CUB589835:CUB589858 DDX589835:DDX589858 DNT589835:DNT589858 DXP589835:DXP589858 EHL589835:EHL589858 ERH589835:ERH589858 FBD589835:FBD589858 FKZ589835:FKZ589858 FUV589835:FUV589858 GER589835:GER589858 GON589835:GON589858 GYJ589835:GYJ589858 HIF589835:HIF589858 HSB589835:HSB589858 IBX589835:IBX589858 ILT589835:ILT589858 IVP589835:IVP589858 JFL589835:JFL589858 JPH589835:JPH589858 JZD589835:JZD589858 KIZ589835:KIZ589858 KSV589835:KSV589858 LCR589835:LCR589858 LMN589835:LMN589858 LWJ589835:LWJ589858 MGF589835:MGF589858 MQB589835:MQB589858 MZX589835:MZX589858 NJT589835:NJT589858 NTP589835:NTP589858 ODL589835:ODL589858 ONH589835:ONH589858 OXD589835:OXD589858 PGZ589835:PGZ589858 PQV589835:PQV589858 QAR589835:QAR589858 QKN589835:QKN589858 QUJ589835:QUJ589858 REF589835:REF589858 ROB589835:ROB589858 RXX589835:RXX589858 SHT589835:SHT589858 SRP589835:SRP589858 TBL589835:TBL589858 TLH589835:TLH589858 TVD589835:TVD589858 UEZ589835:UEZ589858 UOV589835:UOV589858 UYR589835:UYR589858 VIN589835:VIN589858 VSJ589835:VSJ589858 WCF589835:WCF589858 WMB589835:WMB589858 WVX589835:WVX589858 JL655371:JL655394 TH655371:TH655394 ADD655371:ADD655394 AMZ655371:AMZ655394 AWV655371:AWV655394 BGR655371:BGR655394 BQN655371:BQN655394 CAJ655371:CAJ655394 CKF655371:CKF655394 CUB655371:CUB655394 DDX655371:DDX655394 DNT655371:DNT655394 DXP655371:DXP655394 EHL655371:EHL655394 ERH655371:ERH655394 FBD655371:FBD655394 FKZ655371:FKZ655394 FUV655371:FUV655394 GER655371:GER655394 GON655371:GON655394 GYJ655371:GYJ655394 HIF655371:HIF655394 HSB655371:HSB655394 IBX655371:IBX655394 ILT655371:ILT655394 IVP655371:IVP655394 JFL655371:JFL655394 JPH655371:JPH655394 JZD655371:JZD655394 KIZ655371:KIZ655394 KSV655371:KSV655394 LCR655371:LCR655394 LMN655371:LMN655394 LWJ655371:LWJ655394 MGF655371:MGF655394 MQB655371:MQB655394 MZX655371:MZX655394 NJT655371:NJT655394 NTP655371:NTP655394 ODL655371:ODL655394 ONH655371:ONH655394 OXD655371:OXD655394 PGZ655371:PGZ655394 PQV655371:PQV655394 QAR655371:QAR655394 QKN655371:QKN655394 QUJ655371:QUJ655394 REF655371:REF655394 ROB655371:ROB655394 RXX655371:RXX655394 SHT655371:SHT655394 SRP655371:SRP655394 TBL655371:TBL655394 TLH655371:TLH655394 TVD655371:TVD655394 UEZ655371:UEZ655394 UOV655371:UOV655394 UYR655371:UYR655394 VIN655371:VIN655394 VSJ655371:VSJ655394 WCF655371:WCF655394 WMB655371:WMB655394 WVX655371:WVX655394 JL720907:JL720930 TH720907:TH720930 ADD720907:ADD720930 AMZ720907:AMZ720930 AWV720907:AWV720930 BGR720907:BGR720930 BQN720907:BQN720930 CAJ720907:CAJ720930 CKF720907:CKF720930 CUB720907:CUB720930 DDX720907:DDX720930 DNT720907:DNT720930 DXP720907:DXP720930 EHL720907:EHL720930 ERH720907:ERH720930 FBD720907:FBD720930 FKZ720907:FKZ720930 FUV720907:FUV720930 GER720907:GER720930 GON720907:GON720930 GYJ720907:GYJ720930 HIF720907:HIF720930 HSB720907:HSB720930 IBX720907:IBX720930 ILT720907:ILT720930 IVP720907:IVP720930 JFL720907:JFL720930 JPH720907:JPH720930 JZD720907:JZD720930 KIZ720907:KIZ720930 KSV720907:KSV720930 LCR720907:LCR720930 LMN720907:LMN720930 LWJ720907:LWJ720930 MGF720907:MGF720930 MQB720907:MQB720930 MZX720907:MZX720930 NJT720907:NJT720930 NTP720907:NTP720930 ODL720907:ODL720930 ONH720907:ONH720930 OXD720907:OXD720930 PGZ720907:PGZ720930 PQV720907:PQV720930 QAR720907:QAR720930 QKN720907:QKN720930 QUJ720907:QUJ720930 REF720907:REF720930 ROB720907:ROB720930 RXX720907:RXX720930 SHT720907:SHT720930 SRP720907:SRP720930 TBL720907:TBL720930 TLH720907:TLH720930 TVD720907:TVD720930 UEZ720907:UEZ720930 UOV720907:UOV720930 UYR720907:UYR720930 VIN720907:VIN720930 VSJ720907:VSJ720930 WCF720907:WCF720930 WMB720907:WMB720930 WVX720907:WVX720930 JL786443:JL786466 TH786443:TH786466 ADD786443:ADD786466 AMZ786443:AMZ786466 AWV786443:AWV786466 BGR786443:BGR786466 BQN786443:BQN786466 CAJ786443:CAJ786466 CKF786443:CKF786466 CUB786443:CUB786466 DDX786443:DDX786466 DNT786443:DNT786466 DXP786443:DXP786466 EHL786443:EHL786466 ERH786443:ERH786466 FBD786443:FBD786466 FKZ786443:FKZ786466 FUV786443:FUV786466 GER786443:GER786466 GON786443:GON786466 GYJ786443:GYJ786466 HIF786443:HIF786466 HSB786443:HSB786466 IBX786443:IBX786466 ILT786443:ILT786466 IVP786443:IVP786466 JFL786443:JFL786466 JPH786443:JPH786466 JZD786443:JZD786466 KIZ786443:KIZ786466 KSV786443:KSV786466 LCR786443:LCR786466 LMN786443:LMN786466 LWJ786443:LWJ786466 MGF786443:MGF786466 MQB786443:MQB786466 MZX786443:MZX786466 NJT786443:NJT786466 NTP786443:NTP786466 ODL786443:ODL786466 ONH786443:ONH786466 OXD786443:OXD786466 PGZ786443:PGZ786466 PQV786443:PQV786466 QAR786443:QAR786466 QKN786443:QKN786466 QUJ786443:QUJ786466 REF786443:REF786466 ROB786443:ROB786466 RXX786443:RXX786466 SHT786443:SHT786466 SRP786443:SRP786466 TBL786443:TBL786466 TLH786443:TLH786466 TVD786443:TVD786466 UEZ786443:UEZ786466 UOV786443:UOV786466 UYR786443:UYR786466 VIN786443:VIN786466 VSJ786443:VSJ786466 WCF786443:WCF786466 WMB786443:WMB786466 WVX786443:WVX786466 JL851979:JL852002 TH851979:TH852002 ADD851979:ADD852002 AMZ851979:AMZ852002 AWV851979:AWV852002 BGR851979:BGR852002 BQN851979:BQN852002 CAJ851979:CAJ852002 CKF851979:CKF852002 CUB851979:CUB852002 DDX851979:DDX852002 DNT851979:DNT852002 DXP851979:DXP852002 EHL851979:EHL852002 ERH851979:ERH852002 FBD851979:FBD852002 FKZ851979:FKZ852002 FUV851979:FUV852002 GER851979:GER852002 GON851979:GON852002 GYJ851979:GYJ852002 HIF851979:HIF852002 HSB851979:HSB852002 IBX851979:IBX852002 ILT851979:ILT852002 IVP851979:IVP852002 JFL851979:JFL852002 JPH851979:JPH852002 JZD851979:JZD852002 KIZ851979:KIZ852002 KSV851979:KSV852002 LCR851979:LCR852002 LMN851979:LMN852002 LWJ851979:LWJ852002 MGF851979:MGF852002 MQB851979:MQB852002 MZX851979:MZX852002 NJT851979:NJT852002 NTP851979:NTP852002 ODL851979:ODL852002 ONH851979:ONH852002 OXD851979:OXD852002 PGZ851979:PGZ852002 PQV851979:PQV852002 QAR851979:QAR852002 QKN851979:QKN852002 QUJ851979:QUJ852002 REF851979:REF852002 ROB851979:ROB852002 RXX851979:RXX852002 SHT851979:SHT852002 SRP851979:SRP852002 TBL851979:TBL852002 TLH851979:TLH852002 TVD851979:TVD852002 UEZ851979:UEZ852002 UOV851979:UOV852002 UYR851979:UYR852002 VIN851979:VIN852002 VSJ851979:VSJ852002 WCF851979:WCF852002 WMB851979:WMB852002 WVX851979:WVX852002 JL917515:JL917538 TH917515:TH917538 ADD917515:ADD917538 AMZ917515:AMZ917538 AWV917515:AWV917538 BGR917515:BGR917538 BQN917515:BQN917538 CAJ917515:CAJ917538 CKF917515:CKF917538 CUB917515:CUB917538 DDX917515:DDX917538 DNT917515:DNT917538 DXP917515:DXP917538 EHL917515:EHL917538 ERH917515:ERH917538 FBD917515:FBD917538 FKZ917515:FKZ917538 FUV917515:FUV917538 GER917515:GER917538 GON917515:GON917538 GYJ917515:GYJ917538 HIF917515:HIF917538 HSB917515:HSB917538 IBX917515:IBX917538 ILT917515:ILT917538 IVP917515:IVP917538 JFL917515:JFL917538 JPH917515:JPH917538 JZD917515:JZD917538 KIZ917515:KIZ917538 KSV917515:KSV917538 LCR917515:LCR917538 LMN917515:LMN917538 LWJ917515:LWJ917538 MGF917515:MGF917538 MQB917515:MQB917538 MZX917515:MZX917538 NJT917515:NJT917538 NTP917515:NTP917538 ODL917515:ODL917538 ONH917515:ONH917538 OXD917515:OXD917538 PGZ917515:PGZ917538 PQV917515:PQV917538 QAR917515:QAR917538 QKN917515:QKN917538 QUJ917515:QUJ917538 REF917515:REF917538 ROB917515:ROB917538 RXX917515:RXX917538 SHT917515:SHT917538 SRP917515:SRP917538 TBL917515:TBL917538 TLH917515:TLH917538 TVD917515:TVD917538 UEZ917515:UEZ917538 UOV917515:UOV917538 UYR917515:UYR917538 VIN917515:VIN917538 VSJ917515:VSJ917538 WCF917515:WCF917538 WMB917515:WMB917538 WVX917515:WVX917538 JL983051:JL983074 TH983051:TH983074 ADD983051:ADD983074 AMZ983051:AMZ983074 AWV983051:AWV983074 BGR983051:BGR983074 BQN983051:BQN983074 CAJ983051:CAJ983074 CKF983051:CKF983074 CUB983051:CUB983074 DDX983051:DDX983074 DNT983051:DNT983074 DXP983051:DXP983074 EHL983051:EHL983074 ERH983051:ERH983074 FBD983051:FBD983074 FKZ983051:FKZ983074 FUV983051:FUV983074 GER983051:GER983074 GON983051:GON983074 GYJ983051:GYJ983074 HIF983051:HIF983074 HSB983051:HSB983074 IBX983051:IBX983074 ILT983051:ILT983074 IVP983051:IVP983074 JFL983051:JFL983074 JPH983051:JPH983074 JZD983051:JZD983074 KIZ983051:KIZ983074 KSV983051:KSV983074 LCR983051:LCR983074 LMN983051:LMN983074 LWJ983051:LWJ983074 MGF983051:MGF983074 MQB983051:MQB983074 MZX983051:MZX983074 NJT983051:NJT983074 NTP983051:NTP983074 ODL983051:ODL983074 ONH983051:ONH983074 OXD983051:OXD983074 PGZ983051:PGZ983074 PQV983051:PQV983074 QAR983051:QAR983074 QKN983051:QKN983074 QUJ983051:QUJ983074 REF983051:REF983074 ROB983051:ROB983074 RXX983051:RXX983074 SHT983051:SHT983074 SRP983051:SRP983074 TBL983051:TBL983074 TLH983051:TLH983074 TVD983051:TVD983074 UEZ983051:UEZ983074 UOV983051:UOV983074 UYR983051:UYR983074 VIN983051:VIN983074 VSJ983051:VSJ983074 WCF983051:WCF983074 WMB983051:WMB983074 U34:U35 ACM11:ACM30 SQ11:SQ30 IU11:IU30 WVI11:WVI30 WLM11:WLM30 WBQ11:WBQ30 VRU11:VRU30 VHY11:VHY30 UYC11:UYC30 UOG11:UOG30 UEK11:UEK30 TUO11:TUO30 TKS11:TKS30 TAW11:TAW30 SRA11:SRA30 SHE11:SHE30 RXI11:RXI30 RNM11:RNM30 RDQ11:RDQ30 QTU11:QTU30 QJY11:QJY30 QAC11:QAC30 PQG11:PQG30 PGK11:PGK30 OWO11:OWO30 OMS11:OMS30 OCW11:OCW30 NTA11:NTA30 NJE11:NJE30 MZI11:MZI30 MPM11:MPM30 MFQ11:MFQ30 LVU11:LVU30 LLY11:LLY30 LCC11:LCC30 KSG11:KSG30 KIK11:KIK30 JYO11:JYO30 JOS11:JOS30 JEW11:JEW30 IVA11:IVA30 ILE11:ILE30 IBI11:IBI30 HRM11:HRM30 HHQ11:HHQ30 GXU11:GXU30 GNY11:GNY30 GEC11:GEC30 FUG11:FUG30 FKK11:FKK30 FAO11:FAO30 EQS11:EQS30 EGW11:EGW30 DXA11:DXA30 DNE11:DNE30 DDI11:DDI30 CTM11:CTM30 CJQ11:CJQ30 BZU11:BZU30 BPY11:BPY30 BGC11:BGC30 AWG11:AWG30 AMK11:AMK30 ACO11:ACO30 SS11:SS30 IW11:IW30 WVG11:WVG30 WLK11:WLK30 WBO11:WBO30 VRS11:VRS30 VHW11:VHW30 UYA11:UYA30 UOE11:UOE30 UEI11:UEI30 TUM11:TUM30 TKQ11:TKQ30 TAU11:TAU30 SQY11:SQY30 SHC11:SHC30 RXG11:RXG30 RNK11:RNK30 RDO11:RDO30 QTS11:QTS30 QJW11:QJW30 QAA11:QAA30 PQE11:PQE30 PGI11:PGI30 OWM11:OWM30 OMQ11:OMQ30 OCU11:OCU30 NSY11:NSY30 NJC11:NJC30 MZG11:MZG30 MPK11:MPK30 MFO11:MFO30 LVS11:LVS30 LLW11:LLW30 LCA11:LCA30 KSE11:KSE30 KII11:KII30 JYM11:JYM30 JOQ11:JOQ30 JEU11:JEU30 IUY11:IUY30 ILC11:ILC30 IBG11:IBG30 HRK11:HRK30 HHO11:HHO30 GXS11:GXS30 GNW11:GNW30 GEA11:GEA30 FUE11:FUE30 FKI11:FKI30 FAM11:FAM30 EQQ11:EQQ30 EGU11:EGU30 DWY11:DWY30 DNC11:DNC30 DDG11:DDG30 CTK11:CTK30 CJO11:CJO30 BZS11:BZS30 BPW11:BPW30 BGA11:BGA30 AWE11:AWE30 AMI11:AMI30 U11:U32 W11:W35" xr:uid="{00000000-0002-0000-0400-000001000000}">
      <formula1>"1,2,3,4"</formula1>
    </dataValidation>
  </dataValidations>
  <pageMargins left="0" right="0" top="0.39370078740157483" bottom="0.59055118110236227" header="0.51181102362204722" footer="0.39370078740157483"/>
  <pageSetup paperSize="9" scale="82" fitToHeight="0" orientation="landscape" r:id="rId1"/>
  <headerFooter alignWithMargins="0">
    <oddFooter>第 &amp;P 頁，共 &amp;N 頁</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具名範圍</vt:lpstr>
      </vt:variant>
      <vt:variant>
        <vt:i4>5</vt:i4>
      </vt:variant>
    </vt:vector>
  </HeadingPairs>
  <TitlesOfParts>
    <vt:vector size="10" baseType="lpstr">
      <vt:lpstr>資訊清單資訊</vt:lpstr>
      <vt:lpstr>軟體類資產群組清單</vt:lpstr>
      <vt:lpstr>評估標準</vt:lpstr>
      <vt:lpstr>軟體類風險材1-1-SW-01</vt:lpstr>
      <vt:lpstr>軟體類風險材1-1-SW-02</vt:lpstr>
      <vt:lpstr>ALL_LIST</vt:lpstr>
      <vt:lpstr>'軟體類風險材1-1-SW-01'!Print_Area</vt:lpstr>
      <vt:lpstr>'軟體類風險材1-1-SW-02'!Print_Area</vt:lpstr>
      <vt:lpstr>'軟體類風險材1-1-SW-01'!Print_Titles</vt:lpstr>
      <vt:lpstr>'軟體類風險材1-1-SW-02'!Print_Titles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徐怡婷</dc:creator>
  <cp:lastModifiedBy>joyce</cp:lastModifiedBy>
  <cp:lastPrinted>2020-06-19T07:03:06Z</cp:lastPrinted>
  <dcterms:created xsi:type="dcterms:W3CDTF">2016-07-21T06:30:48Z</dcterms:created>
  <dcterms:modified xsi:type="dcterms:W3CDTF">2024-03-19T06:24:25Z</dcterms:modified>
</cp:coreProperties>
</file>