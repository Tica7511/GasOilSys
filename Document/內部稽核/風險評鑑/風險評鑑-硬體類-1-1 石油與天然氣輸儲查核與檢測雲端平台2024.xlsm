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3D1A710C-6663-3D7B-7F91-EC182F24A4BC}"/>
  <workbookPr codeName="ThisWorkbook"/>
  <mc:AlternateContent xmlns:mc="http://schemas.openxmlformats.org/markup-compatibility/2006">
    <mc:Choice Requires="x15">
      <x15ac:absPath xmlns:x15ac="http://schemas.microsoft.com/office/spreadsheetml/2010/11/ac" url="C:\Users\My Document\20210416_NB Data\My Doc\0_工研院\113\1_RA\材化所\1-1_石油與天然氣輸儲查核與檢測雲端平台\"/>
    </mc:Choice>
  </mc:AlternateContent>
  <xr:revisionPtr revIDLastSave="0" documentId="13_ncr:1_{FC2A5527-24F6-4407-B703-D708AD318546}" xr6:coauthVersionLast="47" xr6:coauthVersionMax="47" xr10:uidLastSave="{00000000-0000-0000-0000-000000000000}"/>
  <bookViews>
    <workbookView xWindow="-110" yWindow="-110" windowWidth="19420" windowHeight="10300" tabRatio="1000" firstSheet="1" activeTab="1" xr2:uid="{00000000-000D-0000-FFFF-FFFF00000000}"/>
  </bookViews>
  <sheets>
    <sheet name="資訊清單資訊" sheetId="1" r:id="rId1"/>
    <sheet name="硬體類資產群組清單" sheetId="2" r:id="rId2"/>
    <sheet name="評估標準" sheetId="4" r:id="rId3"/>
    <sheet name="硬體類風險材1-1-HW-01" sheetId="9" r:id="rId4"/>
    <sheet name="硬體類風險材1-1-HW-02" sheetId="10" r:id="rId5"/>
    <sheet name="硬體類風險材1-1-HW-03" sheetId="11" r:id="rId6"/>
    <sheet name="硬體類風險材1-1-HW-04" sheetId="12" r:id="rId7"/>
    <sheet name="硬體類風險材1-1-HW-05" sheetId="13" r:id="rId8"/>
  </sheets>
  <externalReferences>
    <externalReference r:id="rId9"/>
    <externalReference r:id="rId10"/>
  </externalReferences>
  <definedNames>
    <definedName name="_xlnm._FilterDatabase" localSheetId="3" hidden="1">'硬體類風險材1-1-HW-01'!$M$10:$Z$10</definedName>
    <definedName name="_xlnm._FilterDatabase" localSheetId="4" hidden="1">'硬體類風險材1-1-HW-02'!$M$10:$Z$10</definedName>
    <definedName name="_xlnm._FilterDatabase" localSheetId="5" hidden="1">'硬體類風險材1-1-HW-03'!$M$10:$Z$10</definedName>
    <definedName name="_xlnm._FilterDatabase" localSheetId="6" hidden="1">'硬體類風險材1-1-HW-04'!$M$10:$Z$10</definedName>
    <definedName name="_xlnm._FilterDatabase" localSheetId="7" hidden="1">'硬體類風險材1-1-HW-05'!$M$10:$Z$10</definedName>
    <definedName name="_xlnm._FilterDatabase" localSheetId="1" hidden="1">硬體類資產群組清單!$A$9:$Q$9</definedName>
    <definedName name="All_Availability">[1]Ref!$S$3:$S$6</definedName>
    <definedName name="All_Confidential">[1]Ref!$M$3:$M$6</definedName>
    <definedName name="All_Impact">[1]Ref!$AB$3:$AB$6</definedName>
    <definedName name="All_Integrity">[1]Ref!$P$3:$P$6</definedName>
    <definedName name="All_Law">[1]Ref!$V$3:$V$6</definedName>
    <definedName name="All_Likelihood">[1]Ref!$Y$3:$Y$6</definedName>
    <definedName name="ALL_LIST">硬體類資產群組清單!$A$10:$Q$163</definedName>
    <definedName name="All_YN">[1]Ref!$AE$3:$AE$4</definedName>
    <definedName name="PE_SUBLIST" localSheetId="4">評估標準!#REF!</definedName>
    <definedName name="PE_SUBLIST" localSheetId="5">評估標準!#REF!</definedName>
    <definedName name="PE_SUBLIST" localSheetId="6">評估標準!#REF!</definedName>
    <definedName name="PE_SUBLIST" localSheetId="7">評估標準!#REF!</definedName>
    <definedName name="PE_SUBLIST">評估標準!#REF!</definedName>
    <definedName name="PE_Subtype">[1]Ref!$C$3:$C$12</definedName>
    <definedName name="PE_TypeList">[1]人員資產群組清單!$D$10:$D$34</definedName>
    <definedName name="PE_TypeSum">[1]Ref!$C$3:$D$12</definedName>
    <definedName name="_xlnm.Print_Area" localSheetId="3">'硬體類風險材1-1-HW-01'!$M$1:$U$29</definedName>
    <definedName name="_xlnm.Print_Area" localSheetId="4">'硬體類風險材1-1-HW-02'!$M$1:$U$29</definedName>
    <definedName name="_xlnm.Print_Area" localSheetId="5">'硬體類風險材1-1-HW-03'!$M$1:$U$29</definedName>
    <definedName name="_xlnm.Print_Area" localSheetId="6">'硬體類風險材1-1-HW-04'!$M$1:$U$29</definedName>
    <definedName name="_xlnm.Print_Area" localSheetId="7">'硬體類風險材1-1-HW-05'!$M$1:$U$29</definedName>
    <definedName name="_xlnm.Print_Titles" localSheetId="3">'硬體類風險材1-1-HW-01'!$2:$10</definedName>
    <definedName name="_xlnm.Print_Titles" localSheetId="4">'硬體類風險材1-1-HW-02'!$2:$10</definedName>
    <definedName name="_xlnm.Print_Titles" localSheetId="5">'硬體類風險材1-1-HW-03'!$2:$10</definedName>
    <definedName name="_xlnm.Print_Titles" localSheetId="6">'硬體類風險材1-1-HW-04'!$2:$10</definedName>
    <definedName name="_xlnm.Print_Titles" localSheetId="7">'硬體類風險材1-1-HW-05'!$2:$10</definedName>
    <definedName name="SW_List">[2]軟體資產群組清單!$A$11:$R$50</definedName>
    <definedName name="法律遵循" localSheetId="4">#REF!</definedName>
    <definedName name="法律遵循" localSheetId="5">#REF!</definedName>
    <definedName name="法律遵循" localSheetId="6">#REF!</definedName>
    <definedName name="法律遵循" localSheetId="7">#REF!</definedName>
    <definedName name="法律遵循">#REF!</definedName>
    <definedName name="業務運作" localSheetId="4">#REF!</definedName>
    <definedName name="業務運作" localSheetId="5">#REF!</definedName>
    <definedName name="業務運作" localSheetId="6">#REF!</definedName>
    <definedName name="業務運作" localSheetId="7">#REF!</definedName>
    <definedName name="業務運作">#REF!</definedName>
    <definedName name="業務類別" localSheetId="4">#REF!</definedName>
    <definedName name="業務類別" localSheetId="5">#REF!</definedName>
    <definedName name="業務類別" localSheetId="6">#REF!</definedName>
    <definedName name="業務類別" localSheetId="7">#REF!</definedName>
    <definedName name="業務類別">#REF!</definedName>
    <definedName name="業務類別名" localSheetId="4">#REF!</definedName>
    <definedName name="業務類別名" localSheetId="5">#REF!</definedName>
    <definedName name="業務類別名" localSheetId="6">#REF!</definedName>
    <definedName name="業務類別名" localSheetId="7">#REF!</definedName>
    <definedName name="業務類別名">#REF!</definedName>
    <definedName name="資產保護" localSheetId="4">#REF!</definedName>
    <definedName name="資產保護" localSheetId="5">#REF!</definedName>
    <definedName name="資產保護" localSheetId="6">#REF!</definedName>
    <definedName name="資產保護" localSheetId="7">#REF!</definedName>
    <definedName name="資產保護">#REF!</definedName>
    <definedName name="資產類別" localSheetId="4">#REF!</definedName>
    <definedName name="資產類別" localSheetId="5">#REF!</definedName>
    <definedName name="資產類別" localSheetId="6">#REF!</definedName>
    <definedName name="資產類別" localSheetId="7">#REF!</definedName>
    <definedName name="資產類別">#REF!</definedName>
    <definedName name="資產類別名" localSheetId="4">#REF!</definedName>
    <definedName name="資產類別名" localSheetId="5">#REF!</definedName>
    <definedName name="資產類別名" localSheetId="6">#REF!</definedName>
    <definedName name="資產類別名" localSheetId="7">#REF!</definedName>
    <definedName name="資產類別名">#REF!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29" i="13" l="1"/>
  <c r="J20" i="13"/>
  <c r="I20" i="13"/>
  <c r="H20" i="13"/>
  <c r="G20" i="13"/>
  <c r="F20" i="13"/>
  <c r="E20" i="13"/>
  <c r="D20" i="13"/>
  <c r="C20" i="13"/>
  <c r="B20" i="13"/>
  <c r="A20" i="13"/>
  <c r="J18" i="13"/>
  <c r="I18" i="13"/>
  <c r="H18" i="13"/>
  <c r="G18" i="13"/>
  <c r="F18" i="13"/>
  <c r="E18" i="13"/>
  <c r="D18" i="13"/>
  <c r="C18" i="13"/>
  <c r="B18" i="13"/>
  <c r="A18" i="13"/>
  <c r="J17" i="13"/>
  <c r="I17" i="13"/>
  <c r="H17" i="13"/>
  <c r="G17" i="13"/>
  <c r="F17" i="13"/>
  <c r="E17" i="13"/>
  <c r="D17" i="13"/>
  <c r="C17" i="13"/>
  <c r="B17" i="13"/>
  <c r="A17" i="13"/>
  <c r="J16" i="13"/>
  <c r="I16" i="13"/>
  <c r="H16" i="13"/>
  <c r="G16" i="13"/>
  <c r="F16" i="13"/>
  <c r="E16" i="13"/>
  <c r="D16" i="13"/>
  <c r="C16" i="13"/>
  <c r="B16" i="13"/>
  <c r="A16" i="13"/>
  <c r="J15" i="13"/>
  <c r="I15" i="13"/>
  <c r="H15" i="13"/>
  <c r="G15" i="13"/>
  <c r="F15" i="13"/>
  <c r="E15" i="13"/>
  <c r="D15" i="13"/>
  <c r="C15" i="13"/>
  <c r="B15" i="13"/>
  <c r="A15" i="13"/>
  <c r="J14" i="13"/>
  <c r="I14" i="13"/>
  <c r="H14" i="13"/>
  <c r="G14" i="13"/>
  <c r="F14" i="13"/>
  <c r="E14" i="13"/>
  <c r="D14" i="13"/>
  <c r="C14" i="13"/>
  <c r="B14" i="13"/>
  <c r="A14" i="13"/>
  <c r="J13" i="13"/>
  <c r="I13" i="13"/>
  <c r="H13" i="13"/>
  <c r="G13" i="13"/>
  <c r="F13" i="13"/>
  <c r="E13" i="13"/>
  <c r="D13" i="13"/>
  <c r="C13" i="13"/>
  <c r="B13" i="13"/>
  <c r="A13" i="13"/>
  <c r="J12" i="13"/>
  <c r="I12" i="13"/>
  <c r="H12" i="13"/>
  <c r="G12" i="13"/>
  <c r="F12" i="13"/>
  <c r="E12" i="13"/>
  <c r="D12" i="13"/>
  <c r="C12" i="13"/>
  <c r="B12" i="13"/>
  <c r="A12" i="13"/>
  <c r="J11" i="13"/>
  <c r="I11" i="13"/>
  <c r="H11" i="13"/>
  <c r="G11" i="13"/>
  <c r="F11" i="13"/>
  <c r="E11" i="13"/>
  <c r="D11" i="13"/>
  <c r="C11" i="13"/>
  <c r="B11" i="13"/>
  <c r="A11" i="13"/>
  <c r="S6" i="13"/>
  <c r="S5" i="13"/>
  <c r="N5" i="13"/>
  <c r="S4" i="13"/>
  <c r="N4" i="13"/>
  <c r="S3" i="13"/>
  <c r="N2" i="13"/>
  <c r="M1" i="13"/>
  <c r="Y29" i="12"/>
  <c r="J20" i="12"/>
  <c r="I20" i="12"/>
  <c r="H20" i="12"/>
  <c r="G20" i="12"/>
  <c r="F20" i="12"/>
  <c r="E20" i="12"/>
  <c r="D20" i="12"/>
  <c r="C20" i="12"/>
  <c r="B20" i="12"/>
  <c r="A20" i="12"/>
  <c r="J18" i="12"/>
  <c r="I18" i="12"/>
  <c r="H18" i="12"/>
  <c r="G18" i="12"/>
  <c r="F18" i="12"/>
  <c r="E18" i="12"/>
  <c r="D18" i="12"/>
  <c r="C18" i="12"/>
  <c r="B18" i="12"/>
  <c r="A18" i="12"/>
  <c r="J17" i="12"/>
  <c r="I17" i="12"/>
  <c r="H17" i="12"/>
  <c r="G17" i="12"/>
  <c r="F17" i="12"/>
  <c r="E17" i="12"/>
  <c r="D17" i="12"/>
  <c r="C17" i="12"/>
  <c r="B17" i="12"/>
  <c r="A17" i="12"/>
  <c r="J16" i="12"/>
  <c r="I16" i="12"/>
  <c r="H16" i="12"/>
  <c r="G16" i="12"/>
  <c r="F16" i="12"/>
  <c r="E16" i="12"/>
  <c r="D16" i="12"/>
  <c r="C16" i="12"/>
  <c r="B16" i="12"/>
  <c r="A16" i="12"/>
  <c r="J15" i="12"/>
  <c r="I15" i="12"/>
  <c r="H15" i="12"/>
  <c r="G15" i="12"/>
  <c r="F15" i="12"/>
  <c r="E15" i="12"/>
  <c r="D15" i="12"/>
  <c r="C15" i="12"/>
  <c r="B15" i="12"/>
  <c r="A15" i="12"/>
  <c r="J14" i="12"/>
  <c r="I14" i="12"/>
  <c r="H14" i="12"/>
  <c r="G14" i="12"/>
  <c r="F14" i="12"/>
  <c r="E14" i="12"/>
  <c r="D14" i="12"/>
  <c r="C14" i="12"/>
  <c r="B14" i="12"/>
  <c r="A14" i="12"/>
  <c r="J13" i="12"/>
  <c r="I13" i="12"/>
  <c r="H13" i="12"/>
  <c r="G13" i="12"/>
  <c r="F13" i="12"/>
  <c r="E13" i="12"/>
  <c r="D13" i="12"/>
  <c r="C13" i="12"/>
  <c r="B13" i="12"/>
  <c r="A13" i="12"/>
  <c r="J12" i="12"/>
  <c r="I12" i="12"/>
  <c r="H12" i="12"/>
  <c r="G12" i="12"/>
  <c r="F12" i="12"/>
  <c r="E12" i="12"/>
  <c r="D12" i="12"/>
  <c r="C12" i="12"/>
  <c r="B12" i="12"/>
  <c r="A12" i="12"/>
  <c r="J11" i="12"/>
  <c r="I11" i="12"/>
  <c r="H11" i="12"/>
  <c r="G11" i="12"/>
  <c r="F11" i="12"/>
  <c r="E11" i="12"/>
  <c r="D11" i="12"/>
  <c r="C11" i="12"/>
  <c r="B11" i="12"/>
  <c r="A11" i="12"/>
  <c r="S6" i="12"/>
  <c r="S5" i="12"/>
  <c r="N5" i="12"/>
  <c r="S4" i="12"/>
  <c r="N4" i="12"/>
  <c r="S3" i="12"/>
  <c r="N2" i="12"/>
  <c r="M1" i="12"/>
  <c r="Y29" i="11"/>
  <c r="J20" i="11"/>
  <c r="I20" i="11"/>
  <c r="H20" i="11"/>
  <c r="G20" i="11"/>
  <c r="F20" i="11"/>
  <c r="E20" i="11"/>
  <c r="D20" i="11"/>
  <c r="C20" i="11"/>
  <c r="B20" i="11"/>
  <c r="A20" i="11"/>
  <c r="J18" i="11"/>
  <c r="I18" i="11"/>
  <c r="H18" i="11"/>
  <c r="G18" i="11"/>
  <c r="F18" i="11"/>
  <c r="E18" i="11"/>
  <c r="D18" i="11"/>
  <c r="C18" i="11"/>
  <c r="B18" i="11"/>
  <c r="A18" i="11"/>
  <c r="J17" i="11"/>
  <c r="I17" i="11"/>
  <c r="H17" i="11"/>
  <c r="G17" i="11"/>
  <c r="F17" i="11"/>
  <c r="E17" i="11"/>
  <c r="D17" i="11"/>
  <c r="C17" i="11"/>
  <c r="B17" i="11"/>
  <c r="A17" i="11"/>
  <c r="J16" i="11"/>
  <c r="I16" i="11"/>
  <c r="H16" i="11"/>
  <c r="G16" i="11"/>
  <c r="F16" i="11"/>
  <c r="E16" i="11"/>
  <c r="D16" i="11"/>
  <c r="C16" i="11"/>
  <c r="B16" i="11"/>
  <c r="A16" i="11"/>
  <c r="J15" i="11"/>
  <c r="I15" i="11"/>
  <c r="H15" i="11"/>
  <c r="G15" i="11"/>
  <c r="F15" i="11"/>
  <c r="E15" i="11"/>
  <c r="D15" i="11"/>
  <c r="C15" i="11"/>
  <c r="B15" i="11"/>
  <c r="A15" i="11"/>
  <c r="J14" i="11"/>
  <c r="I14" i="11"/>
  <c r="H14" i="11"/>
  <c r="G14" i="11"/>
  <c r="F14" i="11"/>
  <c r="E14" i="11"/>
  <c r="D14" i="11"/>
  <c r="C14" i="11"/>
  <c r="B14" i="11"/>
  <c r="A14" i="11"/>
  <c r="J13" i="11"/>
  <c r="I13" i="11"/>
  <c r="H13" i="11"/>
  <c r="G13" i="11"/>
  <c r="F13" i="11"/>
  <c r="E13" i="11"/>
  <c r="D13" i="11"/>
  <c r="C13" i="11"/>
  <c r="B13" i="11"/>
  <c r="A13" i="11"/>
  <c r="J12" i="11"/>
  <c r="I12" i="11"/>
  <c r="H12" i="11"/>
  <c r="G12" i="11"/>
  <c r="F12" i="11"/>
  <c r="E12" i="11"/>
  <c r="D12" i="11"/>
  <c r="C12" i="11"/>
  <c r="B12" i="11"/>
  <c r="A12" i="11"/>
  <c r="J11" i="11"/>
  <c r="I11" i="11"/>
  <c r="H11" i="11"/>
  <c r="G11" i="11"/>
  <c r="F11" i="11"/>
  <c r="E11" i="11"/>
  <c r="D11" i="11"/>
  <c r="C11" i="11"/>
  <c r="B11" i="11"/>
  <c r="A11" i="11"/>
  <c r="S6" i="11"/>
  <c r="S5" i="11"/>
  <c r="N5" i="11"/>
  <c r="S4" i="11"/>
  <c r="N4" i="11"/>
  <c r="S3" i="11"/>
  <c r="N2" i="11"/>
  <c r="M1" i="11"/>
  <c r="Y29" i="10"/>
  <c r="J20" i="10"/>
  <c r="I20" i="10"/>
  <c r="H20" i="10"/>
  <c r="G20" i="10"/>
  <c r="F20" i="10"/>
  <c r="E20" i="10"/>
  <c r="D20" i="10"/>
  <c r="C20" i="10"/>
  <c r="B20" i="10"/>
  <c r="A20" i="10"/>
  <c r="J18" i="10"/>
  <c r="I18" i="10"/>
  <c r="H18" i="10"/>
  <c r="G18" i="10"/>
  <c r="F18" i="10"/>
  <c r="E18" i="10"/>
  <c r="D18" i="10"/>
  <c r="C18" i="10"/>
  <c r="B18" i="10"/>
  <c r="A18" i="10"/>
  <c r="J17" i="10"/>
  <c r="I17" i="10"/>
  <c r="H17" i="10"/>
  <c r="G17" i="10"/>
  <c r="F17" i="10"/>
  <c r="E17" i="10"/>
  <c r="D17" i="10"/>
  <c r="C17" i="10"/>
  <c r="B17" i="10"/>
  <c r="A17" i="10"/>
  <c r="J16" i="10"/>
  <c r="I16" i="10"/>
  <c r="H16" i="10"/>
  <c r="G16" i="10"/>
  <c r="F16" i="10"/>
  <c r="E16" i="10"/>
  <c r="D16" i="10"/>
  <c r="C16" i="10"/>
  <c r="B16" i="10"/>
  <c r="A16" i="10"/>
  <c r="J15" i="10"/>
  <c r="I15" i="10"/>
  <c r="H15" i="10"/>
  <c r="G15" i="10"/>
  <c r="F15" i="10"/>
  <c r="E15" i="10"/>
  <c r="D15" i="10"/>
  <c r="C15" i="10"/>
  <c r="B15" i="10"/>
  <c r="A15" i="10"/>
  <c r="J14" i="10"/>
  <c r="I14" i="10"/>
  <c r="H14" i="10"/>
  <c r="G14" i="10"/>
  <c r="F14" i="10"/>
  <c r="E14" i="10"/>
  <c r="D14" i="10"/>
  <c r="C14" i="10"/>
  <c r="B14" i="10"/>
  <c r="A14" i="10"/>
  <c r="J13" i="10"/>
  <c r="I13" i="10"/>
  <c r="H13" i="10"/>
  <c r="G13" i="10"/>
  <c r="F13" i="10"/>
  <c r="E13" i="10"/>
  <c r="D13" i="10"/>
  <c r="C13" i="10"/>
  <c r="B13" i="10"/>
  <c r="A13" i="10"/>
  <c r="J12" i="10"/>
  <c r="I12" i="10"/>
  <c r="H12" i="10"/>
  <c r="G12" i="10"/>
  <c r="F12" i="10"/>
  <c r="E12" i="10"/>
  <c r="D12" i="10"/>
  <c r="C12" i="10"/>
  <c r="B12" i="10"/>
  <c r="A12" i="10"/>
  <c r="J11" i="10"/>
  <c r="I11" i="10"/>
  <c r="H11" i="10"/>
  <c r="G11" i="10"/>
  <c r="F11" i="10"/>
  <c r="E11" i="10"/>
  <c r="D11" i="10"/>
  <c r="C11" i="10"/>
  <c r="B11" i="10"/>
  <c r="A11" i="10"/>
  <c r="S6" i="10"/>
  <c r="S5" i="10"/>
  <c r="N5" i="10"/>
  <c r="S4" i="10"/>
  <c r="N4" i="10"/>
  <c r="S3" i="10"/>
  <c r="N2" i="10"/>
  <c r="M1" i="10"/>
  <c r="P14" i="2"/>
  <c r="K12" i="13" s="1"/>
  <c r="K14" i="13"/>
  <c r="P13" i="2"/>
  <c r="K12" i="12" s="1"/>
  <c r="K16" i="12"/>
  <c r="P12" i="2"/>
  <c r="K18" i="11"/>
  <c r="P11" i="2"/>
  <c r="K13" i="10" s="1"/>
  <c r="K12" i="10"/>
  <c r="P10" i="2"/>
  <c r="K12" i="9" s="1"/>
  <c r="K13" i="11"/>
  <c r="K11" i="12"/>
  <c r="K20" i="12"/>
  <c r="K15" i="10"/>
  <c r="K18" i="10"/>
  <c r="S2" i="11"/>
  <c r="Y25" i="11" s="1"/>
  <c r="Y13" i="11"/>
  <c r="K16" i="11"/>
  <c r="K14" i="12"/>
  <c r="K11" i="11"/>
  <c r="K20" i="11"/>
  <c r="K15" i="13"/>
  <c r="S2" i="10"/>
  <c r="Y28" i="10" s="1"/>
  <c r="K16" i="10"/>
  <c r="K14" i="11"/>
  <c r="K11" i="10"/>
  <c r="K20" i="10"/>
  <c r="K17" i="11"/>
  <c r="K13" i="13"/>
  <c r="K14" i="10"/>
  <c r="K12" i="11"/>
  <c r="K17" i="10"/>
  <c r="K15" i="11"/>
  <c r="K13" i="12"/>
  <c r="K11" i="13"/>
  <c r="Y24" i="10"/>
  <c r="Y25" i="10"/>
  <c r="Y21" i="10"/>
  <c r="Y22" i="10"/>
  <c r="Y29" i="9"/>
  <c r="S2" i="9"/>
  <c r="Y26" i="9" s="1"/>
  <c r="J20" i="9"/>
  <c r="I20" i="9"/>
  <c r="H20" i="9"/>
  <c r="G20" i="9"/>
  <c r="F20" i="9"/>
  <c r="E20" i="9"/>
  <c r="D20" i="9"/>
  <c r="C20" i="9"/>
  <c r="B20" i="9"/>
  <c r="A20" i="9"/>
  <c r="J18" i="9"/>
  <c r="I18" i="9"/>
  <c r="H18" i="9"/>
  <c r="G18" i="9"/>
  <c r="F18" i="9"/>
  <c r="E18" i="9"/>
  <c r="D18" i="9"/>
  <c r="C18" i="9"/>
  <c r="B18" i="9"/>
  <c r="A18" i="9"/>
  <c r="J17" i="9"/>
  <c r="I17" i="9"/>
  <c r="H17" i="9"/>
  <c r="G17" i="9"/>
  <c r="F17" i="9"/>
  <c r="E17" i="9"/>
  <c r="D17" i="9"/>
  <c r="C17" i="9"/>
  <c r="B17" i="9"/>
  <c r="A17" i="9"/>
  <c r="J16" i="9"/>
  <c r="I16" i="9"/>
  <c r="H16" i="9"/>
  <c r="G16" i="9"/>
  <c r="F16" i="9"/>
  <c r="E16" i="9"/>
  <c r="D16" i="9"/>
  <c r="C16" i="9"/>
  <c r="B16" i="9"/>
  <c r="A16" i="9"/>
  <c r="J15" i="9"/>
  <c r="I15" i="9"/>
  <c r="H15" i="9"/>
  <c r="G15" i="9"/>
  <c r="F15" i="9"/>
  <c r="E15" i="9"/>
  <c r="D15" i="9"/>
  <c r="C15" i="9"/>
  <c r="B15" i="9"/>
  <c r="A15" i="9"/>
  <c r="J14" i="9"/>
  <c r="I14" i="9"/>
  <c r="H14" i="9"/>
  <c r="G14" i="9"/>
  <c r="F14" i="9"/>
  <c r="E14" i="9"/>
  <c r="D14" i="9"/>
  <c r="C14" i="9"/>
  <c r="B14" i="9"/>
  <c r="A14" i="9"/>
  <c r="J13" i="9"/>
  <c r="I13" i="9"/>
  <c r="H13" i="9"/>
  <c r="G13" i="9"/>
  <c r="F13" i="9"/>
  <c r="E13" i="9"/>
  <c r="D13" i="9"/>
  <c r="C13" i="9"/>
  <c r="B13" i="9"/>
  <c r="A13" i="9"/>
  <c r="J12" i="9"/>
  <c r="I12" i="9"/>
  <c r="H12" i="9"/>
  <c r="G12" i="9"/>
  <c r="F12" i="9"/>
  <c r="E12" i="9"/>
  <c r="D12" i="9"/>
  <c r="C12" i="9"/>
  <c r="B12" i="9"/>
  <c r="A12" i="9"/>
  <c r="J11" i="9"/>
  <c r="I11" i="9"/>
  <c r="H11" i="9"/>
  <c r="G11" i="9"/>
  <c r="F11" i="9"/>
  <c r="E11" i="9"/>
  <c r="D11" i="9"/>
  <c r="C11" i="9"/>
  <c r="B11" i="9"/>
  <c r="A11" i="9"/>
  <c r="A2" i="2"/>
  <c r="N4" i="9"/>
  <c r="N2" i="9"/>
  <c r="M1" i="9"/>
  <c r="N5" i="9"/>
  <c r="S3" i="9"/>
  <c r="A6" i="2"/>
  <c r="S6" i="9"/>
  <c r="S4" i="9"/>
  <c r="S5" i="9"/>
  <c r="A3" i="2"/>
  <c r="A4" i="2"/>
  <c r="A5" i="2"/>
  <c r="A1" i="2"/>
  <c r="A7" i="2"/>
  <c r="K20" i="9"/>
  <c r="K18" i="9"/>
  <c r="K14" i="9"/>
  <c r="K13" i="9"/>
  <c r="Y16" i="11"/>
  <c r="Y23" i="10"/>
  <c r="Y25" i="9"/>
  <c r="Y21" i="9"/>
  <c r="Y23" i="9"/>
  <c r="Y22" i="9"/>
  <c r="Y24" i="9"/>
  <c r="Y19" i="11" l="1"/>
  <c r="Y18" i="11"/>
  <c r="Y14" i="11"/>
  <c r="K15" i="9"/>
  <c r="K17" i="12"/>
  <c r="Y24" i="11"/>
  <c r="S2" i="13"/>
  <c r="Y26" i="13" s="1"/>
  <c r="K17" i="13"/>
  <c r="K15" i="12"/>
  <c r="K16" i="13"/>
  <c r="K17" i="9"/>
  <c r="Y11" i="11"/>
  <c r="K16" i="9"/>
  <c r="K18" i="13"/>
  <c r="Y21" i="11"/>
  <c r="K11" i="9"/>
  <c r="S2" i="12"/>
  <c r="Y25" i="12" s="1"/>
  <c r="K18" i="12"/>
  <c r="Y15" i="11"/>
  <c r="K20" i="13"/>
  <c r="Y17" i="9"/>
  <c r="Y20" i="9"/>
  <c r="Y19" i="10"/>
  <c r="Y16" i="9"/>
  <c r="Y20" i="10"/>
  <c r="Y16" i="10"/>
  <c r="Y27" i="9"/>
  <c r="Y28" i="13"/>
  <c r="Y28" i="12"/>
  <c r="Y17" i="10"/>
  <c r="Y23" i="11"/>
  <c r="Y20" i="11"/>
  <c r="Y26" i="11"/>
  <c r="Y18" i="10"/>
  <c r="Y11" i="10"/>
  <c r="Y12" i="11"/>
  <c r="Y27" i="11"/>
  <c r="Y22" i="11"/>
  <c r="Y17" i="11"/>
  <c r="Y28" i="11"/>
  <c r="Y28" i="9"/>
  <c r="Y14" i="9"/>
  <c r="Y11" i="9"/>
  <c r="Y18" i="9"/>
  <c r="Y19" i="9"/>
  <c r="Y26" i="10"/>
  <c r="Y15" i="9"/>
  <c r="Y15" i="10"/>
  <c r="Y14" i="10"/>
  <c r="Y27" i="10"/>
  <c r="Y12" i="9"/>
  <c r="Y13" i="9"/>
  <c r="Y12" i="10"/>
  <c r="Y13" i="10"/>
  <c r="Y24" i="12" l="1"/>
  <c r="Y21" i="13"/>
  <c r="Y20" i="13"/>
  <c r="Y18" i="13"/>
  <c r="Y13" i="13"/>
  <c r="Y19" i="13"/>
  <c r="Y22" i="12"/>
  <c r="Y27" i="12"/>
  <c r="Y12" i="12"/>
  <c r="Y24" i="13"/>
  <c r="Y16" i="13"/>
  <c r="Y14" i="13"/>
  <c r="Y23" i="13"/>
  <c r="Y17" i="13"/>
  <c r="Y15" i="12"/>
  <c r="Y26" i="12"/>
  <c r="Y22" i="13"/>
  <c r="Y27" i="13"/>
  <c r="Y20" i="12"/>
  <c r="Y18" i="12"/>
  <c r="Y11" i="12"/>
  <c r="Y16" i="12"/>
  <c r="Y21" i="12"/>
  <c r="Y17" i="12"/>
  <c r="Y13" i="12"/>
  <c r="Y14" i="12"/>
  <c r="Y23" i="12"/>
  <c r="Y25" i="13"/>
  <c r="Y11" i="13"/>
  <c r="Y12" i="13"/>
  <c r="Y19" i="12"/>
  <c r="Y15" i="13"/>
  <c r="S7" i="11"/>
  <c r="L11" i="11" s="1"/>
  <c r="S7" i="9"/>
  <c r="S7" i="10"/>
  <c r="S7" i="12" l="1"/>
  <c r="L15" i="12" s="1"/>
  <c r="S7" i="13"/>
  <c r="L20" i="13" s="1"/>
  <c r="L12" i="13"/>
  <c r="L14" i="13"/>
  <c r="L15" i="13"/>
  <c r="L11" i="13"/>
  <c r="L18" i="13"/>
  <c r="L13" i="13"/>
  <c r="L12" i="12"/>
  <c r="L16" i="12"/>
  <c r="L13" i="12"/>
  <c r="L18" i="12"/>
  <c r="L14" i="12"/>
  <c r="L11" i="12"/>
  <c r="L17" i="12"/>
  <c r="L20" i="12"/>
  <c r="L16" i="11"/>
  <c r="L13" i="11"/>
  <c r="L20" i="11"/>
  <c r="L12" i="11"/>
  <c r="L15" i="11"/>
  <c r="L14" i="11"/>
  <c r="L18" i="11"/>
  <c r="L17" i="11"/>
  <c r="L13" i="10"/>
  <c r="L14" i="10"/>
  <c r="L16" i="10"/>
  <c r="L12" i="10"/>
  <c r="L20" i="10"/>
  <c r="L18" i="10"/>
  <c r="L11" i="10"/>
  <c r="L17" i="10"/>
  <c r="L15" i="10"/>
  <c r="L11" i="9"/>
  <c r="L17" i="9"/>
  <c r="L12" i="9"/>
  <c r="L20" i="9"/>
  <c r="L18" i="9"/>
  <c r="L15" i="9"/>
  <c r="L16" i="9"/>
  <c r="L13" i="9"/>
  <c r="L14" i="9"/>
  <c r="L16" i="13" l="1"/>
  <c r="L17"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Joyce Wu</author>
  </authors>
  <commentList>
    <comment ref="C10" authorId="0" shapeId="0" xr:uid="{86C53E3F-9157-4489-B3CF-D7FE61D2B2ED}">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D10" authorId="0" shapeId="0" xr:uid="{5E268D90-0832-4EFF-8F75-3D2EC49D7F1B}">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E10" authorId="0" shapeId="0" xr:uid="{B97EBD59-29BF-4047-BA32-23F0F417A27D}">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G10" authorId="0" shapeId="0" xr:uid="{ACD35AEA-D4AD-44B6-B48C-3CA9499465B1}">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M10" authorId="0" shapeId="0" xr:uid="{3BD08807-79DC-410F-913F-CF7570908CF7}">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C11" authorId="0" shapeId="0" xr:uid="{ED73044C-347C-4D70-A56C-56E5891CFE9D}">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D11" authorId="0" shapeId="0" xr:uid="{6964E70F-540D-4E74-8CAF-73124196F7C0}">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E11" authorId="0" shapeId="0" xr:uid="{B94B8E75-1BD8-43C8-AFE6-9DAD7EA35A24}">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G11" authorId="0" shapeId="0" xr:uid="{3CA07A4F-7A00-49F2-95C7-14E4054FF67F}">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M11" authorId="0" shapeId="0" xr:uid="{43C7A238-576F-4FB8-9E70-A5EDED42C2AD}">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C12" authorId="0" shapeId="0" xr:uid="{96E6F3B1-E2E5-484F-9A42-885D8F064230}">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D12" authorId="0" shapeId="0" xr:uid="{3E07089F-ECDF-4CD4-B673-5266AB0F5A40}">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E12" authorId="0" shapeId="0" xr:uid="{A8B03493-F3FE-43D8-B2C2-1A98D338ACD5}">
      <text>
        <r>
          <rPr>
            <b/>
            <sz val="9"/>
            <color indexed="81"/>
            <rFont val="Tahoma"/>
            <family val="2"/>
          </rPr>
          <t>Joyce Wu:</t>
        </r>
        <r>
          <rPr>
            <sz val="9"/>
            <color indexed="81"/>
            <rFont val="Tahoma"/>
            <family val="2"/>
          </rPr>
          <t xml:space="preserve">
</t>
        </r>
      </text>
    </comment>
    <comment ref="G12" authorId="0" shapeId="0" xr:uid="{9933D4F6-BF00-423E-90AC-6915D6475D96}">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M12" authorId="0" shapeId="0" xr:uid="{E69F5EF7-D2A8-43D0-BF59-F7D2C5EB46DC}">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C13" authorId="0" shapeId="0" xr:uid="{CBBAEAD9-9C5B-4105-9BAA-AA064EE7ADD2}">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D13" authorId="0" shapeId="0" xr:uid="{09F15AEB-5018-4A04-BC2A-183508DB3186}">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E13" authorId="0" shapeId="0" xr:uid="{B225E51E-C86F-42B3-A366-41B28E7054A0}">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G13" authorId="0" shapeId="0" xr:uid="{BF5D3D76-4CEA-4C52-AB6B-2B189DBA5B52}">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M13" authorId="0" shapeId="0" xr:uid="{1821A6B2-C3C8-45ED-8231-D2C9520123C2}">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C14" authorId="0" shapeId="0" xr:uid="{759A5C49-9E10-4B08-8A63-75964FA26492}">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D14" authorId="0" shapeId="0" xr:uid="{F82D7A77-EB8E-4B06-ACFE-447C54D499CD}">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E14" authorId="0" shapeId="0" xr:uid="{9C0C3AAD-561A-4AF9-8B05-EF40C74F20A8}">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G14" authorId="0" shapeId="0" xr:uid="{7EC896E9-22C1-4CEF-8B0E-BF8F479FFFDE}">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M14" authorId="0" shapeId="0" xr:uid="{A2FD7BDE-D9AE-4CB4-A851-0128BDE3A7F4}">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List>
</comments>
</file>

<file path=xl/sharedStrings.xml><?xml version="1.0" encoding="utf-8"?>
<sst xmlns="http://schemas.openxmlformats.org/spreadsheetml/2006/main" count="844" uniqueCount="221">
  <si>
    <t>版本</t>
  </si>
  <si>
    <t>機密等級</t>
  </si>
  <si>
    <t>資產子類別</t>
    <phoneticPr fontId="4" type="noConversion"/>
  </si>
  <si>
    <t>數量</t>
    <phoneticPr fontId="4" type="noConversion"/>
  </si>
  <si>
    <t>弱點</t>
  </si>
  <si>
    <t>資產類別編號：</t>
  </si>
  <si>
    <t>評鑑人員：</t>
  </si>
  <si>
    <t>評鑑日期：</t>
  </si>
  <si>
    <t>評鑑人主管：</t>
  </si>
  <si>
    <t>類別：</t>
    <phoneticPr fontId="4" type="noConversion"/>
  </si>
  <si>
    <t>資產(群組)名稱：</t>
    <phoneticPr fontId="4" type="noConversion"/>
  </si>
  <si>
    <t>資訊資產價值：</t>
    <phoneticPr fontId="4" type="noConversion"/>
  </si>
  <si>
    <t>最大綜合風險：</t>
    <phoneticPr fontId="4" type="noConversion"/>
  </si>
  <si>
    <t>資產類別編號</t>
    <phoneticPr fontId="4" type="noConversion"/>
  </si>
  <si>
    <t>資產子類別</t>
    <phoneticPr fontId="4" type="noConversion"/>
  </si>
  <si>
    <t>資產名稱</t>
    <phoneticPr fontId="4" type="noConversion"/>
  </si>
  <si>
    <t>資產說明</t>
    <phoneticPr fontId="4" type="noConversion"/>
  </si>
  <si>
    <t>負責人</t>
    <phoneticPr fontId="4" type="noConversion"/>
  </si>
  <si>
    <t>C</t>
    <phoneticPr fontId="4" type="noConversion"/>
  </si>
  <si>
    <t>I</t>
    <phoneticPr fontId="4" type="noConversion"/>
  </si>
  <si>
    <t>A</t>
    <phoneticPr fontId="4" type="noConversion"/>
  </si>
  <si>
    <t>Law</t>
    <phoneticPr fontId="4" type="noConversion"/>
  </si>
  <si>
    <t>資產價值</t>
    <phoneticPr fontId="4" type="noConversion"/>
  </si>
  <si>
    <t>威脅</t>
  </si>
  <si>
    <t>適用性</t>
    <phoneticPr fontId="4" type="noConversion"/>
  </si>
  <si>
    <t>可能性</t>
    <phoneticPr fontId="4" type="noConversion"/>
  </si>
  <si>
    <t>理由</t>
    <phoneticPr fontId="4" type="noConversion"/>
  </si>
  <si>
    <t>衝擊性</t>
    <phoneticPr fontId="4" type="noConversion"/>
  </si>
  <si>
    <t>風險值</t>
    <phoneticPr fontId="4" type="noConversion"/>
  </si>
  <si>
    <t>備註</t>
    <phoneticPr fontId="4" type="noConversion"/>
  </si>
  <si>
    <t>外部人員或清潔人員缺乏人員陪同作業</t>
  </si>
  <si>
    <t>資訊資產風險評鑑</t>
    <phoneticPr fontId="1" type="noConversion"/>
  </si>
  <si>
    <t>最大綜合風險</t>
    <phoneticPr fontId="4" type="noConversion"/>
  </si>
  <si>
    <t>資訊資產群組清單
威脅弱點評估表</t>
    <phoneticPr fontId="1" type="noConversion"/>
  </si>
  <si>
    <r>
      <rPr>
        <b/>
        <sz val="12"/>
        <rFont val="微軟正黑體"/>
        <family val="2"/>
        <charset val="136"/>
      </rPr>
      <t>限閱級</t>
    </r>
  </si>
  <si>
    <t>發生機率評估準則</t>
  </si>
  <si>
    <t>機率</t>
  </si>
  <si>
    <t>幾乎不可能發生</t>
  </si>
  <si>
    <t>很少發生</t>
  </si>
  <si>
    <t>偶爾發生</t>
  </si>
  <si>
    <t>時常發生</t>
  </si>
  <si>
    <t>中</t>
  </si>
  <si>
    <t>高</t>
  </si>
  <si>
    <t>極高</t>
  </si>
  <si>
    <t>計畫代號</t>
    <phoneticPr fontId="1" type="noConversion"/>
  </si>
  <si>
    <t>編號</t>
    <phoneticPr fontId="1" type="noConversion"/>
  </si>
  <si>
    <t>日期</t>
    <phoneticPr fontId="1" type="noConversion"/>
  </si>
  <si>
    <t>可能性(弱點)-事件發生機率評估標準</t>
    <phoneticPr fontId="1" type="noConversion"/>
  </si>
  <si>
    <r>
      <t>1年內可能發生</t>
    </r>
    <r>
      <rPr>
        <sz val="12"/>
        <color rgb="FFFF0000"/>
        <rFont val="微軟正黑體"/>
        <family val="2"/>
        <charset val="136"/>
      </rPr>
      <t>5次~ 7次</t>
    </r>
    <phoneticPr fontId="1" type="noConversion"/>
  </si>
  <si>
    <t>等級</t>
    <phoneticPr fontId="1" type="noConversion"/>
  </si>
  <si>
    <r>
      <t>1年內可能發生</t>
    </r>
    <r>
      <rPr>
        <sz val="12"/>
        <color rgb="FFFF0000"/>
        <rFont val="微軟正黑體"/>
        <family val="2"/>
        <charset val="136"/>
      </rPr>
      <t>1次以下</t>
    </r>
    <phoneticPr fontId="1" type="noConversion"/>
  </si>
  <si>
    <r>
      <t>1年內可能發生</t>
    </r>
    <r>
      <rPr>
        <sz val="12"/>
        <color rgb="FFFF0000"/>
        <rFont val="微軟正黑體"/>
        <family val="2"/>
        <charset val="136"/>
      </rPr>
      <t>2次~ 4次</t>
    </r>
    <phoneticPr fontId="1" type="noConversion"/>
  </si>
  <si>
    <r>
      <t>1年內可能發生</t>
    </r>
    <r>
      <rPr>
        <sz val="12"/>
        <color rgb="FFFF0000"/>
        <rFont val="微軟正黑體"/>
        <family val="2"/>
        <charset val="136"/>
      </rPr>
      <t>8次以上</t>
    </r>
    <phoneticPr fontId="1" type="noConversion"/>
  </si>
  <si>
    <t>衝擊性(威脅)-事件衝擊程度評估標準</t>
    <phoneticPr fontId="1" type="noConversion"/>
  </si>
  <si>
    <t>等級</t>
    <phoneticPr fontId="1" type="noConversion"/>
  </si>
  <si>
    <t>低</t>
    <phoneticPr fontId="1" type="noConversion"/>
  </si>
  <si>
    <r>
      <t>風險發生幾乎</t>
    </r>
    <r>
      <rPr>
        <sz val="12"/>
        <color rgb="FFFF0000"/>
        <rFont val="微軟正黑體"/>
        <family val="2"/>
        <charset val="136"/>
      </rPr>
      <t>不會影響到業務</t>
    </r>
    <r>
      <rPr>
        <sz val="12"/>
        <color theme="1"/>
        <rFont val="微軟正黑體"/>
        <family val="2"/>
        <charset val="136"/>
      </rPr>
      <t xml:space="preserve">
（可以立即完成復原）</t>
    </r>
    <phoneticPr fontId="1" type="noConversion"/>
  </si>
  <si>
    <t>資產概述</t>
    <phoneticPr fontId="4" type="noConversion"/>
  </si>
  <si>
    <t>資產名稱</t>
    <phoneticPr fontId="4" type="noConversion"/>
  </si>
  <si>
    <t>資產說明</t>
    <phoneticPr fontId="4" type="noConversion"/>
  </si>
  <si>
    <t>位置</t>
    <phoneticPr fontId="4" type="noConversion"/>
  </si>
  <si>
    <t>數量</t>
    <phoneticPr fontId="4" type="noConversion"/>
  </si>
  <si>
    <t>負責人</t>
    <phoneticPr fontId="4" type="noConversion"/>
  </si>
  <si>
    <t>C</t>
    <phoneticPr fontId="4" type="noConversion"/>
  </si>
  <si>
    <t>理由</t>
    <phoneticPr fontId="4" type="noConversion"/>
  </si>
  <si>
    <t>I</t>
    <phoneticPr fontId="4" type="noConversion"/>
  </si>
  <si>
    <t>理由</t>
    <phoneticPr fontId="4" type="noConversion"/>
  </si>
  <si>
    <t>A</t>
    <phoneticPr fontId="4" type="noConversion"/>
  </si>
  <si>
    <t>Law</t>
    <phoneticPr fontId="4" type="noConversion"/>
  </si>
  <si>
    <t>理由</t>
    <phoneticPr fontId="4" type="noConversion"/>
  </si>
  <si>
    <t>資產
價值</t>
    <phoneticPr fontId="4" type="noConversion"/>
  </si>
  <si>
    <t>評鑑
人員</t>
    <phoneticPr fontId="4" type="noConversion"/>
  </si>
  <si>
    <t>資產價值評鑑</t>
    <phoneticPr fontId="4" type="noConversion"/>
  </si>
  <si>
    <t>資產類別
編號</t>
    <phoneticPr fontId="4" type="noConversion"/>
  </si>
  <si>
    <t>C：</t>
    <phoneticPr fontId="4" type="noConversion"/>
  </si>
  <si>
    <t>I：</t>
    <phoneticPr fontId="4" type="noConversion"/>
  </si>
  <si>
    <t>A：</t>
    <phoneticPr fontId="4" type="noConversion"/>
  </si>
  <si>
    <t>L：</t>
    <phoneticPr fontId="4" type="noConversion"/>
  </si>
  <si>
    <t>硬體類(HW)</t>
    <phoneticPr fontId="1" type="noConversion"/>
  </si>
  <si>
    <t>CIA關聯</t>
    <phoneticPr fontId="1" type="noConversion"/>
  </si>
  <si>
    <t>硬體失效</t>
    <phoneticPr fontId="4" type="noConversion"/>
  </si>
  <si>
    <t>A</t>
    <phoneticPr fontId="1" type="noConversion"/>
  </si>
  <si>
    <t>未經授權存取</t>
    <phoneticPr fontId="4" type="noConversion"/>
  </si>
  <si>
    <t>C</t>
    <phoneticPr fontId="1" type="noConversion"/>
  </si>
  <si>
    <t>服務效能低落</t>
    <phoneticPr fontId="4" type="noConversion"/>
  </si>
  <si>
    <t>委託第三方之風險：廠商服務水準低落或履約狀況不佳</t>
    <phoneticPr fontId="1" type="noConversion"/>
  </si>
  <si>
    <t>委託第三方之風險：惡性倒閉/服務中斷或終止</t>
    <phoneticPr fontId="1" type="noConversion"/>
  </si>
  <si>
    <t>委託第三方之風險：廠商將資料外洩</t>
    <phoneticPr fontId="1" type="noConversion"/>
  </si>
  <si>
    <t>其他威脅</t>
  </si>
  <si>
    <t>價值</t>
  </si>
  <si>
    <t>機密性( C )-評估標準說明</t>
    <phoneticPr fontId="1" type="noConversion"/>
  </si>
  <si>
    <r>
      <rPr>
        <sz val="12"/>
        <color rgb="FFFF0000"/>
        <rFont val="微軟正黑體"/>
        <family val="2"/>
        <charset val="136"/>
      </rPr>
      <t>限閱</t>
    </r>
    <r>
      <rPr>
        <sz val="12"/>
        <color theme="1"/>
        <rFont val="微軟正黑體"/>
        <family val="2"/>
        <charset val="136"/>
      </rPr>
      <t>︰此資訊資產所包含資訊敏感且有特殊之機密性要求，僅限組織內部存取</t>
    </r>
    <phoneticPr fontId="1" type="noConversion"/>
  </si>
  <si>
    <r>
      <rPr>
        <sz val="12"/>
        <color rgb="FFFF0000"/>
        <rFont val="微軟正黑體"/>
        <family val="2"/>
        <charset val="136"/>
      </rPr>
      <t>密</t>
    </r>
    <r>
      <rPr>
        <sz val="12"/>
        <color theme="1"/>
        <rFont val="微軟正黑體"/>
        <family val="2"/>
        <charset val="136"/>
      </rPr>
      <t>︰此資訊資產所包含資訊不當揭露會對本組織營運造成顯著影響，限定特定、業務範圍人員讀取</t>
    </r>
    <phoneticPr fontId="1" type="noConversion"/>
  </si>
  <si>
    <r>
      <rPr>
        <sz val="12"/>
        <color rgb="FFFF0000"/>
        <rFont val="微軟正黑體"/>
        <family val="2"/>
        <charset val="136"/>
      </rPr>
      <t>機密</t>
    </r>
    <r>
      <rPr>
        <sz val="12"/>
        <color theme="1"/>
        <rFont val="微軟正黑體"/>
        <family val="2"/>
        <charset val="136"/>
      </rPr>
      <t>︰此資訊資產所包含資訊為內部或法律所規範的機密資訊，不當揭露會造成組織嚴重傷害，限定少數特定人員才可讀取</t>
    </r>
    <phoneticPr fontId="1" type="noConversion"/>
  </si>
  <si>
    <t>完整性( I )-評估標準說明</t>
    <phoneticPr fontId="1" type="noConversion"/>
  </si>
  <si>
    <r>
      <rPr>
        <sz val="12"/>
        <color rgb="FFFF0000"/>
        <rFont val="微軟正黑體"/>
        <family val="2"/>
        <charset val="136"/>
      </rPr>
      <t>資訊</t>
    </r>
    <r>
      <rPr>
        <sz val="12"/>
        <color theme="1"/>
        <rFont val="微軟正黑體"/>
        <family val="2"/>
        <charset val="136"/>
      </rPr>
      <t>遭竄改或處理</t>
    </r>
    <r>
      <rPr>
        <sz val="12"/>
        <color rgb="FFFF0000"/>
        <rFont val="微軟正黑體"/>
        <family val="2"/>
        <charset val="136"/>
      </rPr>
      <t>錯誤</t>
    </r>
    <r>
      <rPr>
        <sz val="12"/>
        <color theme="1"/>
        <rFont val="微軟正黑體"/>
        <family val="2"/>
        <charset val="136"/>
      </rPr>
      <t>會對組織造成</t>
    </r>
    <r>
      <rPr>
        <sz val="12"/>
        <color rgb="FFFF0000"/>
        <rFont val="微軟正黑體"/>
        <family val="2"/>
        <charset val="136"/>
      </rPr>
      <t>輕度影響</t>
    </r>
    <phoneticPr fontId="1" type="noConversion"/>
  </si>
  <si>
    <r>
      <rPr>
        <sz val="12"/>
        <color rgb="FFFF0000"/>
        <rFont val="微軟正黑體"/>
        <family val="2"/>
        <charset val="136"/>
      </rPr>
      <t>資訊</t>
    </r>
    <r>
      <rPr>
        <sz val="12"/>
        <color theme="1"/>
        <rFont val="微軟正黑體"/>
        <family val="2"/>
        <charset val="136"/>
      </rPr>
      <t>遭竄改或處理</t>
    </r>
    <r>
      <rPr>
        <sz val="12"/>
        <color rgb="FFFF0000"/>
        <rFont val="微軟正黑體"/>
        <family val="2"/>
        <charset val="136"/>
      </rPr>
      <t>錯誤</t>
    </r>
    <r>
      <rPr>
        <sz val="12"/>
        <color theme="1"/>
        <rFont val="微軟正黑體"/>
        <family val="2"/>
        <charset val="136"/>
      </rPr>
      <t>會對組織造成</t>
    </r>
    <r>
      <rPr>
        <sz val="12"/>
        <color rgb="FFFF0000"/>
        <rFont val="微軟正黑體"/>
        <family val="2"/>
        <charset val="136"/>
      </rPr>
      <t>中度影響</t>
    </r>
    <phoneticPr fontId="1" type="noConversion"/>
  </si>
  <si>
    <r>
      <rPr>
        <sz val="12"/>
        <color rgb="FFFF0000"/>
        <rFont val="微軟正黑體"/>
        <family val="2"/>
        <charset val="136"/>
      </rPr>
      <t>資訊</t>
    </r>
    <r>
      <rPr>
        <sz val="12"/>
        <color theme="1"/>
        <rFont val="微軟正黑體"/>
        <family val="2"/>
        <charset val="136"/>
      </rPr>
      <t>遭竄改或處理錯誤會對組織造成</t>
    </r>
    <r>
      <rPr>
        <sz val="12"/>
        <color rgb="FFFF0000"/>
        <rFont val="微軟正黑體"/>
        <family val="2"/>
        <charset val="136"/>
      </rPr>
      <t>重度影響</t>
    </r>
    <phoneticPr fontId="1" type="noConversion"/>
  </si>
  <si>
    <r>
      <rPr>
        <sz val="12"/>
        <color rgb="FFFF0000"/>
        <rFont val="微軟正黑體"/>
        <family val="2"/>
        <charset val="136"/>
      </rPr>
      <t>資訊</t>
    </r>
    <r>
      <rPr>
        <sz val="12"/>
        <color theme="1"/>
        <rFont val="微軟正黑體"/>
        <family val="2"/>
        <charset val="136"/>
      </rPr>
      <t>遭竄改或處理</t>
    </r>
    <r>
      <rPr>
        <sz val="12"/>
        <color rgb="FFFF0000"/>
        <rFont val="微軟正黑體"/>
        <family val="2"/>
        <charset val="136"/>
      </rPr>
      <t>錯誤</t>
    </r>
    <r>
      <rPr>
        <sz val="12"/>
        <color theme="1"/>
        <rFont val="微軟正黑體"/>
        <family val="2"/>
        <charset val="136"/>
      </rPr>
      <t>會對組織造成</t>
    </r>
    <r>
      <rPr>
        <sz val="12"/>
        <color rgb="FFFF0000"/>
        <rFont val="微軟正黑體"/>
        <family val="2"/>
        <charset val="136"/>
      </rPr>
      <t>極為嚴重影響</t>
    </r>
    <r>
      <rPr>
        <sz val="12"/>
        <color theme="1"/>
        <rFont val="微軟正黑體"/>
        <family val="2"/>
        <charset val="136"/>
      </rPr>
      <t>，可能會造成</t>
    </r>
    <r>
      <rPr>
        <sz val="12"/>
        <color rgb="FFFF0000"/>
        <rFont val="微軟正黑體"/>
        <family val="2"/>
        <charset val="136"/>
      </rPr>
      <t>業務終止</t>
    </r>
    <phoneticPr fontId="1" type="noConversion"/>
  </si>
  <si>
    <t>可用性( A )-評估標準說明</t>
    <phoneticPr fontId="1" type="noConversion"/>
  </si>
  <si>
    <r>
      <t>該資訊資產</t>
    </r>
    <r>
      <rPr>
        <sz val="12"/>
        <color rgb="FFFF0000"/>
        <rFont val="微軟正黑體"/>
        <family val="2"/>
        <charset val="136"/>
      </rPr>
      <t>容許失效1天</t>
    </r>
    <r>
      <rPr>
        <sz val="12"/>
        <color theme="1"/>
        <rFont val="微軟正黑體"/>
        <family val="2"/>
        <charset val="136"/>
      </rPr>
      <t>以上，不用被修復或是尋找替代品</t>
    </r>
    <phoneticPr fontId="1" type="noConversion"/>
  </si>
  <si>
    <r>
      <t>該資訊資產</t>
    </r>
    <r>
      <rPr>
        <sz val="12"/>
        <color rgb="FFFF0000"/>
        <rFont val="微軟正黑體"/>
        <family val="2"/>
        <charset val="136"/>
      </rPr>
      <t>容許失效4小時(半天)以上，1天以下</t>
    </r>
    <r>
      <rPr>
        <sz val="12"/>
        <color theme="1"/>
        <rFont val="微軟正黑體"/>
        <family val="2"/>
        <charset val="136"/>
      </rPr>
      <t>，不用被修復或是尋找替代品</t>
    </r>
    <phoneticPr fontId="1" type="noConversion"/>
  </si>
  <si>
    <r>
      <t>該資訊資產</t>
    </r>
    <r>
      <rPr>
        <sz val="12"/>
        <color rgb="FFFF0000"/>
        <rFont val="微軟正黑體"/>
        <family val="2"/>
        <charset val="136"/>
      </rPr>
      <t>容許失效60分鐘(1小時)以上，4小時以下</t>
    </r>
    <r>
      <rPr>
        <sz val="12"/>
        <color theme="1"/>
        <rFont val="微軟正黑體"/>
        <family val="2"/>
        <charset val="136"/>
      </rPr>
      <t>，不用被修復或是尋找替代品</t>
    </r>
    <phoneticPr fontId="1" type="noConversion"/>
  </si>
  <si>
    <r>
      <t>該資訊資產</t>
    </r>
    <r>
      <rPr>
        <sz val="12"/>
        <color rgb="FFFF0000"/>
        <rFont val="微軟正黑體"/>
        <family val="2"/>
        <charset val="136"/>
      </rPr>
      <t>容許失效60分鐘內</t>
    </r>
    <r>
      <rPr>
        <sz val="12"/>
        <color theme="1"/>
        <rFont val="微軟正黑體"/>
        <family val="2"/>
        <charset val="136"/>
      </rPr>
      <t>，不用被修復或是尋找替代品</t>
    </r>
    <phoneticPr fontId="1" type="noConversion"/>
  </si>
  <si>
    <t>人員可用性( A )-評估標準說明</t>
    <phoneticPr fontId="1" type="noConversion"/>
  </si>
  <si>
    <r>
      <t>低：人員負責/接觸的業務，</t>
    </r>
    <r>
      <rPr>
        <sz val="12"/>
        <color rgb="FFFF0000"/>
        <rFont val="微軟正黑體"/>
        <family val="2"/>
        <charset val="136"/>
      </rPr>
      <t>不會</t>
    </r>
    <r>
      <rPr>
        <sz val="12"/>
        <color theme="1"/>
        <rFont val="微軟正黑體"/>
        <family val="2"/>
        <charset val="136"/>
      </rPr>
      <t>因為休假或缺乏代理人等因素而</t>
    </r>
    <r>
      <rPr>
        <sz val="12"/>
        <color rgb="FFFF0000"/>
        <rFont val="微軟正黑體"/>
        <family val="2"/>
        <charset val="136"/>
      </rPr>
      <t>影響業務</t>
    </r>
    <r>
      <rPr>
        <sz val="12"/>
        <color theme="1"/>
        <rFont val="微軟正黑體"/>
        <family val="2"/>
        <charset val="136"/>
      </rPr>
      <t>之執行</t>
    </r>
    <phoneticPr fontId="1" type="noConversion"/>
  </si>
  <si>
    <r>
      <t>中：人員負責/接觸的業務，</t>
    </r>
    <r>
      <rPr>
        <sz val="12"/>
        <color rgb="FFFF0000"/>
        <rFont val="微軟正黑體"/>
        <family val="2"/>
        <charset val="136"/>
      </rPr>
      <t>可能會</t>
    </r>
    <r>
      <rPr>
        <sz val="12"/>
        <color theme="1"/>
        <rFont val="微軟正黑體"/>
        <family val="2"/>
        <charset val="136"/>
      </rPr>
      <t>因為休假或缺乏代理人等因素而</t>
    </r>
    <r>
      <rPr>
        <sz val="12"/>
        <color rgb="FFFF0000"/>
        <rFont val="微軟正黑體"/>
        <family val="2"/>
        <charset val="136"/>
      </rPr>
      <t>影響業務</t>
    </r>
    <r>
      <rPr>
        <sz val="12"/>
        <color theme="1"/>
        <rFont val="微軟正黑體"/>
        <family val="2"/>
        <charset val="136"/>
      </rPr>
      <t>之執行</t>
    </r>
    <phoneticPr fontId="1" type="noConversion"/>
  </si>
  <si>
    <r>
      <t>高：人員負責/接觸的業務，因為休假或缺乏代理人等因素對業務執行</t>
    </r>
    <r>
      <rPr>
        <sz val="12"/>
        <color rgb="FFFF0000"/>
        <rFont val="微軟正黑體"/>
        <family val="2"/>
        <charset val="136"/>
      </rPr>
      <t>影響較高</t>
    </r>
    <phoneticPr fontId="1" type="noConversion"/>
  </si>
  <si>
    <r>
      <t>極高：人員負責/接觸的業務，會因為休假或缺乏代理人等因素對業務執行</t>
    </r>
    <r>
      <rPr>
        <sz val="12"/>
        <color rgb="FFFF0000"/>
        <rFont val="微軟正黑體"/>
        <family val="2"/>
        <charset val="136"/>
      </rPr>
      <t>影響極高</t>
    </r>
    <phoneticPr fontId="1" type="noConversion"/>
  </si>
  <si>
    <t>法令/合約( L )-評估標準說明</t>
    <phoneticPr fontId="1" type="noConversion"/>
  </si>
  <si>
    <r>
      <t>重大影響，對單位(部門)</t>
    </r>
    <r>
      <rPr>
        <sz val="12"/>
        <color rgb="FFFF0000"/>
        <rFont val="微軟正黑體"/>
        <family val="2"/>
        <charset val="136"/>
      </rPr>
      <t>工研院</t>
    </r>
    <r>
      <rPr>
        <sz val="12"/>
        <color theme="1"/>
        <rFont val="微軟正黑體"/>
        <family val="2"/>
        <charset val="136"/>
      </rPr>
      <t>造成相當大損害</t>
    </r>
    <phoneticPr fontId="1" type="noConversion"/>
  </si>
  <si>
    <r>
      <t>不可承受的影響，對全組織</t>
    </r>
    <r>
      <rPr>
        <sz val="12"/>
        <color rgb="FFFF0000"/>
        <rFont val="微軟正黑體"/>
        <family val="2"/>
        <charset val="136"/>
      </rPr>
      <t>能源局</t>
    </r>
    <r>
      <rPr>
        <sz val="12"/>
        <color theme="1"/>
        <rFont val="微軟正黑體"/>
        <family val="2"/>
        <charset val="136"/>
      </rPr>
      <t>造成相當大損害</t>
    </r>
    <phoneticPr fontId="1" type="noConversion"/>
  </si>
  <si>
    <t>價值評鑑</t>
    <phoneticPr fontId="1" type="noConversion"/>
  </si>
  <si>
    <t>威脅弱點評估</t>
    <phoneticPr fontId="1" type="noConversion"/>
  </si>
  <si>
    <r>
      <rPr>
        <sz val="12"/>
        <color rgb="FFFF0000"/>
        <rFont val="微軟正黑體"/>
        <family val="2"/>
        <charset val="136"/>
      </rPr>
      <t>一般</t>
    </r>
    <r>
      <rPr>
        <sz val="12"/>
        <color theme="1"/>
        <rFont val="微軟正黑體"/>
        <family val="2"/>
        <charset val="136"/>
      </rPr>
      <t>︰此資訊資產被揭露不會對本組織造成任何影響</t>
    </r>
    <phoneticPr fontId="1" type="noConversion"/>
  </si>
  <si>
    <r>
      <t>風險發生可能</t>
    </r>
    <r>
      <rPr>
        <sz val="12"/>
        <color rgb="FFFF0000"/>
        <rFont val="微軟正黑體"/>
        <family val="2"/>
        <charset val="136"/>
      </rPr>
      <t>造成業務暫停</t>
    </r>
    <r>
      <rPr>
        <sz val="12"/>
        <color theme="1"/>
        <rFont val="微軟正黑體"/>
        <family val="2"/>
        <charset val="136"/>
      </rPr>
      <t xml:space="preserve">
</t>
    </r>
    <r>
      <rPr>
        <sz val="10"/>
        <color theme="1"/>
        <rFont val="微軟正黑體"/>
        <family val="2"/>
        <charset val="136"/>
      </rPr>
      <t>（對於本中心整體業務執行影響不大、造成的損失可能僅影響單一業務或系統、損失可能影響僅個人或少數幾人、可以由個人進行復原、修復或進行復原的措施可以在8hrs內完成）</t>
    </r>
    <phoneticPr fontId="1" type="noConversion"/>
  </si>
  <si>
    <r>
      <t>風險發生可能</t>
    </r>
    <r>
      <rPr>
        <sz val="12"/>
        <color rgb="FFFF0000"/>
        <rFont val="微軟正黑體"/>
        <family val="2"/>
        <charset val="136"/>
      </rPr>
      <t>造成業務中斷</t>
    </r>
    <r>
      <rPr>
        <sz val="12"/>
        <color theme="1"/>
        <rFont val="微軟正黑體"/>
        <family val="2"/>
        <charset val="136"/>
      </rPr>
      <t xml:space="preserve">
</t>
    </r>
    <r>
      <rPr>
        <sz val="10"/>
        <color theme="1"/>
        <rFont val="微軟正黑體"/>
        <family val="2"/>
        <charset val="136"/>
      </rPr>
      <t>（風險處理不當可能對本中心形象或校譽造成損害、造成的損害可能影響全校、系統或相關服務停頓或癱瘓,業務無法運作、復原的措施僅能由特定專業人員才能進行或修復人員不易取得、復原無法於4hrs內完成、可能造成人員傷亡）</t>
    </r>
    <phoneticPr fontId="1" type="noConversion"/>
  </si>
  <si>
    <r>
      <t>風險發生</t>
    </r>
    <r>
      <rPr>
        <sz val="12"/>
        <color rgb="FFFF0000"/>
        <rFont val="微軟正黑體"/>
        <family val="2"/>
        <charset val="136"/>
      </rPr>
      <t>可能影響到業務</t>
    </r>
    <r>
      <rPr>
        <sz val="12"/>
        <color theme="1"/>
        <rFont val="微軟正黑體"/>
        <family val="2"/>
        <charset val="136"/>
      </rPr>
      <t xml:space="preserve">
</t>
    </r>
    <r>
      <rPr>
        <sz val="10"/>
        <color theme="1"/>
        <rFont val="微軟正黑體"/>
        <family val="2"/>
        <charset val="136"/>
      </rPr>
      <t>（可以立即完成復原，但若持續發生且次數頻繁,對業務執行可能帶來潛在風險）</t>
    </r>
    <phoneticPr fontId="1" type="noConversion"/>
  </si>
  <si>
    <t>H&amp;I欄不可移動</t>
    <phoneticPr fontId="1" type="noConversion"/>
  </si>
  <si>
    <t>Y</t>
  </si>
  <si>
    <t>硬體失效</t>
    <phoneticPr fontId="1" type="noConversion"/>
  </si>
  <si>
    <t>變更未依流程進行(如：事後補單，忘記填單，口頭接收需求，事先規劃不足，測試不足…)</t>
    <phoneticPr fontId="1" type="noConversion"/>
  </si>
  <si>
    <t>缺乏有效備援機制</t>
    <phoneticPr fontId="1" type="noConversion"/>
  </si>
  <si>
    <t>未授權者可自由進出，未被管制</t>
    <phoneticPr fontId="1" type="noConversion"/>
  </si>
  <si>
    <t>未經授權存取</t>
    <phoneticPr fontId="1" type="noConversion"/>
  </si>
  <si>
    <t>存取權限授與不當</t>
  </si>
  <si>
    <t>環境/區域的安全門禁管制不足或未落實</t>
    <phoneticPr fontId="1" type="noConversion"/>
  </si>
  <si>
    <t>建築物、房間的物質進出控制的不足或不小心使用</t>
  </si>
  <si>
    <t>密碼長度、複雜度，更新期限不足</t>
    <phoneticPr fontId="1" type="noConversion"/>
  </si>
  <si>
    <t>缺少密碼管理</t>
  </si>
  <si>
    <t>最高權限之密碼保護不足(知悉的人太多，沒有定期變更)</t>
    <phoneticPr fontId="1" type="noConversion"/>
  </si>
  <si>
    <t>人員安全意識不足</t>
  </si>
  <si>
    <t>log資訊不足，無法查證管理者與操作者行為</t>
    <phoneticPr fontId="1" type="noConversion"/>
  </si>
  <si>
    <t>設備或資源不足</t>
    <phoneticPr fontId="1" type="noConversion"/>
  </si>
  <si>
    <t>設備不足</t>
  </si>
  <si>
    <t>合約訂定不清，如：未包括服務水準要求，轉包要求及相關資安條款</t>
    <phoneticPr fontId="1" type="noConversion"/>
  </si>
  <si>
    <t>缺乏監督廠商之措施與機制</t>
    <phoneticPr fontId="1" type="noConversion"/>
  </si>
  <si>
    <t>簽約前未檢視或驗證廠商履約能力及廠商是否具合約要求之控管機制</t>
    <phoneticPr fontId="1" type="noConversion"/>
  </si>
  <si>
    <t>缺乏替代方案 (如：備份或備援或其他供應商替代方案)</t>
    <phoneticPr fontId="1" type="noConversion"/>
  </si>
  <si>
    <t>合約未列保護性條款(資安、智財權、個資法)</t>
    <phoneticPr fontId="1" type="noConversion"/>
  </si>
  <si>
    <t>缺乏監督廠商之措施與機制</t>
    <phoneticPr fontId="4" type="noConversion"/>
  </si>
  <si>
    <t>其他弱點</t>
    <phoneticPr fontId="4" type="noConversion"/>
  </si>
  <si>
    <t>N</t>
  </si>
  <si>
    <t>工業技術研究院機密資料 禁止複製、轉載、外流ITRI CONFIDENTIAL DOCUMENT DO NOT COPY OR DISTRIBUTE</t>
    <phoneticPr fontId="1" type="noConversion"/>
  </si>
  <si>
    <t>吳榮正</t>
    <phoneticPr fontId="1" type="noConversion"/>
  </si>
  <si>
    <t>石油與天然氣輸儲查核與檢測雲端平台</t>
    <phoneticPr fontId="1" type="noConversion"/>
  </si>
  <si>
    <t>材1-1</t>
    <phoneticPr fontId="1" type="noConversion"/>
  </si>
  <si>
    <t>材1-1-HW-01</t>
    <phoneticPr fontId="1" type="noConversion"/>
  </si>
  <si>
    <t>材1-1-HW-02</t>
    <phoneticPr fontId="1" type="noConversion"/>
  </si>
  <si>
    <t>材1-1-HW-03</t>
    <phoneticPr fontId="1" type="noConversion"/>
  </si>
  <si>
    <t>材1-1-HW-04</t>
    <phoneticPr fontId="1" type="noConversion"/>
  </si>
  <si>
    <t>材1-1-HW-05</t>
    <phoneticPr fontId="1" type="noConversion"/>
  </si>
  <si>
    <t>系統WEB存放空間，資訊處代管。</t>
    <phoneticPr fontId="1" type="noConversion"/>
  </si>
  <si>
    <t>中興院區51館213機房</t>
    <phoneticPr fontId="1" type="noConversion"/>
  </si>
  <si>
    <t>個資</t>
  </si>
  <si>
    <t>依網站的完整性評估</t>
  </si>
  <si>
    <t>個資法</t>
  </si>
  <si>
    <t>系統DB存放空間，資訊處代管。</t>
    <phoneticPr fontId="1" type="noConversion"/>
  </si>
  <si>
    <t>網站負責人之個人電腦</t>
    <phoneticPr fontId="1" type="noConversion"/>
  </si>
  <si>
    <t>賴斐瓔之個人電腦</t>
    <phoneticPr fontId="1" type="noConversion"/>
  </si>
  <si>
    <t>52館827室</t>
    <phoneticPr fontId="1" type="noConversion"/>
  </si>
  <si>
    <t>賴斐瓔 </t>
    <phoneticPr fontId="1" type="noConversion"/>
  </si>
  <si>
    <t>計畫成員個人電腦</t>
    <phoneticPr fontId="1" type="noConversion"/>
  </si>
  <si>
    <t>計畫負責人及成員個人電腦</t>
    <phoneticPr fontId="1" type="noConversion"/>
  </si>
  <si>
    <t>52館736室</t>
    <phoneticPr fontId="1" type="noConversion"/>
  </si>
  <si>
    <t>吳榮正</t>
    <phoneticPr fontId="1" type="noConversion"/>
  </si>
  <si>
    <t>委外廠商個人電腦</t>
    <phoneticPr fontId="1" type="noConversion"/>
  </si>
  <si>
    <t>委外廠商-系統開發、資料庫管理人員個人電腦</t>
    <phoneticPr fontId="1" type="noConversion"/>
  </si>
  <si>
    <t>52館325室</t>
    <phoneticPr fontId="1" type="noConversion"/>
  </si>
  <si>
    <t>邵錡鼎</t>
    <phoneticPr fontId="1" type="noConversion"/>
  </si>
  <si>
    <t>材1-1-HW-01</t>
    <phoneticPr fontId="4" type="noConversion"/>
  </si>
  <si>
    <t>材1-1-HW-02</t>
    <phoneticPr fontId="4" type="noConversion"/>
  </si>
  <si>
    <t>材1-1-HW-03</t>
    <phoneticPr fontId="4" type="noConversion"/>
  </si>
  <si>
    <t>材1-1-HW-04</t>
    <phoneticPr fontId="4" type="noConversion"/>
  </si>
  <si>
    <t>材1-1-HW-05</t>
    <phoneticPr fontId="4" type="noConversion"/>
  </si>
  <si>
    <t>資訊處依iso程序規範進行日常維運</t>
  </si>
  <si>
    <t>網站可用性需求本身不高</t>
  </si>
  <si>
    <t>資訊處依變更管理程序進行相關作業</t>
  </si>
  <si>
    <t>vm；但針對網站無異地備援機制</t>
  </si>
  <si>
    <t>資訊處依iso程序規範進行存取控制</t>
  </si>
  <si>
    <t>無機密，影響性不高</t>
  </si>
  <si>
    <t>機房管制，未授權者無法進入</t>
  </si>
  <si>
    <t>主機pupm機制，os則有密碼強度要求</t>
  </si>
  <si>
    <t>依存取控制相關程序進行管理</t>
  </si>
  <si>
    <t>基本event log, incident log皆有開啟</t>
  </si>
  <si>
    <t>資訊處會做硬體耗損控管</t>
  </si>
  <si>
    <t>可用性需求不高，只是效能低落還可以使用</t>
  </si>
  <si>
    <t>資訊處自行維運</t>
  </si>
  <si>
    <t>可以其他電腦暫代</t>
  </si>
  <si>
    <t>網站資料可由網站取得</t>
  </si>
  <si>
    <t>門禁控管</t>
  </si>
  <si>
    <t>個人電腦密碼原則上不提供給他人</t>
  </si>
  <si>
    <t>可以其他電腦暫代
使用年數: 4年</t>
    <phoneticPr fontId="1" type="noConversion"/>
  </si>
  <si>
    <t>作業上略有不便</t>
  </si>
  <si>
    <t>電腦無儲存個資，只有計畫相關資料</t>
  </si>
  <si>
    <t>內部IT人員維護</t>
    <phoneticPr fontId="1" type="noConversion"/>
  </si>
  <si>
    <t>有備援NB</t>
    <phoneticPr fontId="1" type="noConversion"/>
  </si>
  <si>
    <t>有密碼強度規定</t>
    <phoneticPr fontId="1" type="noConversion"/>
  </si>
  <si>
    <t>未遵循法令法規或合約要求</t>
    <phoneticPr fontId="1" type="noConversion"/>
  </si>
  <si>
    <t>未落實法令法規或合約之硬體安全防護或不足</t>
    <phoneticPr fontId="1" type="noConversion"/>
  </si>
  <si>
    <t>已遵循法令法規或合約要求</t>
    <phoneticPr fontId="1" type="noConversion"/>
  </si>
  <si>
    <t>持續落實法令法規或合約之硬體安全防護要求</t>
    <phoneticPr fontId="1" type="noConversion"/>
  </si>
  <si>
    <t>依網站可用性評估
MTPD:24H</t>
    <phoneticPr fontId="1" type="noConversion"/>
  </si>
  <si>
    <t>本院有18899工程師進行維護</t>
    <phoneticPr fontId="4" type="noConversion"/>
  </si>
  <si>
    <t>可改用NB或臨時借用電腦(18899臨櫃)</t>
    <phoneticPr fontId="4" type="noConversion"/>
  </si>
  <si>
    <t>24小時門禁管理</t>
    <phoneticPr fontId="4" type="noConversion"/>
  </si>
  <si>
    <t>個人電腦只供個人使用，不提供給其他人</t>
    <phoneticPr fontId="4" type="noConversion"/>
  </si>
  <si>
    <t>連線到系統，會有log</t>
    <phoneticPr fontId="4" type="noConversion"/>
  </si>
  <si>
    <t>依組織預算編列來評估是否增加設備資源</t>
    <phoneticPr fontId="4" type="noConversion"/>
  </si>
  <si>
    <t>18899客服工程師皆有合約管理</t>
    <phoneticPr fontId="4" type="noConversion"/>
  </si>
  <si>
    <t>業者管線資料</t>
    <phoneticPr fontId="1" type="noConversion"/>
  </si>
  <si>
    <t>沒有作好維護的工作 / 錯誤安裝 / 未修補hotfix, patch / 未安裝防毒軟體或未定期更新 / 未進行WINDOWS UPDATE</t>
    <phoneticPr fontId="1" type="noConversion"/>
  </si>
  <si>
    <t>未落實網站韌性強化措施之要求
如:有使用大陸廠牌設備</t>
    <phoneticPr fontId="1" type="noConversion"/>
  </si>
  <si>
    <t>資訊處已遵循法令法規或合約要求</t>
    <phoneticPr fontId="1" type="noConversion"/>
  </si>
  <si>
    <t>未落實機房整併之要求</t>
    <phoneticPr fontId="1" type="noConversion"/>
  </si>
  <si>
    <t>112/5/5</t>
    <phoneticPr fontId="1" type="noConversion"/>
  </si>
  <si>
    <t>設定8碼，大小寫數字特殊字元，並且需要定期變更</t>
    <phoneticPr fontId="4" type="noConversion"/>
  </si>
  <si>
    <t>石油與天然氣輸儲查核與檢測雲端平台-WEB SERVER</t>
    <phoneticPr fontId="1" type="noConversion"/>
  </si>
  <si>
    <t>石油與天然氣輸儲查核與檢測雲端平台-DB SERVER</t>
    <phoneticPr fontId="1" type="noConversion"/>
  </si>
  <si>
    <t>113/3/19</t>
    <phoneticPr fontId="1" type="noConversion"/>
  </si>
  <si>
    <t>劉莉晶</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</si>
</sst>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1">
    <font>
      <sz val="12"/>
      <color theme="1"/>
      <name val="新細明體"/>
      <family val="2"/>
      <charset val="136"/>
      <scheme val="minor"/>
    </font>
    <font>
      <sz val="9"/>
      <name val="新細明體"/>
      <family val="2"/>
      <charset val="136"/>
      <scheme val="minor"/>
    </font>
    <font>
      <sz val="12"/>
      <name val="微軟正黑體"/>
      <family val="2"/>
      <charset val="136"/>
    </font>
    <font>
      <b/>
      <sz val="12"/>
      <name val="微軟正黑體"/>
      <family val="2"/>
      <charset val="136"/>
    </font>
    <font>
      <sz val="9"/>
      <name val="新細明體"/>
      <family val="1"/>
      <charset val="136"/>
    </font>
    <font>
      <sz val="12"/>
      <name val="新細明體"/>
      <family val="1"/>
      <charset val="136"/>
    </font>
    <font>
      <sz val="12"/>
      <color theme="1"/>
      <name val="微軟正黑體"/>
      <family val="2"/>
      <charset val="136"/>
    </font>
    <font>
      <sz val="24"/>
      <color theme="1" tint="0.14999847407452621"/>
      <name val="微軟正黑體"/>
      <family val="2"/>
      <charset val="136"/>
    </font>
    <font>
      <sz val="28"/>
      <color theme="0"/>
      <name val="微軟正黑體"/>
      <family val="2"/>
      <charset val="136"/>
    </font>
    <font>
      <sz val="12"/>
      <color rgb="FFFF0000"/>
      <name val="微軟正黑體"/>
      <family val="2"/>
      <charset val="136"/>
    </font>
    <font>
      <sz val="12"/>
      <color indexed="8"/>
      <name val="微軟正黑體"/>
      <family val="2"/>
      <charset val="136"/>
    </font>
    <font>
      <sz val="18"/>
      <color indexed="8"/>
      <name val="微軟正黑體"/>
      <family val="2"/>
      <charset val="136"/>
    </font>
    <font>
      <sz val="9"/>
      <color indexed="8"/>
      <name val="微軟正黑體"/>
      <family val="2"/>
      <charset val="136"/>
    </font>
    <font>
      <sz val="12"/>
      <color indexed="8"/>
      <name val="新細明體"/>
      <family val="1"/>
      <charset val="136"/>
    </font>
    <font>
      <sz val="28"/>
      <color rgb="FFFEC636"/>
      <name val="微軟正黑體"/>
      <family val="2"/>
      <charset val="136"/>
    </font>
    <font>
      <b/>
      <sz val="12"/>
      <name val="Calibri"/>
      <family val="2"/>
    </font>
    <font>
      <b/>
      <sz val="12"/>
      <color indexed="8"/>
      <name val="微軟正黑體"/>
      <family val="2"/>
      <charset val="136"/>
    </font>
    <font>
      <sz val="10"/>
      <color theme="1"/>
      <name val="微軟正黑體"/>
      <family val="2"/>
      <charset val="136"/>
    </font>
    <font>
      <b/>
      <sz val="3"/>
      <name val="微軟正黑體"/>
      <family val="2"/>
      <charset val="136"/>
    </font>
    <font>
      <sz val="3"/>
      <color indexed="8"/>
      <name val="微軟正黑體"/>
      <family val="2"/>
      <charset val="136"/>
    </font>
    <font>
      <sz val="12"/>
      <color rgb="FF000000"/>
      <name val="新細明體"/>
      <family val="1"/>
      <charset val="136"/>
    </font>
    <font>
      <sz val="12"/>
      <color theme="0"/>
      <name val="微軟正黑體"/>
      <family val="2"/>
      <charset val="136"/>
    </font>
    <font>
      <sz val="2"/>
      <color indexed="8"/>
      <name val="微軟正黑體"/>
      <family val="2"/>
      <charset val="136"/>
    </font>
    <font>
      <sz val="12"/>
      <color indexed="9"/>
      <name val="微軟正黑體"/>
      <family val="2"/>
      <charset val="136"/>
    </font>
    <font>
      <sz val="2"/>
      <name val="微軟正黑體"/>
      <family val="2"/>
      <charset val="136"/>
    </font>
    <font>
      <sz val="8"/>
      <color theme="0"/>
      <name val="微軟正黑體"/>
      <family val="2"/>
      <charset val="136"/>
    </font>
    <font>
      <sz val="26"/>
      <color theme="0"/>
      <name val="微軟正黑體"/>
      <family val="2"/>
      <charset val="136"/>
    </font>
    <font>
      <sz val="12"/>
      <color rgb="FF000000"/>
      <name val="微軟正黑體"/>
      <family val="2"/>
      <charset val="136"/>
    </font>
    <font>
      <sz val="9"/>
      <color indexed="81"/>
      <name val="Tahoma"/>
      <family val="2"/>
    </font>
    <font>
      <b/>
      <sz val="9"/>
      <color indexed="81"/>
      <name val="Tahoma"/>
      <family val="2"/>
    </font>
    <font>
      <sz val="9"/>
      <color indexed="81"/>
      <name val="細明體"/>
      <family val="3"/>
      <charset val="136"/>
    </font>
  </fonts>
  <fills count="15">
    <fill>
      <patternFill patternType="none"/>
    </fill>
    <fill>
      <patternFill patternType="gray125"/>
    </fill>
    <fill>
      <patternFill patternType="solid">
        <fgColor theme="0" tint="-4.9989318521683403E-2"/>
        <bgColor indexed="64"/>
      </patternFill>
    </fill>
    <fill>
      <patternFill patternType="solid">
        <fgColor theme="0" tint="-4.9989318521683403E-2"/>
        <bgColor theme="2"/>
      </patternFill>
    </fill>
    <fill>
      <patternFill patternType="solid">
        <fgColor rgb="FF99CCFF"/>
        <bgColor indexed="64"/>
      </patternFill>
    </fill>
    <fill>
      <patternFill patternType="solid">
        <fgColor rgb="FF6699CC"/>
        <bgColor indexed="64"/>
      </patternFill>
    </fill>
    <fill>
      <patternFill patternType="solid">
        <fgColor theme="4"/>
        <bgColor indexed="64"/>
      </patternFill>
    </fill>
    <fill>
      <patternFill patternType="solid">
        <fgColor theme="4" tint="0.79998168889431442"/>
        <bgColor indexed="64"/>
      </patternFill>
    </fill>
    <fill>
      <patternFill patternType="solid">
        <fgColor rgb="FFFFC000"/>
        <bgColor indexed="64"/>
      </patternFill>
    </fill>
    <fill>
      <patternFill patternType="solid">
        <fgColor rgb="FFFF614C"/>
        <bgColor indexed="64"/>
      </patternFill>
    </fill>
    <fill>
      <patternFill patternType="solid">
        <fgColor rgb="FF003366"/>
        <bgColor indexed="64"/>
      </patternFill>
    </fill>
    <fill>
      <patternFill patternType="solid">
        <fgColor theme="4" tint="0.39997558519241921"/>
        <bgColor indexed="64"/>
      </patternFill>
    </fill>
    <fill>
      <patternFill patternType="solid">
        <fgColor rgb="FFFF0000"/>
        <bgColor indexed="64"/>
      </patternFill>
    </fill>
    <fill>
      <patternFill patternType="solid">
        <fgColor rgb="FFFFFF00"/>
        <bgColor theme="2"/>
      </patternFill>
    </fill>
    <fill>
      <patternFill patternType="solid">
        <fgColor rgb="FFFFFF00"/>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style="thin">
        <color indexed="64"/>
      </bottom>
      <diagonal/>
    </border>
    <border>
      <left/>
      <right/>
      <top/>
      <bottom style="thin">
        <color indexed="64"/>
      </bottom>
      <diagonal/>
    </border>
    <border>
      <left style="medium">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style="dotted">
        <color indexed="64"/>
      </right>
      <top/>
      <bottom/>
      <diagonal/>
    </border>
    <border>
      <left style="medium">
        <color indexed="64"/>
      </left>
      <right style="thin">
        <color indexed="64"/>
      </right>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s>
  <cellStyleXfs count="8">
    <xf numFmtId="0" fontId="0" fillId="0" borderId="0">
      <alignment vertical="center"/>
    </xf>
    <xf numFmtId="0" fontId="5" fillId="0" borderId="0">
      <alignment vertical="center"/>
    </xf>
    <xf numFmtId="0" fontId="5" fillId="0" borderId="0"/>
    <xf numFmtId="0" fontId="5" fillId="0" borderId="0">
      <alignment vertical="center"/>
    </xf>
    <xf numFmtId="0" fontId="13" fillId="0" borderId="0">
      <alignment vertical="center"/>
    </xf>
    <xf numFmtId="0" fontId="5" fillId="0" borderId="0">
      <alignment vertical="center"/>
    </xf>
    <xf numFmtId="0" fontId="5" fillId="0" borderId="0">
      <alignment vertical="center"/>
    </xf>
    <xf numFmtId="0" fontId="5" fillId="0" borderId="0"/>
  </cellStyleXfs>
  <cellXfs count="185">
    <xf numFmtId="0" fontId="0" fillId="0" borderId="0" xfId="0">
      <alignment vertical="center"/>
    </xf>
    <xf numFmtId="0" fontId="3" fillId="3" borderId="1" xfId="0" applyFont="1" applyFill="1" applyBorder="1" applyAlignment="1">
      <alignment vertical="center" wrapText="1"/>
    </xf>
    <xf numFmtId="0" fontId="6" fillId="0" borderId="0" xfId="0" applyFont="1" applyAlignment="1">
      <alignment horizontal="center" vertical="center"/>
    </xf>
    <xf numFmtId="0" fontId="2" fillId="0" borderId="0" xfId="0" applyFont="1" applyAlignment="1">
      <alignment horizontal="center" vertical="center"/>
    </xf>
    <xf numFmtId="49" fontId="2" fillId="0" borderId="0" xfId="0" applyNumberFormat="1" applyFont="1" applyAlignment="1">
      <alignment horizontal="center" vertical="center" wrapText="1"/>
    </xf>
    <xf numFmtId="0" fontId="6" fillId="2" borderId="0" xfId="0" applyFont="1" applyFill="1">
      <alignment vertical="center"/>
    </xf>
    <xf numFmtId="0" fontId="10" fillId="0" borderId="0" xfId="3" applyFont="1" applyAlignment="1" applyProtection="1">
      <alignment vertical="center" wrapText="1"/>
      <protection locked="0"/>
    </xf>
    <xf numFmtId="0" fontId="12" fillId="0" borderId="0" xfId="3" applyFont="1" applyAlignment="1" applyProtection="1">
      <alignment vertical="center" wrapText="1"/>
      <protection locked="0"/>
    </xf>
    <xf numFmtId="0" fontId="6" fillId="11" borderId="1" xfId="0" applyFont="1" applyFill="1" applyBorder="1" applyAlignment="1">
      <alignment horizontal="center" vertical="center" wrapText="1"/>
    </xf>
    <xf numFmtId="0" fontId="6" fillId="0" borderId="1" xfId="0" applyFont="1" applyBorder="1" applyAlignment="1">
      <alignment horizontal="center" vertical="center" wrapText="1"/>
    </xf>
    <xf numFmtId="0" fontId="6" fillId="0" borderId="0" xfId="0" applyFont="1" applyAlignment="1">
      <alignment horizontal="center" vertical="center" wrapText="1"/>
    </xf>
    <xf numFmtId="0" fontId="2" fillId="0" borderId="0" xfId="0" applyFont="1" applyAlignment="1">
      <alignment horizontal="center" vertical="center" wrapText="1"/>
    </xf>
    <xf numFmtId="0" fontId="2" fillId="7" borderId="1" xfId="1" applyFont="1" applyFill="1" applyBorder="1" applyAlignment="1" applyProtection="1">
      <alignment horizontal="center" vertical="center" wrapText="1"/>
      <protection locked="0"/>
    </xf>
    <xf numFmtId="49" fontId="2" fillId="4" borderId="1" xfId="1" applyNumberFormat="1" applyFont="1" applyFill="1" applyBorder="1" applyAlignment="1" applyProtection="1">
      <alignment horizontal="center" vertical="center" wrapText="1"/>
      <protection locked="0"/>
    </xf>
    <xf numFmtId="49" fontId="2" fillId="7" borderId="1" xfId="1" applyNumberFormat="1" applyFont="1" applyFill="1" applyBorder="1" applyAlignment="1" applyProtection="1">
      <alignment horizontal="center" vertical="center" wrapText="1"/>
      <protection locked="0"/>
    </xf>
    <xf numFmtId="0" fontId="10" fillId="8" borderId="6" xfId="3" applyFont="1" applyFill="1" applyBorder="1" applyAlignment="1">
      <alignment horizontal="center" vertical="center" wrapText="1"/>
    </xf>
    <xf numFmtId="0" fontId="10" fillId="7" borderId="6" xfId="3" applyFont="1" applyFill="1" applyBorder="1" applyAlignment="1">
      <alignment horizontal="center" vertical="center" wrapText="1"/>
    </xf>
    <xf numFmtId="0" fontId="11" fillId="0" borderId="0" xfId="3" applyFont="1" applyAlignment="1" applyProtection="1">
      <alignment vertical="center" wrapText="1"/>
      <protection locked="0"/>
    </xf>
    <xf numFmtId="0" fontId="16" fillId="0" borderId="0" xfId="3" applyFont="1" applyAlignment="1" applyProtection="1">
      <alignment vertical="center" wrapText="1"/>
      <protection locked="0"/>
    </xf>
    <xf numFmtId="49" fontId="2" fillId="0" borderId="0" xfId="0" applyNumberFormat="1" applyFont="1" applyAlignment="1" applyProtection="1">
      <alignment vertical="center" wrapText="1"/>
      <protection locked="0"/>
    </xf>
    <xf numFmtId="49" fontId="2" fillId="0" borderId="0" xfId="0" applyNumberFormat="1" applyFont="1" applyAlignment="1">
      <alignment vertical="center" wrapText="1"/>
    </xf>
    <xf numFmtId="0" fontId="10" fillId="9" borderId="6" xfId="3" applyFont="1" applyFill="1" applyBorder="1" applyAlignment="1" applyProtection="1">
      <alignment horizontal="center" vertical="center" wrapText="1"/>
      <protection locked="0"/>
    </xf>
    <xf numFmtId="0" fontId="2" fillId="0" borderId="0" xfId="0" applyFont="1" applyAlignment="1" applyProtection="1">
      <alignment vertical="center" wrapText="1"/>
      <protection locked="0"/>
    </xf>
    <xf numFmtId="49" fontId="2" fillId="4" borderId="4" xfId="1" applyNumberFormat="1" applyFont="1" applyFill="1" applyBorder="1" applyAlignment="1" applyProtection="1">
      <alignment horizontal="center" vertical="center" wrapText="1"/>
      <protection locked="0"/>
    </xf>
    <xf numFmtId="49" fontId="2" fillId="6" borderId="8" xfId="0" applyNumberFormat="1" applyFont="1" applyFill="1" applyBorder="1" applyAlignment="1" applyProtection="1">
      <alignment horizontal="center" vertical="center" wrapText="1"/>
      <protection locked="0"/>
    </xf>
    <xf numFmtId="49" fontId="2" fillId="6" borderId="9" xfId="1" applyNumberFormat="1" applyFont="1" applyFill="1" applyBorder="1" applyAlignment="1" applyProtection="1">
      <alignment horizontal="center" vertical="center" wrapText="1"/>
      <protection locked="0"/>
    </xf>
    <xf numFmtId="0" fontId="3" fillId="7" borderId="1" xfId="1" applyFont="1" applyFill="1" applyBorder="1" applyAlignment="1" applyProtection="1">
      <alignment horizontal="center" vertical="center" wrapText="1"/>
      <protection locked="0"/>
    </xf>
    <xf numFmtId="0" fontId="10" fillId="7" borderId="6" xfId="3" applyFont="1" applyFill="1" applyBorder="1" applyAlignment="1" applyProtection="1">
      <alignment horizontal="right" vertical="center" wrapText="1"/>
      <protection locked="0"/>
    </xf>
    <xf numFmtId="0" fontId="10" fillId="8" borderId="6" xfId="3" applyFont="1" applyFill="1" applyBorder="1" applyAlignment="1" applyProtection="1">
      <alignment horizontal="left" vertical="center" wrapText="1"/>
      <protection locked="0"/>
    </xf>
    <xf numFmtId="0" fontId="10" fillId="9" borderId="6" xfId="3" applyFont="1" applyFill="1" applyBorder="1" applyAlignment="1" applyProtection="1">
      <alignment horizontal="left" vertical="center" wrapText="1"/>
      <protection locked="0"/>
    </xf>
    <xf numFmtId="49" fontId="18" fillId="0" borderId="1" xfId="1" applyNumberFormat="1" applyFont="1" applyBorder="1" applyAlignment="1" applyProtection="1">
      <alignment horizontal="center" vertical="center" wrapText="1"/>
      <protection locked="0"/>
    </xf>
    <xf numFmtId="0" fontId="18" fillId="0" borderId="1" xfId="1" applyFont="1" applyBorder="1" applyAlignment="1" applyProtection="1">
      <alignment horizontal="center" vertical="center" wrapText="1"/>
      <protection locked="0"/>
    </xf>
    <xf numFmtId="0" fontId="18" fillId="0" borderId="2" xfId="1" applyFont="1" applyBorder="1" applyAlignment="1" applyProtection="1">
      <alignment horizontal="center" vertical="center" wrapText="1"/>
      <protection locked="0"/>
    </xf>
    <xf numFmtId="49" fontId="18" fillId="0" borderId="2" xfId="1" applyNumberFormat="1" applyFont="1" applyBorder="1" applyAlignment="1" applyProtection="1">
      <alignment horizontal="center" vertical="center" wrapText="1"/>
      <protection locked="0"/>
    </xf>
    <xf numFmtId="0" fontId="19" fillId="0" borderId="0" xfId="3" applyFont="1" applyAlignment="1" applyProtection="1">
      <alignment vertical="center" wrapText="1"/>
      <protection locked="0"/>
    </xf>
    <xf numFmtId="0" fontId="10" fillId="0" borderId="0" xfId="3" applyFont="1" applyAlignment="1" applyProtection="1">
      <alignment horizontal="left" vertical="center" wrapText="1"/>
      <protection locked="0"/>
    </xf>
    <xf numFmtId="0" fontId="10" fillId="7" borderId="1" xfId="3" applyFont="1" applyFill="1" applyBorder="1" applyAlignment="1" applyProtection="1">
      <alignment horizontal="right" vertical="center" wrapText="1"/>
      <protection locked="0"/>
    </xf>
    <xf numFmtId="0" fontId="2" fillId="7" borderId="1" xfId="3" applyFont="1" applyFill="1" applyBorder="1" applyAlignment="1" applyProtection="1">
      <alignment horizontal="right" vertical="center" wrapText="1"/>
      <protection locked="0"/>
    </xf>
    <xf numFmtId="0" fontId="10" fillId="7" borderId="9" xfId="3" applyFont="1" applyFill="1" applyBorder="1" applyAlignment="1" applyProtection="1">
      <alignment horizontal="right" vertical="center" wrapText="1"/>
      <protection locked="0"/>
    </xf>
    <xf numFmtId="0" fontId="2" fillId="7" borderId="12" xfId="3" applyFont="1" applyFill="1" applyBorder="1" applyAlignment="1" applyProtection="1">
      <alignment horizontal="right" vertical="center" wrapText="1"/>
      <protection locked="0"/>
    </xf>
    <xf numFmtId="0" fontId="2" fillId="0" borderId="1" xfId="1" applyFont="1" applyBorder="1" applyAlignment="1" applyProtection="1">
      <alignment vertical="center" wrapText="1"/>
      <protection hidden="1"/>
    </xf>
    <xf numFmtId="0" fontId="10" fillId="0" borderId="1" xfId="0" applyFont="1" applyBorder="1" applyAlignment="1" applyProtection="1">
      <alignment vertical="center" wrapText="1"/>
      <protection locked="0" hidden="1"/>
    </xf>
    <xf numFmtId="0" fontId="21" fillId="10" borderId="1" xfId="0" applyFont="1" applyFill="1" applyBorder="1" applyAlignment="1">
      <alignment horizontal="center" vertical="center"/>
    </xf>
    <xf numFmtId="0" fontId="21" fillId="10" borderId="1" xfId="0" applyFont="1" applyFill="1" applyBorder="1" applyAlignment="1">
      <alignment horizontal="center" vertical="center" wrapText="1"/>
    </xf>
    <xf numFmtId="0" fontId="6" fillId="0" borderId="1" xfId="0" applyFont="1" applyBorder="1" applyAlignment="1">
      <alignment horizontal="center" vertical="center"/>
    </xf>
    <xf numFmtId="0" fontId="6" fillId="0" borderId="1" xfId="0" applyFont="1" applyBorder="1" applyAlignment="1">
      <alignment horizontal="left" vertical="center" wrapText="1"/>
    </xf>
    <xf numFmtId="0" fontId="6" fillId="0" borderId="0" xfId="0" applyFont="1" applyAlignment="1">
      <alignment horizontal="left" vertical="center" wrapText="1"/>
    </xf>
    <xf numFmtId="49" fontId="2" fillId="0" borderId="0" xfId="0" applyNumberFormat="1" applyFont="1" applyAlignment="1">
      <alignment horizontal="center" vertical="center"/>
    </xf>
    <xf numFmtId="0" fontId="2" fillId="0" borderId="0" xfId="0" applyFont="1" applyAlignment="1">
      <alignment horizontal="left" vertical="center" wrapText="1"/>
    </xf>
    <xf numFmtId="0" fontId="21" fillId="0" borderId="0" xfId="0" applyFont="1" applyAlignment="1">
      <alignment horizontal="center" vertical="center" wrapText="1"/>
    </xf>
    <xf numFmtId="0" fontId="6" fillId="11" borderId="4" xfId="0" applyFont="1" applyFill="1" applyBorder="1" applyAlignment="1">
      <alignment horizontal="center" vertical="center" wrapText="1"/>
    </xf>
    <xf numFmtId="0" fontId="6" fillId="0" borderId="4" xfId="0" applyFont="1" applyBorder="1" applyAlignment="1">
      <alignment horizontal="center" vertical="center" wrapText="1"/>
    </xf>
    <xf numFmtId="0" fontId="21" fillId="10" borderId="1" xfId="1" applyFont="1" applyFill="1" applyBorder="1" applyAlignment="1" applyProtection="1">
      <alignment horizontal="center" vertical="center" wrapText="1"/>
      <protection locked="0"/>
    </xf>
    <xf numFmtId="0" fontId="2" fillId="0" borderId="1" xfId="1" applyFont="1" applyBorder="1" applyAlignment="1" applyProtection="1">
      <alignment horizontal="center" vertical="center" wrapText="1"/>
      <protection hidden="1"/>
    </xf>
    <xf numFmtId="0" fontId="22" fillId="0" borderId="16" xfId="3" applyFont="1" applyBorder="1" applyAlignment="1" applyProtection="1">
      <alignment vertical="center" wrapText="1"/>
      <protection locked="0"/>
    </xf>
    <xf numFmtId="0" fontId="22" fillId="0" borderId="1" xfId="3" applyFont="1" applyBorder="1" applyAlignment="1" applyProtection="1">
      <alignment vertical="center" wrapText="1"/>
      <protection locked="0"/>
    </xf>
    <xf numFmtId="0" fontId="22" fillId="0" borderId="2" xfId="3" applyFont="1" applyBorder="1" applyAlignment="1" applyProtection="1">
      <alignment vertical="center" wrapText="1"/>
      <protection locked="0"/>
    </xf>
    <xf numFmtId="0" fontId="10" fillId="0" borderId="1" xfId="0" applyFont="1" applyBorder="1" applyAlignment="1" applyProtection="1">
      <alignment horizontal="center" vertical="center" wrapText="1"/>
      <protection locked="0" hidden="1"/>
    </xf>
    <xf numFmtId="0" fontId="10" fillId="7" borderId="1" xfId="0" applyFont="1" applyFill="1" applyBorder="1" applyAlignment="1" applyProtection="1">
      <alignment horizontal="center" vertical="center" wrapText="1"/>
      <protection hidden="1"/>
    </xf>
    <xf numFmtId="0" fontId="22" fillId="0" borderId="14" xfId="3" applyFont="1" applyBorder="1" applyAlignment="1" applyProtection="1">
      <alignment vertical="center" wrapText="1"/>
      <protection locked="0"/>
    </xf>
    <xf numFmtId="0" fontId="22" fillId="0" borderId="3" xfId="3" applyFont="1" applyBorder="1" applyAlignment="1" applyProtection="1">
      <alignment vertical="center" wrapText="1"/>
      <protection locked="0"/>
    </xf>
    <xf numFmtId="0" fontId="10" fillId="0" borderId="1" xfId="0" applyFont="1" applyBorder="1" applyAlignment="1">
      <alignment vertical="center" wrapText="1"/>
    </xf>
    <xf numFmtId="0" fontId="10" fillId="0" borderId="9" xfId="0" applyFont="1" applyBorder="1" applyAlignment="1" applyProtection="1">
      <alignment horizontal="center" vertical="center" wrapText="1"/>
      <protection locked="0" hidden="1"/>
    </xf>
    <xf numFmtId="0" fontId="10" fillId="0" borderId="9" xfId="0" applyFont="1" applyBorder="1" applyAlignment="1" applyProtection="1">
      <alignment horizontal="left" vertical="center" wrapText="1"/>
      <protection locked="0" hidden="1"/>
    </xf>
    <xf numFmtId="0" fontId="10" fillId="7" borderId="21" xfId="0" applyFont="1" applyFill="1" applyBorder="1" applyAlignment="1">
      <alignment horizontal="center" vertical="center" wrapText="1"/>
    </xf>
    <xf numFmtId="0" fontId="10" fillId="0" borderId="24" xfId="3" applyFont="1" applyBorder="1" applyAlignment="1" applyProtection="1">
      <alignment horizontal="left" vertical="center" wrapText="1"/>
      <protection locked="0"/>
    </xf>
    <xf numFmtId="49" fontId="2" fillId="0" borderId="1" xfId="1" applyNumberFormat="1" applyFont="1" applyBorder="1" applyAlignment="1" applyProtection="1">
      <alignment horizontal="left" vertical="center" wrapText="1"/>
      <protection locked="0"/>
    </xf>
    <xf numFmtId="0" fontId="2" fillId="0" borderId="0" xfId="0" applyFont="1" applyAlignment="1" applyProtection="1">
      <alignment horizontal="left" vertical="center" wrapText="1"/>
      <protection locked="0"/>
    </xf>
    <xf numFmtId="0" fontId="2" fillId="0" borderId="0" xfId="0" applyFont="1" applyAlignment="1" applyProtection="1">
      <alignment horizontal="center" vertical="center" wrapText="1"/>
      <protection locked="0"/>
    </xf>
    <xf numFmtId="0" fontId="27" fillId="0" borderId="1" xfId="0" applyFont="1" applyBorder="1" applyAlignment="1" applyProtection="1">
      <alignment horizontal="center" vertical="center" wrapText="1"/>
      <protection locked="0" hidden="1"/>
    </xf>
    <xf numFmtId="0" fontId="27" fillId="0" borderId="1" xfId="0" applyFont="1" applyBorder="1" applyAlignment="1" applyProtection="1">
      <alignment horizontal="left" vertical="center" wrapText="1"/>
      <protection locked="0" hidden="1"/>
    </xf>
    <xf numFmtId="0" fontId="27" fillId="0" borderId="1" xfId="0" applyFont="1" applyBorder="1" applyAlignment="1" applyProtection="1">
      <alignment vertical="center" wrapText="1"/>
      <protection locked="0" hidden="1"/>
    </xf>
    <xf numFmtId="0" fontId="27" fillId="0" borderId="1" xfId="0" applyFont="1" applyBorder="1" applyAlignment="1">
      <alignment vertical="center" wrapText="1"/>
    </xf>
    <xf numFmtId="0" fontId="2" fillId="0" borderId="1" xfId="0" applyFont="1" applyBorder="1" applyAlignment="1" applyProtection="1">
      <alignment horizontal="left" vertical="center" wrapText="1"/>
      <protection locked="0" hidden="1"/>
    </xf>
    <xf numFmtId="0" fontId="22" fillId="0" borderId="0" xfId="3" applyFont="1" applyProtection="1">
      <alignment vertical="center"/>
      <protection locked="0"/>
    </xf>
    <xf numFmtId="0" fontId="10" fillId="0" borderId="8" xfId="0" applyFont="1" applyBorder="1" applyAlignment="1">
      <alignment vertical="center" wrapText="1"/>
    </xf>
    <xf numFmtId="0" fontId="10" fillId="0" borderId="0" xfId="3" applyFont="1" applyProtection="1">
      <alignment vertical="center"/>
      <protection locked="0"/>
    </xf>
    <xf numFmtId="0" fontId="10" fillId="0" borderId="1" xfId="0" applyFont="1" applyBorder="1" applyAlignment="1" applyProtection="1">
      <alignment horizontal="left" vertical="center" wrapText="1"/>
      <protection locked="0" hidden="1"/>
    </xf>
    <xf numFmtId="0" fontId="10" fillId="0" borderId="1" xfId="0" applyFont="1" applyBorder="1" applyAlignment="1">
      <alignment horizontal="left" vertical="center" wrapText="1"/>
    </xf>
    <xf numFmtId="0" fontId="2" fillId="0" borderId="1" xfId="0" applyFont="1" applyBorder="1" applyAlignment="1" applyProtection="1">
      <alignment horizontal="left" vertical="center" wrapText="1"/>
      <protection locked="0"/>
    </xf>
    <xf numFmtId="0" fontId="2" fillId="0" borderId="1" xfId="0" applyFont="1" applyBorder="1" applyAlignment="1" applyProtection="1">
      <alignment horizontal="center" vertical="center" wrapText="1"/>
      <protection locked="0"/>
    </xf>
    <xf numFmtId="0" fontId="2" fillId="0" borderId="1" xfId="1" applyFont="1" applyBorder="1" applyAlignment="1" applyProtection="1">
      <alignment horizontal="center" vertical="center" wrapText="1"/>
      <protection locked="0"/>
    </xf>
    <xf numFmtId="0" fontId="2" fillId="0" borderId="1" xfId="0" applyFont="1" applyBorder="1" applyAlignment="1">
      <alignment horizontal="center" vertical="center" wrapText="1"/>
    </xf>
    <xf numFmtId="0" fontId="2" fillId="0" borderId="1" xfId="7" applyFont="1" applyBorder="1" applyAlignment="1">
      <alignment horizontal="center" vertical="center" wrapText="1" shrinkToFit="1"/>
    </xf>
    <xf numFmtId="0" fontId="2" fillId="0" borderId="1" xfId="0" applyFont="1" applyBorder="1" applyAlignment="1" applyProtection="1">
      <alignment horizontal="center" vertical="center" wrapText="1"/>
      <protection locked="0" hidden="1"/>
    </xf>
    <xf numFmtId="0" fontId="2" fillId="0" borderId="9" xfId="0" applyFont="1" applyBorder="1" applyAlignment="1" applyProtection="1">
      <alignment horizontal="center" vertical="center" wrapText="1"/>
      <protection locked="0" hidden="1"/>
    </xf>
    <xf numFmtId="0" fontId="2" fillId="14" borderId="1" xfId="0" applyFont="1" applyFill="1" applyBorder="1" applyAlignment="1" applyProtection="1">
      <alignment horizontal="left" vertical="center" wrapText="1"/>
      <protection locked="0"/>
    </xf>
    <xf numFmtId="0" fontId="2" fillId="14" borderId="1" xfId="7" applyFont="1" applyFill="1" applyBorder="1" applyAlignment="1">
      <alignment horizontal="left" vertical="center" wrapText="1" shrinkToFit="1"/>
    </xf>
    <xf numFmtId="0" fontId="2" fillId="14" borderId="1" xfId="0" applyFont="1" applyFill="1" applyBorder="1" applyAlignment="1">
      <alignment vertical="center" wrapText="1"/>
    </xf>
    <xf numFmtId="0" fontId="2" fillId="14" borderId="1" xfId="0" applyFont="1" applyFill="1" applyBorder="1" applyAlignment="1">
      <alignment horizontal="center" vertical="center" wrapText="1"/>
    </xf>
    <xf numFmtId="0" fontId="2" fillId="14" borderId="1" xfId="0" applyFont="1" applyFill="1" applyBorder="1" applyAlignment="1" applyProtection="1">
      <alignment horizontal="center" vertical="center" wrapText="1"/>
      <protection locked="0"/>
    </xf>
    <xf numFmtId="0" fontId="27" fillId="14" borderId="1" xfId="0" applyFont="1" applyFill="1" applyBorder="1" applyAlignment="1" applyProtection="1">
      <alignment horizontal="left" vertical="center" wrapText="1"/>
      <protection locked="0" hidden="1"/>
    </xf>
    <xf numFmtId="0" fontId="27" fillId="14" borderId="1" xfId="0" applyFont="1" applyFill="1" applyBorder="1" applyAlignment="1" applyProtection="1">
      <alignment vertical="center" wrapText="1"/>
      <protection locked="0" hidden="1"/>
    </xf>
    <xf numFmtId="0" fontId="25" fillId="10" borderId="0" xfId="0" applyFont="1" applyFill="1" applyAlignment="1">
      <alignment horizontal="center" vertical="center"/>
    </xf>
    <xf numFmtId="0" fontId="15" fillId="13" borderId="2" xfId="0" applyFont="1" applyFill="1" applyBorder="1" applyAlignment="1">
      <alignment horizontal="center" vertical="center"/>
    </xf>
    <xf numFmtId="0" fontId="15" fillId="13" borderId="3" xfId="0" applyFont="1" applyFill="1" applyBorder="1" applyAlignment="1">
      <alignment horizontal="center" vertical="center"/>
    </xf>
    <xf numFmtId="0" fontId="15" fillId="13" borderId="4" xfId="0" applyFont="1" applyFill="1" applyBorder="1" applyAlignment="1">
      <alignment horizontal="center" vertical="center"/>
    </xf>
    <xf numFmtId="176" fontId="15" fillId="3" borderId="2" xfId="0" applyNumberFormat="1" applyFont="1" applyFill="1" applyBorder="1" applyAlignment="1">
      <alignment horizontal="center" vertical="center"/>
    </xf>
    <xf numFmtId="176" fontId="15" fillId="3" borderId="3" xfId="0" applyNumberFormat="1" applyFont="1" applyFill="1" applyBorder="1" applyAlignment="1">
      <alignment horizontal="center" vertical="center"/>
    </xf>
    <xf numFmtId="176" fontId="15" fillId="3" borderId="4" xfId="0" applyNumberFormat="1" applyFont="1" applyFill="1" applyBorder="1" applyAlignment="1">
      <alignment horizontal="center" vertical="center"/>
    </xf>
    <xf numFmtId="0" fontId="15" fillId="3" borderId="2" xfId="0" applyFont="1" applyFill="1" applyBorder="1" applyAlignment="1">
      <alignment horizontal="center" vertical="center"/>
    </xf>
    <xf numFmtId="0" fontId="15" fillId="3" borderId="3" xfId="0" applyFont="1" applyFill="1" applyBorder="1" applyAlignment="1">
      <alignment horizontal="center" vertical="center"/>
    </xf>
    <xf numFmtId="0" fontId="15" fillId="3" borderId="4" xfId="0" applyFont="1" applyFill="1" applyBorder="1" applyAlignment="1">
      <alignment horizontal="center" vertical="center"/>
    </xf>
    <xf numFmtId="0" fontId="7" fillId="4" borderId="0" xfId="0" applyFont="1" applyFill="1" applyAlignment="1">
      <alignment horizontal="left" vertical="center"/>
    </xf>
    <xf numFmtId="0" fontId="26" fillId="5" borderId="0" xfId="0" applyFont="1" applyFill="1" applyAlignment="1">
      <alignment horizontal="left" vertical="center"/>
    </xf>
    <xf numFmtId="0" fontId="14" fillId="5" borderId="0" xfId="0" applyFont="1" applyFill="1" applyAlignment="1">
      <alignment horizontal="right" vertical="center" wrapText="1"/>
    </xf>
    <xf numFmtId="0" fontId="14" fillId="5" borderId="0" xfId="0" applyFont="1" applyFill="1" applyAlignment="1">
      <alignment horizontal="right" vertical="center"/>
    </xf>
    <xf numFmtId="0" fontId="8" fillId="5" borderId="0" xfId="0" applyFont="1" applyFill="1" applyAlignment="1">
      <alignment horizontal="right" vertical="center"/>
    </xf>
    <xf numFmtId="49" fontId="3" fillId="3" borderId="2" xfId="0" applyNumberFormat="1" applyFont="1" applyFill="1" applyBorder="1" applyAlignment="1">
      <alignment horizontal="center" vertical="center"/>
    </xf>
    <xf numFmtId="49" fontId="3" fillId="3" borderId="3" xfId="0" applyNumberFormat="1" applyFont="1" applyFill="1" applyBorder="1" applyAlignment="1">
      <alignment horizontal="center" vertical="center"/>
    </xf>
    <xf numFmtId="49" fontId="3" fillId="3" borderId="4" xfId="0" applyNumberFormat="1" applyFont="1" applyFill="1" applyBorder="1" applyAlignment="1">
      <alignment horizontal="center" vertical="center"/>
    </xf>
    <xf numFmtId="0" fontId="2" fillId="2" borderId="1" xfId="0" applyFont="1" applyFill="1" applyBorder="1" applyAlignment="1" applyProtection="1">
      <alignment horizontal="center" vertical="center" wrapText="1"/>
      <protection locked="0"/>
    </xf>
    <xf numFmtId="0" fontId="2" fillId="2" borderId="1" xfId="0" applyFont="1" applyFill="1" applyBorder="1" applyAlignment="1">
      <alignment horizontal="left" vertical="center" wrapText="1"/>
    </xf>
    <xf numFmtId="0" fontId="2" fillId="2" borderId="8" xfId="0" applyFont="1" applyFill="1" applyBorder="1" applyAlignment="1">
      <alignment horizontal="left" vertical="center" wrapText="1"/>
    </xf>
    <xf numFmtId="49" fontId="2" fillId="4" borderId="3" xfId="0" applyNumberFormat="1" applyFont="1" applyFill="1" applyBorder="1" applyAlignment="1" applyProtection="1">
      <alignment horizontal="center" vertical="center" wrapText="1"/>
      <protection locked="0"/>
    </xf>
    <xf numFmtId="49" fontId="2" fillId="4" borderId="4" xfId="0" applyNumberFormat="1" applyFont="1" applyFill="1" applyBorder="1" applyAlignment="1" applyProtection="1">
      <alignment horizontal="center" vertical="center" wrapText="1"/>
      <protection locked="0"/>
    </xf>
    <xf numFmtId="49" fontId="2" fillId="7" borderId="2" xfId="0" applyNumberFormat="1" applyFont="1" applyFill="1" applyBorder="1" applyAlignment="1" applyProtection="1">
      <alignment horizontal="center" vertical="center" wrapText="1"/>
      <protection locked="0"/>
    </xf>
    <xf numFmtId="49" fontId="2" fillId="7" borderId="3" xfId="0" applyNumberFormat="1" applyFont="1" applyFill="1" applyBorder="1" applyAlignment="1" applyProtection="1">
      <alignment horizontal="center" vertical="center" wrapText="1"/>
      <protection locked="0"/>
    </xf>
    <xf numFmtId="49" fontId="2" fillId="7" borderId="4" xfId="0" applyNumberFormat="1" applyFont="1" applyFill="1" applyBorder="1" applyAlignment="1" applyProtection="1">
      <alignment horizontal="center" vertical="center" wrapText="1"/>
      <protection locked="0"/>
    </xf>
    <xf numFmtId="0" fontId="21" fillId="10" borderId="0" xfId="0" applyFont="1" applyFill="1" applyAlignment="1">
      <alignment horizontal="left" vertical="center" wrapText="1"/>
    </xf>
    <xf numFmtId="0" fontId="21" fillId="10" borderId="7" xfId="0" applyFont="1" applyFill="1" applyBorder="1" applyAlignment="1">
      <alignment horizontal="left" vertical="center" wrapText="1"/>
    </xf>
    <xf numFmtId="0" fontId="6" fillId="0" borderId="15" xfId="0" applyFont="1" applyBorder="1" applyAlignment="1">
      <alignment horizontal="center" vertical="center"/>
    </xf>
    <xf numFmtId="0" fontId="6" fillId="0" borderId="0" xfId="0" applyFont="1" applyAlignment="1">
      <alignment horizontal="center" vertical="center" wrapText="1"/>
    </xf>
    <xf numFmtId="0" fontId="21" fillId="12" borderId="15" xfId="0" applyFont="1" applyFill="1" applyBorder="1" applyAlignment="1">
      <alignment horizontal="center" vertical="center"/>
    </xf>
    <xf numFmtId="0" fontId="10" fillId="0" borderId="2" xfId="1" applyFont="1" applyBorder="1" applyAlignment="1" applyProtection="1">
      <alignment horizontal="left" vertical="center" wrapText="1"/>
      <protection hidden="1"/>
    </xf>
    <xf numFmtId="0" fontId="10" fillId="0" borderId="3" xfId="1" applyFont="1" applyBorder="1" applyAlignment="1" applyProtection="1">
      <alignment horizontal="left" vertical="center" wrapText="1"/>
      <protection hidden="1"/>
    </xf>
    <xf numFmtId="0" fontId="10" fillId="0" borderId="4" xfId="1" applyFont="1" applyBorder="1" applyAlignment="1" applyProtection="1">
      <alignment horizontal="left" vertical="center" wrapText="1"/>
      <protection hidden="1"/>
    </xf>
    <xf numFmtId="0" fontId="10" fillId="0" borderId="3" xfId="0" applyFont="1" applyBorder="1" applyAlignment="1" applyProtection="1">
      <alignment horizontal="left" vertical="center" wrapText="1"/>
      <protection locked="0"/>
    </xf>
    <xf numFmtId="0" fontId="10" fillId="0" borderId="4" xfId="0" applyFont="1" applyBorder="1" applyAlignment="1" applyProtection="1">
      <alignment horizontal="left" vertical="center" wrapText="1"/>
      <protection locked="0"/>
    </xf>
    <xf numFmtId="0" fontId="11" fillId="0" borderId="0" xfId="3" applyFont="1" applyAlignment="1" applyProtection="1">
      <alignment horizontal="center" vertical="center" wrapText="1"/>
      <protection locked="0"/>
    </xf>
    <xf numFmtId="0" fontId="2" fillId="0" borderId="21" xfId="1" applyFont="1" applyBorder="1" applyAlignment="1" applyProtection="1">
      <alignment horizontal="left" vertical="center" wrapText="1"/>
      <protection hidden="1"/>
    </xf>
    <xf numFmtId="0" fontId="2" fillId="0" borderId="15" xfId="1" applyFont="1" applyBorder="1" applyAlignment="1" applyProtection="1">
      <alignment horizontal="left" vertical="center" wrapText="1"/>
      <protection hidden="1"/>
    </xf>
    <xf numFmtId="0" fontId="2" fillId="0" borderId="19" xfId="1" applyFont="1" applyBorder="1" applyAlignment="1" applyProtection="1">
      <alignment horizontal="left" vertical="center" wrapText="1"/>
      <protection hidden="1"/>
    </xf>
    <xf numFmtId="0" fontId="10" fillId="0" borderId="4" xfId="0" applyFont="1" applyBorder="1" applyAlignment="1" applyProtection="1">
      <alignment horizontal="left" vertical="center" wrapText="1"/>
      <protection hidden="1"/>
    </xf>
    <xf numFmtId="0" fontId="10" fillId="0" borderId="1" xfId="0" applyFont="1" applyBorder="1" applyAlignment="1" applyProtection="1">
      <alignment horizontal="left" vertical="center" wrapText="1"/>
      <protection hidden="1"/>
    </xf>
    <xf numFmtId="0" fontId="23" fillId="0" borderId="23" xfId="1" applyFont="1" applyBorder="1" applyAlignment="1" applyProtection="1">
      <alignment horizontal="left" vertical="center" wrapText="1"/>
      <protection hidden="1"/>
    </xf>
    <xf numFmtId="0" fontId="23" fillId="0" borderId="0" xfId="1" applyFont="1" applyAlignment="1" applyProtection="1">
      <alignment horizontal="left" vertical="center" wrapText="1"/>
      <protection hidden="1"/>
    </xf>
    <xf numFmtId="0" fontId="23" fillId="0" borderId="7" xfId="1" applyFont="1" applyBorder="1" applyAlignment="1" applyProtection="1">
      <alignment horizontal="left" vertical="center" wrapText="1"/>
      <protection hidden="1"/>
    </xf>
    <xf numFmtId="0" fontId="2" fillId="0" borderId="22" xfId="1" applyFont="1" applyBorder="1" applyAlignment="1" applyProtection="1">
      <alignment horizontal="left" vertical="center" wrapText="1"/>
      <protection hidden="1"/>
    </xf>
    <xf numFmtId="0" fontId="2" fillId="0" borderId="17" xfId="1" applyFont="1" applyBorder="1" applyAlignment="1" applyProtection="1">
      <alignment horizontal="left" vertical="center" wrapText="1"/>
      <protection hidden="1"/>
    </xf>
    <xf numFmtId="0" fontId="2" fillId="0" borderId="18" xfId="1" applyFont="1" applyBorder="1" applyAlignment="1" applyProtection="1">
      <alignment horizontal="left" vertical="center" wrapText="1"/>
      <protection hidden="1"/>
    </xf>
    <xf numFmtId="0" fontId="10" fillId="0" borderId="2" xfId="0" applyFont="1" applyBorder="1" applyAlignment="1" applyProtection="1">
      <alignment horizontal="left" vertical="center" wrapText="1"/>
      <protection hidden="1"/>
    </xf>
    <xf numFmtId="0" fontId="10" fillId="0" borderId="3" xfId="0" applyFont="1" applyBorder="1" applyAlignment="1" applyProtection="1">
      <alignment horizontal="left" vertical="center" wrapText="1"/>
      <protection hidden="1"/>
    </xf>
    <xf numFmtId="0" fontId="10" fillId="0" borderId="1" xfId="1" applyFont="1" applyBorder="1" applyAlignment="1" applyProtection="1">
      <alignment horizontal="left" vertical="center" wrapText="1"/>
      <protection hidden="1"/>
    </xf>
    <xf numFmtId="0" fontId="3" fillId="7" borderId="2" xfId="1" applyFont="1" applyFill="1" applyBorder="1" applyAlignment="1" applyProtection="1">
      <alignment horizontal="center" vertical="center" wrapText="1"/>
      <protection locked="0"/>
    </xf>
    <xf numFmtId="0" fontId="3" fillId="7" borderId="3" xfId="1" applyFont="1" applyFill="1" applyBorder="1" applyAlignment="1" applyProtection="1">
      <alignment horizontal="center" vertical="center" wrapText="1"/>
      <protection locked="0"/>
    </xf>
    <xf numFmtId="0" fontId="3" fillId="7" borderId="4" xfId="1" applyFont="1" applyFill="1" applyBorder="1" applyAlignment="1" applyProtection="1">
      <alignment horizontal="center" vertical="center" wrapText="1"/>
      <protection locked="0"/>
    </xf>
    <xf numFmtId="0" fontId="24" fillId="0" borderId="14" xfId="0" applyFont="1" applyBorder="1" applyAlignment="1">
      <alignment vertical="center" wrapText="1"/>
    </xf>
    <xf numFmtId="0" fontId="24" fillId="0" borderId="3" xfId="0" applyFont="1" applyBorder="1" applyAlignment="1">
      <alignment vertical="center" wrapText="1"/>
    </xf>
    <xf numFmtId="0" fontId="24" fillId="0" borderId="20" xfId="0" applyFont="1" applyBorder="1" applyAlignment="1">
      <alignment vertical="center" wrapText="1"/>
    </xf>
    <xf numFmtId="0" fontId="24" fillId="0" borderId="14" xfId="6" applyFont="1" applyBorder="1" applyAlignment="1" applyProtection="1">
      <alignment vertical="center" wrapText="1"/>
      <protection hidden="1"/>
    </xf>
    <xf numFmtId="0" fontId="24" fillId="0" borderId="3" xfId="6" applyFont="1" applyBorder="1" applyAlignment="1" applyProtection="1">
      <alignment vertical="center" wrapText="1"/>
      <protection hidden="1"/>
    </xf>
    <xf numFmtId="0" fontId="10" fillId="0" borderId="21" xfId="0" applyFont="1" applyBorder="1" applyAlignment="1" applyProtection="1">
      <alignment horizontal="left" vertical="center" wrapText="1"/>
      <protection locked="0" hidden="1"/>
    </xf>
    <xf numFmtId="0" fontId="10" fillId="0" borderId="15" xfId="0" applyFont="1" applyBorder="1" applyAlignment="1" applyProtection="1">
      <alignment horizontal="left" vertical="center" wrapText="1"/>
      <protection locked="0" hidden="1"/>
    </xf>
    <xf numFmtId="0" fontId="10" fillId="0" borderId="19" xfId="0" applyFont="1" applyBorder="1" applyAlignment="1" applyProtection="1">
      <alignment horizontal="left" vertical="center" wrapText="1"/>
      <protection locked="0" hidden="1"/>
    </xf>
    <xf numFmtId="0" fontId="10" fillId="0" borderId="21" xfId="0" applyFont="1" applyBorder="1" applyAlignment="1" applyProtection="1">
      <alignment horizontal="left" vertical="center" wrapText="1"/>
      <protection locked="0"/>
    </xf>
    <xf numFmtId="0" fontId="10" fillId="0" borderId="15" xfId="0" applyFont="1" applyBorder="1" applyAlignment="1" applyProtection="1">
      <alignment horizontal="left" vertical="center" wrapText="1"/>
      <protection locked="0"/>
    </xf>
    <xf numFmtId="0" fontId="10" fillId="0" borderId="19" xfId="0" applyFont="1" applyBorder="1" applyAlignment="1" applyProtection="1">
      <alignment horizontal="left" vertical="center" wrapText="1"/>
      <protection locked="0"/>
    </xf>
    <xf numFmtId="0" fontId="21" fillId="0" borderId="21" xfId="1" applyFont="1" applyBorder="1" applyAlignment="1" applyProtection="1">
      <alignment horizontal="left" vertical="center" wrapText="1"/>
      <protection hidden="1"/>
    </xf>
    <xf numFmtId="0" fontId="21" fillId="0" borderId="15" xfId="1" applyFont="1" applyBorder="1" applyAlignment="1" applyProtection="1">
      <alignment horizontal="left" vertical="center" wrapText="1"/>
      <protection hidden="1"/>
    </xf>
    <xf numFmtId="0" fontId="21" fillId="0" borderId="19" xfId="1" applyFont="1" applyBorder="1" applyAlignment="1" applyProtection="1">
      <alignment horizontal="left" vertical="center" wrapText="1"/>
      <protection hidden="1"/>
    </xf>
    <xf numFmtId="0" fontId="10" fillId="0" borderId="23" xfId="3" applyFont="1" applyBorder="1" applyAlignment="1" applyProtection="1">
      <alignment horizontal="left" vertical="center"/>
      <protection locked="0"/>
    </xf>
    <xf numFmtId="0" fontId="10" fillId="0" borderId="0" xfId="3" applyFont="1" applyAlignment="1" applyProtection="1">
      <alignment horizontal="left" vertical="center"/>
      <protection locked="0"/>
    </xf>
    <xf numFmtId="0" fontId="10" fillId="0" borderId="7" xfId="3" applyFont="1" applyBorder="1" applyAlignment="1" applyProtection="1">
      <alignment horizontal="left" vertical="center"/>
      <protection locked="0"/>
    </xf>
    <xf numFmtId="0" fontId="10" fillId="0" borderId="5" xfId="3" applyFont="1" applyBorder="1" applyAlignment="1" applyProtection="1">
      <alignment vertical="center" wrapText="1"/>
      <protection locked="0"/>
    </xf>
    <xf numFmtId="0" fontId="10" fillId="0" borderId="10" xfId="3" applyFont="1" applyBorder="1" applyAlignment="1" applyProtection="1">
      <alignment vertical="center" wrapText="1"/>
      <protection locked="0"/>
    </xf>
    <xf numFmtId="0" fontId="10" fillId="0" borderId="16" xfId="3" applyFont="1" applyBorder="1" applyAlignment="1" applyProtection="1">
      <alignment vertical="center" wrapText="1"/>
      <protection locked="0"/>
    </xf>
    <xf numFmtId="0" fontId="2" fillId="0" borderId="5" xfId="3" applyFont="1" applyBorder="1" applyAlignment="1" applyProtection="1">
      <alignment vertical="center" wrapText="1"/>
      <protection locked="0"/>
    </xf>
    <xf numFmtId="0" fontId="2" fillId="0" borderId="10" xfId="3" applyFont="1" applyBorder="1" applyAlignment="1" applyProtection="1">
      <alignment vertical="center" wrapText="1"/>
      <protection locked="0"/>
    </xf>
    <xf numFmtId="0" fontId="2" fillId="0" borderId="16" xfId="3" applyFont="1" applyBorder="1" applyAlignment="1" applyProtection="1">
      <alignment vertical="center" wrapText="1"/>
      <protection locked="0"/>
    </xf>
    <xf numFmtId="0" fontId="2" fillId="0" borderId="13" xfId="3" applyFont="1" applyBorder="1" applyAlignment="1">
      <alignment horizontal="left" vertical="center" wrapText="1"/>
    </xf>
    <xf numFmtId="0" fontId="2" fillId="0" borderId="11" xfId="3" applyFont="1" applyBorder="1" applyAlignment="1">
      <alignment horizontal="left" vertical="center" wrapText="1"/>
    </xf>
    <xf numFmtId="0" fontId="2" fillId="0" borderId="25" xfId="3" applyFont="1" applyBorder="1" applyAlignment="1">
      <alignment horizontal="left" vertical="center" wrapText="1"/>
    </xf>
    <xf numFmtId="0" fontId="2" fillId="0" borderId="5" xfId="3" applyFont="1" applyBorder="1" applyAlignment="1">
      <alignment horizontal="left" vertical="center" wrapText="1"/>
    </xf>
    <xf numFmtId="0" fontId="2" fillId="0" borderId="10" xfId="3" applyFont="1" applyBorder="1" applyAlignment="1">
      <alignment horizontal="left" vertical="center" wrapText="1"/>
    </xf>
    <xf numFmtId="0" fontId="2" fillId="0" borderId="16" xfId="3" applyFont="1" applyBorder="1" applyAlignment="1">
      <alignment horizontal="left" vertical="center" wrapText="1"/>
    </xf>
    <xf numFmtId="0" fontId="2" fillId="14" borderId="5" xfId="3" applyFont="1" applyFill="1" applyBorder="1" applyAlignment="1" applyProtection="1">
      <alignment horizontal="left" vertical="center" wrapText="1"/>
      <protection locked="0"/>
    </xf>
    <xf numFmtId="0" fontId="2" fillId="14" borderId="10" xfId="3" applyFont="1" applyFill="1" applyBorder="1" applyAlignment="1" applyProtection="1">
      <alignment horizontal="left" vertical="center" wrapText="1"/>
      <protection locked="0"/>
    </xf>
    <xf numFmtId="0" fontId="2" fillId="14" borderId="16" xfId="3" applyFont="1" applyFill="1" applyBorder="1" applyAlignment="1" applyProtection="1">
      <alignment horizontal="left" vertical="center" wrapText="1"/>
      <protection locked="0"/>
    </xf>
    <xf numFmtId="0" fontId="2" fillId="0" borderId="26" xfId="3" applyFont="1" applyBorder="1" applyAlignment="1" applyProtection="1">
      <alignment vertical="center" wrapText="1"/>
      <protection locked="0"/>
    </xf>
    <xf numFmtId="0" fontId="2" fillId="0" borderId="27" xfId="3" applyFont="1" applyBorder="1" applyAlignment="1" applyProtection="1">
      <alignment vertical="center" wrapText="1"/>
      <protection locked="0"/>
    </xf>
    <xf numFmtId="0" fontId="2" fillId="0" borderId="28" xfId="3" applyFont="1" applyBorder="1" applyAlignment="1" applyProtection="1">
      <alignment vertical="center" wrapText="1"/>
      <protection locked="0"/>
    </xf>
    <xf numFmtId="0" fontId="10" fillId="0" borderId="2" xfId="5" applyFont="1" applyBorder="1" applyAlignment="1" applyProtection="1">
      <alignment horizontal="left" vertical="center" wrapText="1"/>
      <protection hidden="1"/>
    </xf>
    <xf numFmtId="0" fontId="10" fillId="0" borderId="3" xfId="5" applyFont="1" applyBorder="1" applyAlignment="1" applyProtection="1">
      <alignment horizontal="left" vertical="center" wrapText="1"/>
      <protection hidden="1"/>
    </xf>
    <xf numFmtId="0" fontId="10" fillId="0" borderId="4" xfId="5" applyFont="1" applyBorder="1" applyAlignment="1" applyProtection="1">
      <alignment horizontal="left" vertical="center" wrapText="1"/>
      <protection hidden="1"/>
    </xf>
  </cellXfs>
  <cellStyles count="8">
    <cellStyle name="一般" xfId="0" builtinId="0"/>
    <cellStyle name="一般 2" xfId="2" xr:uid="{00000000-0005-0000-0000-000001000000}"/>
    <cellStyle name="一般 3" xfId="3" xr:uid="{00000000-0005-0000-0000-000002000000}"/>
    <cellStyle name="一般 3 2" xfId="7" xr:uid="{00000000-0005-0000-0000-000003000000}"/>
    <cellStyle name="一般 4" xfId="4" xr:uid="{00000000-0005-0000-0000-000004000000}"/>
    <cellStyle name="一般_Asset &amp; RA彙總表_050822" xfId="1" xr:uid="{00000000-0005-0000-0000-000005000000}"/>
    <cellStyle name="一般_資訊資產清單KHL-W-P-003-001-A0-PWC_I-DC-D006 威脅與弱點評估表_v0.23" xfId="6" xr:uid="{00000000-0005-0000-0000-000006000000}"/>
    <cellStyle name="一般_資訊資產清單KHL-W-P-003-001-A0-PWC_I-DC-D006 威脅與弱點評估表_v0.23_資料類資產_風險評鑑_Jane" xfId="5" xr:uid="{00000000-0005-0000-0000-000007000000}"/>
  </cellStyles>
  <dxfs count="0"/>
  <tableStyles count="0" defaultTableStyle="TableStyleMedium2" defaultPivotStyle="PivotStyleLight16"/>
  <colors>
    <mruColors>
      <color rgb="FF003366"/>
      <color rgb="FFFF614C"/>
      <color rgb="FF99CCFF"/>
      <color rgb="FFFEC636"/>
      <color rgb="FF6BCBC5"/>
      <color rgb="FF6699CC"/>
      <color rgb="FF85509D"/>
      <color rgb="FFE1D4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xdr:col>
      <xdr:colOff>0</xdr:colOff>
      <xdr:row>0</xdr:row>
      <xdr:rowOff>19049</xdr:rowOff>
    </xdr:from>
    <xdr:to>
      <xdr:col>10</xdr:col>
      <xdr:colOff>9525</xdr:colOff>
      <xdr:row>1</xdr:row>
      <xdr:rowOff>28575</xdr:rowOff>
    </xdr:to>
    <xdr:sp macro="" textlink="">
      <xdr:nvSpPr>
        <xdr:cNvPr id="3" name="Text Box 1">
          <a:extLst>
            <a:ext uri="{FF2B5EF4-FFF2-40B4-BE49-F238E27FC236}">
              <a16:creationId xmlns:a16="http://schemas.microsoft.com/office/drawing/2014/main" id="{00000000-0008-0000-0000-000003000000}"/>
            </a:ext>
          </a:extLst>
        </xdr:cNvPr>
        <xdr:cNvSpPr txBox="1">
          <a:spLocks noChangeArrowheads="1"/>
        </xdr:cNvSpPr>
      </xdr:nvSpPr>
      <xdr:spPr bwMode="auto">
        <a:xfrm>
          <a:off x="685800" y="19049"/>
          <a:ext cx="6572250" cy="219076"/>
        </a:xfrm>
        <a:prstGeom prst="rect">
          <a:avLst/>
        </a:prstGeom>
        <a:solidFill>
          <a:srgbClr val="003366"/>
        </a:solidFill>
        <a:ln>
          <a:noFill/>
        </a:ln>
        <a:effectLst/>
      </xdr:spPr>
      <xdr:txBody>
        <a:bodyPr vertOverflow="clip" wrap="square" lIns="219456" tIns="219456" rIns="219456" bIns="219456" anchor="t" upright="1"/>
        <a:lstStyle/>
        <a:p>
          <a:pPr algn="l" rtl="0">
            <a:lnSpc>
              <a:spcPts val="12100"/>
            </a:lnSpc>
            <a:defRPr sz="1000"/>
          </a:pPr>
          <a:endParaRPr lang="zh-TW" altLang="en-US" sz="9000" b="0" i="0" u="none" strike="noStrike" baseline="0">
            <a:solidFill>
              <a:srgbClr val="FFFFFF"/>
            </a:solidFill>
            <a:latin typeface="Microsoft JhengHei UI"/>
            <a:ea typeface="Microsoft JhengHei UI"/>
          </a:endParaRPr>
        </a:p>
        <a:p>
          <a:pPr algn="l" rtl="0">
            <a:lnSpc>
              <a:spcPts val="12100"/>
            </a:lnSpc>
            <a:defRPr sz="1000"/>
          </a:pPr>
          <a:endParaRPr lang="zh-TW" altLang="en-US" sz="9000" b="0" i="0" u="none" strike="noStrike" baseline="0">
            <a:solidFill>
              <a:srgbClr val="FFFFFF"/>
            </a:solidFill>
            <a:latin typeface="Microsoft JhengHei UI"/>
            <a:ea typeface="Microsoft JhengHei UI"/>
          </a:endParaRPr>
        </a:p>
      </xdr:txBody>
    </xdr:sp>
    <xdr:clientData/>
  </xdr:twoCellAnchor>
  <xdr:twoCellAnchor editAs="oneCell">
    <xdr:from>
      <xdr:col>10</xdr:col>
      <xdr:colOff>0</xdr:colOff>
      <xdr:row>0</xdr:row>
      <xdr:rowOff>0</xdr:rowOff>
    </xdr:from>
    <xdr:to>
      <xdr:col>11</xdr:col>
      <xdr:colOff>101169</xdr:colOff>
      <xdr:row>1</xdr:row>
      <xdr:rowOff>98713</xdr:rowOff>
    </xdr:to>
    <xdr:pic>
      <xdr:nvPicPr>
        <xdr:cNvPr id="5" name="圖片 4">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91216" y="0"/>
          <a:ext cx="715319" cy="294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533400</xdr:colOff>
          <xdr:row>16</xdr:row>
          <xdr:rowOff>190500</xdr:rowOff>
        </xdr:from>
        <xdr:to>
          <xdr:col>16</xdr:col>
          <xdr:colOff>533400</xdr:colOff>
          <xdr:row>19</xdr:row>
          <xdr:rowOff>88900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新細明體"/>
                  <a:ea typeface="新細明體"/>
                </a:rPr>
                <a:t>完成後請按</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336550</xdr:colOff>
          <xdr:row>0</xdr:row>
          <xdr:rowOff>317500</xdr:rowOff>
        </xdr:from>
        <xdr:to>
          <xdr:col>11</xdr:col>
          <xdr:colOff>495300</xdr:colOff>
          <xdr:row>1</xdr:row>
          <xdr:rowOff>336550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新細明體"/>
                  <a:ea typeface="新細明體"/>
                </a:rPr>
                <a:t>CIA關聯校驗</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20</xdr:col>
      <xdr:colOff>688881</xdr:colOff>
      <xdr:row>30</xdr:row>
      <xdr:rowOff>177458</xdr:rowOff>
    </xdr:from>
    <xdr:ext cx="65" cy="172227"/>
    <xdr:sp macro="" textlink="">
      <xdr:nvSpPr>
        <xdr:cNvPr id="2" name="文字方塊 1">
          <a:extLst>
            <a:ext uri="{FF2B5EF4-FFF2-40B4-BE49-F238E27FC236}">
              <a16:creationId xmlns:a16="http://schemas.microsoft.com/office/drawing/2014/main" id="{00000000-0008-0000-0300-000002000000}"/>
            </a:ext>
          </a:extLst>
        </xdr:cNvPr>
        <xdr:cNvSpPr txBox="1"/>
      </xdr:nvSpPr>
      <xdr:spPr>
        <a:xfrm>
          <a:off x="7811835" y="341852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TW" altLang="en-US" sz="1100"/>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20</xdr:col>
      <xdr:colOff>688881</xdr:colOff>
      <xdr:row>29</xdr:row>
      <xdr:rowOff>177458</xdr:rowOff>
    </xdr:from>
    <xdr:ext cx="65" cy="172227"/>
    <xdr:sp macro="" textlink="">
      <xdr:nvSpPr>
        <xdr:cNvPr id="2" name="文字方塊 1">
          <a:extLst>
            <a:ext uri="{FF2B5EF4-FFF2-40B4-BE49-F238E27FC236}">
              <a16:creationId xmlns:a16="http://schemas.microsoft.com/office/drawing/2014/main" id="{00000000-0008-0000-0400-000002000000}"/>
            </a:ext>
          </a:extLst>
        </xdr:cNvPr>
        <xdr:cNvSpPr txBox="1"/>
      </xdr:nvSpPr>
      <xdr:spPr>
        <a:xfrm>
          <a:off x="8537481" y="857850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TW" altLang="en-US" sz="1100"/>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20</xdr:col>
      <xdr:colOff>688881</xdr:colOff>
      <xdr:row>29</xdr:row>
      <xdr:rowOff>177458</xdr:rowOff>
    </xdr:from>
    <xdr:ext cx="65" cy="172227"/>
    <xdr:sp macro="" textlink="">
      <xdr:nvSpPr>
        <xdr:cNvPr id="2" name="文字方塊 1">
          <a:extLst>
            <a:ext uri="{FF2B5EF4-FFF2-40B4-BE49-F238E27FC236}">
              <a16:creationId xmlns:a16="http://schemas.microsoft.com/office/drawing/2014/main" id="{00000000-0008-0000-0500-000002000000}"/>
            </a:ext>
          </a:extLst>
        </xdr:cNvPr>
        <xdr:cNvSpPr txBox="1"/>
      </xdr:nvSpPr>
      <xdr:spPr>
        <a:xfrm>
          <a:off x="8537481" y="857850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TW" altLang="en-US" sz="1100"/>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20</xdr:col>
      <xdr:colOff>688881</xdr:colOff>
      <xdr:row>29</xdr:row>
      <xdr:rowOff>177458</xdr:rowOff>
    </xdr:from>
    <xdr:ext cx="65" cy="172227"/>
    <xdr:sp macro="" textlink="">
      <xdr:nvSpPr>
        <xdr:cNvPr id="2" name="文字方塊 1">
          <a:extLst>
            <a:ext uri="{FF2B5EF4-FFF2-40B4-BE49-F238E27FC236}">
              <a16:creationId xmlns:a16="http://schemas.microsoft.com/office/drawing/2014/main" id="{00000000-0008-0000-0600-000002000000}"/>
            </a:ext>
          </a:extLst>
        </xdr:cNvPr>
        <xdr:cNvSpPr txBox="1"/>
      </xdr:nvSpPr>
      <xdr:spPr>
        <a:xfrm>
          <a:off x="8537481" y="857850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TW" altLang="en-US" sz="1100"/>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20</xdr:col>
      <xdr:colOff>688881</xdr:colOff>
      <xdr:row>30</xdr:row>
      <xdr:rowOff>177458</xdr:rowOff>
    </xdr:from>
    <xdr:ext cx="65" cy="172227"/>
    <xdr:sp macro="" textlink="">
      <xdr:nvSpPr>
        <xdr:cNvPr id="2" name="文字方塊 1">
          <a:extLst>
            <a:ext uri="{FF2B5EF4-FFF2-40B4-BE49-F238E27FC236}">
              <a16:creationId xmlns:a16="http://schemas.microsoft.com/office/drawing/2014/main" id="{00000000-0008-0000-0700-000002000000}"/>
            </a:ext>
          </a:extLst>
        </xdr:cNvPr>
        <xdr:cNvSpPr txBox="1"/>
      </xdr:nvSpPr>
      <xdr:spPr>
        <a:xfrm>
          <a:off x="8537481" y="857850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TW" altLang="en-US"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24037;&#20316;&#38917;&#30446;\FY105\&#39135;&#21697;&#30740;&#31350;&#25152;\&#39135;&#21697;&#30740;&#31350;&#25152;-&#39080;&#38570;&#35413;&#37969;\&#22521;&#33775;&#31684;&#20363;\20150707\20150707\RA\&#39080;&#38570;&#35413;&#37969;_&#20154;&#21729;&#39006;_2015070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38568;&#36523;&#30879;backup(101.7.26)\&#28450;&#27665;&#31185;&#25216;\RA\&#36575;&#39636;&#39006;&#36039;&#29986;.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資產清單資訊"/>
      <sheetName val="人員資產群組清單"/>
      <sheetName val="人員風險_PE_01"/>
      <sheetName val="人員風險_PE_03"/>
      <sheetName val="人員風險_PE_10"/>
      <sheetName val="人員風險_PE_11"/>
      <sheetName val="人員風險_PE_13"/>
      <sheetName val="人員風險_PE_12"/>
      <sheetName val="人員風險_PE_14"/>
      <sheetName val="人員風險_PE_15"/>
      <sheetName val="人員風險_16"/>
      <sheetName val="人員風險_PE_17"/>
      <sheetName val="人員風險_PE_18"/>
      <sheetName val="人員風險_PE_21"/>
      <sheetName val="人員風險_PE_22"/>
      <sheetName val="人員風險_PE_23"/>
      <sheetName val="人員風險_PE_25"/>
      <sheetName val="人員風險_PE_28"/>
      <sheetName val="人員風險_PE_36"/>
      <sheetName val="Ref"/>
      <sheetName val="工作表1"/>
    </sheetNames>
    <sheetDataSet>
      <sheetData sheetId="0">
        <row r="4">
          <cell r="D4" t="str">
            <v>漢民</v>
          </cell>
        </row>
      </sheetData>
      <sheetData sheetId="1">
        <row r="10">
          <cell r="D10" t="str">
            <v>(01) 管理階層</v>
          </cell>
        </row>
        <row r="11">
          <cell r="D11" t="str">
            <v>(06) Service Desk 人員</v>
          </cell>
        </row>
        <row r="12">
          <cell r="D12" t="str">
            <v>(06) Service Desk 人員</v>
          </cell>
        </row>
        <row r="13">
          <cell r="D13" t="str">
            <v>(06) Service Desk 人員</v>
          </cell>
        </row>
        <row r="14">
          <cell r="D14" t="str">
            <v>(06) Service Desk 人員</v>
          </cell>
        </row>
        <row r="15">
          <cell r="D15" t="str">
            <v>(06) Service Desk 人員</v>
          </cell>
        </row>
        <row r="16">
          <cell r="D16" t="str">
            <v>(06) Service Desk 人員</v>
          </cell>
        </row>
        <row r="17">
          <cell r="D17" t="str">
            <v>(06) Service Desk 人員</v>
          </cell>
        </row>
        <row r="18">
          <cell r="D18" t="str">
            <v>(06) Service Desk 人員</v>
          </cell>
        </row>
        <row r="19">
          <cell r="D19" t="str">
            <v>(05) 專案Leader</v>
          </cell>
        </row>
        <row r="20">
          <cell r="D20" t="str">
            <v>(03) MIS人員</v>
          </cell>
        </row>
        <row r="21">
          <cell r="D21" t="str">
            <v>(03) MIS人員</v>
          </cell>
        </row>
        <row r="22">
          <cell r="D22" t="str">
            <v>(05) 專案Leader</v>
          </cell>
        </row>
        <row r="23">
          <cell r="D23" t="str">
            <v>(03) MIS人員</v>
          </cell>
        </row>
        <row r="24">
          <cell r="D24" t="str">
            <v>(03) MIS人員</v>
          </cell>
        </row>
        <row r="25">
          <cell r="D25" t="str">
            <v>(03) MIS人員</v>
          </cell>
        </row>
        <row r="26">
          <cell r="D26" t="str">
            <v>(06) Service Desk 人員</v>
          </cell>
        </row>
        <row r="27">
          <cell r="D27" t="str">
            <v>(03) MIS人員</v>
          </cell>
        </row>
        <row r="28">
          <cell r="D28" t="str">
            <v>(05) 專案Leader</v>
          </cell>
        </row>
        <row r="29">
          <cell r="D29" t="str">
            <v>(03) MIS人員</v>
          </cell>
        </row>
        <row r="30">
          <cell r="D30" t="str">
            <v>(03) MIS人員</v>
          </cell>
        </row>
        <row r="31">
          <cell r="D31" t="str">
            <v>(03) MIS人員</v>
          </cell>
        </row>
        <row r="32">
          <cell r="D32" t="str">
            <v>(03) MIS人員</v>
          </cell>
        </row>
        <row r="33">
          <cell r="D33" t="str">
            <v>(03) MIS人員</v>
          </cell>
        </row>
        <row r="34">
          <cell r="D34" t="str">
            <v>(09) 合作夥伴(供應鏈上下游)</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3">
          <cell r="C3" t="str">
            <v>(01) 管理階層</v>
          </cell>
          <cell r="D3">
            <v>1</v>
          </cell>
          <cell r="M3">
            <v>1</v>
          </cell>
          <cell r="P3">
            <v>1</v>
          </cell>
          <cell r="S3">
            <v>1</v>
          </cell>
          <cell r="V3">
            <v>1</v>
          </cell>
          <cell r="Y3">
            <v>1</v>
          </cell>
          <cell r="AB3">
            <v>1</v>
          </cell>
          <cell r="AE3" t="str">
            <v>Y</v>
          </cell>
        </row>
        <row r="4">
          <cell r="C4" t="str">
            <v>(02) 研發人員</v>
          </cell>
          <cell r="D4">
            <v>0</v>
          </cell>
          <cell r="M4">
            <v>2</v>
          </cell>
          <cell r="P4">
            <v>2</v>
          </cell>
          <cell r="S4">
            <v>2</v>
          </cell>
          <cell r="V4">
            <v>2</v>
          </cell>
          <cell r="Y4">
            <v>2</v>
          </cell>
          <cell r="AB4">
            <v>2</v>
          </cell>
          <cell r="AE4" t="str">
            <v>N</v>
          </cell>
        </row>
        <row r="5">
          <cell r="C5" t="str">
            <v>(03) MIS人員</v>
          </cell>
          <cell r="D5">
            <v>11</v>
          </cell>
          <cell r="M5">
            <v>3</v>
          </cell>
          <cell r="P5">
            <v>3</v>
          </cell>
          <cell r="S5">
            <v>3</v>
          </cell>
          <cell r="V5">
            <v>3</v>
          </cell>
          <cell r="Y5">
            <v>3</v>
          </cell>
          <cell r="AB5">
            <v>3</v>
          </cell>
        </row>
        <row r="6">
          <cell r="C6" t="str">
            <v>(04) 工讀生</v>
          </cell>
          <cell r="D6">
            <v>0</v>
          </cell>
          <cell r="M6">
            <v>4</v>
          </cell>
          <cell r="P6">
            <v>4</v>
          </cell>
          <cell r="S6">
            <v>4</v>
          </cell>
          <cell r="V6">
            <v>4</v>
          </cell>
          <cell r="Y6">
            <v>4</v>
          </cell>
          <cell r="AB6">
            <v>4</v>
          </cell>
        </row>
        <row r="7">
          <cell r="C7" t="str">
            <v>(05) 專案Leader</v>
          </cell>
          <cell r="D7">
            <v>0</v>
          </cell>
        </row>
        <row r="8">
          <cell r="C8" t="str">
            <v>(06) Service Desk 人員</v>
          </cell>
          <cell r="D8">
            <v>1</v>
          </cell>
        </row>
        <row r="9">
          <cell r="C9" t="str">
            <v>(07) 駐點人員</v>
          </cell>
          <cell r="D9">
            <v>0</v>
          </cell>
        </row>
        <row r="10">
          <cell r="C10" t="str">
            <v>(08) 清潔人員</v>
          </cell>
          <cell r="D10">
            <v>0</v>
          </cell>
        </row>
        <row r="11">
          <cell r="C11" t="str">
            <v>(09) 合作夥伴(供應鏈上下游)</v>
          </cell>
          <cell r="D11">
            <v>0</v>
          </cell>
        </row>
        <row r="12">
          <cell r="C12" t="str">
            <v>(05) 聘僱人員</v>
          </cell>
          <cell r="D12">
            <v>0</v>
          </cell>
        </row>
      </sheetData>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資產清單資訊"/>
      <sheetName val="軟體資產群組清單"/>
      <sheetName val="軟體風險_SW_01"/>
      <sheetName val="軟體風險_SW_02"/>
      <sheetName val="Ref"/>
    </sheetNames>
    <sheetDataSet>
      <sheetData sheetId="0"/>
      <sheetData sheetId="1">
        <row r="11">
          <cell r="A11" t="str">
            <v>SW-01</v>
          </cell>
          <cell r="B11" t="str">
            <v>05</v>
          </cell>
          <cell r="C11" t="str">
            <v>01</v>
          </cell>
          <cell r="D11" t="str">
            <v>(05) 套裝軟體</v>
          </cell>
          <cell r="E11" t="str">
            <v>oracle</v>
          </cell>
          <cell r="J11">
            <v>4</v>
          </cell>
          <cell r="L11">
            <v>1</v>
          </cell>
          <cell r="N11">
            <v>2</v>
          </cell>
          <cell r="P11">
            <v>3</v>
          </cell>
          <cell r="R11">
            <v>4</v>
          </cell>
        </row>
        <row r="12">
          <cell r="A12" t="str">
            <v>SW-02</v>
          </cell>
          <cell r="B12" t="str">
            <v>03</v>
          </cell>
          <cell r="C12" t="str">
            <v>02</v>
          </cell>
          <cell r="D12" t="str">
            <v>(03) 資料庫</v>
          </cell>
          <cell r="E12" t="str">
            <v>人員資料庫</v>
          </cell>
          <cell r="G12" t="str">
            <v>機房</v>
          </cell>
          <cell r="J12">
            <v>4</v>
          </cell>
          <cell r="L12">
            <v>4</v>
          </cell>
          <cell r="N12">
            <v>4</v>
          </cell>
          <cell r="P12">
            <v>4</v>
          </cell>
          <cell r="R12">
            <v>4</v>
          </cell>
        </row>
        <row r="13">
          <cell r="A13" t="str">
            <v>SW-03</v>
          </cell>
          <cell r="B13" t="str">
            <v>01</v>
          </cell>
          <cell r="C13" t="str">
            <v>03</v>
          </cell>
          <cell r="D13" t="str">
            <v>(01) 應用系統</v>
          </cell>
          <cell r="E13" t="str">
            <v>官網</v>
          </cell>
          <cell r="F13" t="str">
            <v>自行開發</v>
          </cell>
          <cell r="G13" t="str">
            <v>機房</v>
          </cell>
          <cell r="R13">
            <v>0</v>
          </cell>
        </row>
        <row r="14">
          <cell r="A14" t="str">
            <v>SW-04</v>
          </cell>
          <cell r="B14" t="str">
            <v>01</v>
          </cell>
          <cell r="C14" t="str">
            <v>04</v>
          </cell>
          <cell r="D14" t="str">
            <v>(01) 應用系統</v>
          </cell>
          <cell r="E14" t="str">
            <v>人事系統</v>
          </cell>
          <cell r="F14" t="str">
            <v>委外開發</v>
          </cell>
          <cell r="G14" t="str">
            <v>機房</v>
          </cell>
          <cell r="R14">
            <v>0</v>
          </cell>
        </row>
        <row r="15">
          <cell r="A15" t="str">
            <v>未輸入</v>
          </cell>
          <cell r="B15" t="str">
            <v/>
          </cell>
          <cell r="R15">
            <v>0</v>
          </cell>
        </row>
        <row r="16">
          <cell r="A16" t="str">
            <v>未輸入</v>
          </cell>
          <cell r="B16" t="str">
            <v/>
          </cell>
          <cell r="R16">
            <v>0</v>
          </cell>
        </row>
        <row r="17">
          <cell r="A17" t="str">
            <v>未輸入</v>
          </cell>
          <cell r="B17" t="str">
            <v/>
          </cell>
          <cell r="R17">
            <v>0</v>
          </cell>
        </row>
        <row r="18">
          <cell r="A18" t="str">
            <v>未輸入</v>
          </cell>
          <cell r="B18" t="str">
            <v/>
          </cell>
          <cell r="R18">
            <v>0</v>
          </cell>
        </row>
        <row r="19">
          <cell r="A19" t="str">
            <v>未輸入</v>
          </cell>
          <cell r="B19" t="str">
            <v/>
          </cell>
          <cell r="R19">
            <v>0</v>
          </cell>
        </row>
        <row r="20">
          <cell r="A20" t="str">
            <v>未輸入</v>
          </cell>
          <cell r="B20" t="str">
            <v/>
          </cell>
          <cell r="R20">
            <v>0</v>
          </cell>
        </row>
        <row r="21">
          <cell r="A21" t="str">
            <v>未輸入</v>
          </cell>
          <cell r="B21" t="str">
            <v/>
          </cell>
          <cell r="R21">
            <v>0</v>
          </cell>
        </row>
        <row r="22">
          <cell r="A22" t="str">
            <v>未輸入</v>
          </cell>
          <cell r="B22" t="str">
            <v/>
          </cell>
          <cell r="R22">
            <v>0</v>
          </cell>
        </row>
        <row r="23">
          <cell r="A23" t="str">
            <v>未輸入</v>
          </cell>
          <cell r="B23" t="str">
            <v/>
          </cell>
          <cell r="R23">
            <v>0</v>
          </cell>
        </row>
        <row r="24">
          <cell r="A24" t="str">
            <v>未輸入</v>
          </cell>
          <cell r="B24" t="str">
            <v/>
          </cell>
          <cell r="R24">
            <v>0</v>
          </cell>
        </row>
        <row r="25">
          <cell r="A25" t="str">
            <v>未輸入</v>
          </cell>
          <cell r="B25" t="str">
            <v/>
          </cell>
          <cell r="R25">
            <v>0</v>
          </cell>
        </row>
        <row r="26">
          <cell r="A26" t="str">
            <v>未輸入</v>
          </cell>
          <cell r="R26">
            <v>0</v>
          </cell>
        </row>
        <row r="27">
          <cell r="A27" t="str">
            <v>未輸入</v>
          </cell>
          <cell r="R27">
            <v>0</v>
          </cell>
        </row>
        <row r="28">
          <cell r="A28" t="str">
            <v>未輸入</v>
          </cell>
          <cell r="R28">
            <v>0</v>
          </cell>
        </row>
        <row r="29">
          <cell r="A29" t="str">
            <v>未輸入</v>
          </cell>
          <cell r="R29">
            <v>0</v>
          </cell>
        </row>
        <row r="30">
          <cell r="A30" t="str">
            <v>未輸入</v>
          </cell>
          <cell r="R30">
            <v>0</v>
          </cell>
        </row>
        <row r="31">
          <cell r="A31" t="str">
            <v>未輸入</v>
          </cell>
          <cell r="R31">
            <v>0</v>
          </cell>
        </row>
        <row r="32">
          <cell r="A32" t="str">
            <v>未輸入</v>
          </cell>
          <cell r="R32">
            <v>0</v>
          </cell>
        </row>
        <row r="33">
          <cell r="A33" t="str">
            <v>未輸入</v>
          </cell>
          <cell r="R33">
            <v>0</v>
          </cell>
        </row>
        <row r="34">
          <cell r="A34" t="str">
            <v>未輸入</v>
          </cell>
          <cell r="R34">
            <v>0</v>
          </cell>
        </row>
        <row r="35">
          <cell r="A35" t="str">
            <v>未輸入</v>
          </cell>
          <cell r="R35">
            <v>0</v>
          </cell>
        </row>
        <row r="36">
          <cell r="A36" t="str">
            <v>未輸入</v>
          </cell>
          <cell r="R36">
            <v>0</v>
          </cell>
        </row>
        <row r="37">
          <cell r="A37" t="str">
            <v>未輸入</v>
          </cell>
          <cell r="R37">
            <v>0</v>
          </cell>
        </row>
        <row r="38">
          <cell r="A38" t="str">
            <v>未輸入</v>
          </cell>
          <cell r="R38">
            <v>0</v>
          </cell>
        </row>
        <row r="39">
          <cell r="A39" t="str">
            <v>未輸入</v>
          </cell>
          <cell r="R39">
            <v>0</v>
          </cell>
        </row>
        <row r="40">
          <cell r="A40" t="str">
            <v>未輸入</v>
          </cell>
          <cell r="R40">
            <v>0</v>
          </cell>
        </row>
        <row r="41">
          <cell r="A41" t="str">
            <v>未輸入</v>
          </cell>
          <cell r="R41">
            <v>0</v>
          </cell>
        </row>
        <row r="42">
          <cell r="A42" t="str">
            <v>未輸入</v>
          </cell>
          <cell r="R42">
            <v>0</v>
          </cell>
        </row>
        <row r="43">
          <cell r="A43" t="str">
            <v>未輸入</v>
          </cell>
          <cell r="R43">
            <v>0</v>
          </cell>
        </row>
        <row r="44">
          <cell r="A44" t="str">
            <v>未輸入</v>
          </cell>
          <cell r="R44">
            <v>0</v>
          </cell>
        </row>
        <row r="45">
          <cell r="A45" t="str">
            <v>未輸入</v>
          </cell>
          <cell r="R45">
            <v>0</v>
          </cell>
        </row>
        <row r="46">
          <cell r="A46" t="str">
            <v>未輸入</v>
          </cell>
          <cell r="R46">
            <v>0</v>
          </cell>
        </row>
        <row r="47">
          <cell r="A47" t="str">
            <v>未輸入</v>
          </cell>
          <cell r="R47">
            <v>0</v>
          </cell>
        </row>
        <row r="48">
          <cell r="A48" t="str">
            <v>未輸入</v>
          </cell>
          <cell r="R48">
            <v>0</v>
          </cell>
        </row>
        <row r="49">
          <cell r="A49" t="str">
            <v>未輸入</v>
          </cell>
          <cell r="R49">
            <v>0</v>
          </cell>
        </row>
        <row r="50">
          <cell r="A50" t="str">
            <v>未輸入</v>
          </cell>
          <cell r="R50">
            <v>0</v>
          </cell>
        </row>
      </sheetData>
      <sheetData sheetId="2"/>
      <sheetData sheetId="3"/>
      <sheetData sheetId="4">
        <row r="3">
          <cell r="C3" t="str">
            <v>(01) 應用系統</v>
          </cell>
        </row>
      </sheetData>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4"/>
  </sheetPr>
  <dimension ref="B3:J15"/>
  <sheetViews>
    <sheetView topLeftCell="A7" zoomScale="80" zoomScaleNormal="80" workbookViewId="0">
      <selection activeCell="C11" sqref="C11:J11"/>
    </sheetView>
  </sheetViews>
  <sheetFormatPr defaultColWidth="9" defaultRowHeight="15.5"/>
  <cols>
    <col min="1" max="1" width="9" style="5"/>
    <col min="2" max="2" width="14.08984375" style="5" customWidth="1"/>
    <col min="3" max="16384" width="9" style="5"/>
  </cols>
  <sheetData>
    <row r="3" spans="2:10" ht="63.25" customHeight="1">
      <c r="B3" s="104" t="s">
        <v>145</v>
      </c>
      <c r="C3" s="104"/>
      <c r="D3" s="104"/>
      <c r="E3" s="104"/>
      <c r="F3" s="104"/>
      <c r="G3" s="104"/>
      <c r="H3" s="104"/>
      <c r="I3" s="104"/>
      <c r="J3" s="104"/>
    </row>
    <row r="4" spans="2:10" ht="78.75" customHeight="1">
      <c r="B4" s="105" t="s">
        <v>33</v>
      </c>
      <c r="C4" s="106"/>
      <c r="D4" s="106"/>
      <c r="E4" s="106"/>
      <c r="F4" s="106"/>
      <c r="G4" s="106"/>
      <c r="H4" s="106"/>
      <c r="I4" s="106"/>
      <c r="J4" s="106"/>
    </row>
    <row r="5" spans="2:10" ht="78.75" customHeight="1">
      <c r="B5" s="107" t="s">
        <v>31</v>
      </c>
      <c r="C5" s="107"/>
      <c r="D5" s="107"/>
      <c r="E5" s="107"/>
      <c r="F5" s="107"/>
      <c r="G5" s="107"/>
      <c r="H5" s="107"/>
      <c r="I5" s="107"/>
      <c r="J5" s="107"/>
    </row>
    <row r="7" spans="2:10" ht="98.5" customHeight="1">
      <c r="B7" s="103" t="s">
        <v>78</v>
      </c>
      <c r="C7" s="103"/>
      <c r="D7" s="103"/>
      <c r="E7" s="103"/>
      <c r="F7" s="103"/>
      <c r="G7" s="103"/>
      <c r="H7" s="103"/>
      <c r="I7" s="103"/>
      <c r="J7" s="103"/>
    </row>
    <row r="9" spans="2:10" ht="16.649999999999999" hidden="1" customHeight="1">
      <c r="B9" s="1" t="s">
        <v>44</v>
      </c>
      <c r="C9" s="100"/>
      <c r="D9" s="101"/>
      <c r="E9" s="101"/>
      <c r="F9" s="101"/>
      <c r="G9" s="101"/>
      <c r="H9" s="101"/>
      <c r="I9" s="101"/>
      <c r="J9" s="102"/>
    </row>
    <row r="10" spans="2:10" ht="16">
      <c r="B10" s="1" t="s">
        <v>45</v>
      </c>
      <c r="C10" s="108" t="s">
        <v>146</v>
      </c>
      <c r="D10" s="109"/>
      <c r="E10" s="109"/>
      <c r="F10" s="109"/>
      <c r="G10" s="109"/>
      <c r="H10" s="109"/>
      <c r="I10" s="109"/>
      <c r="J10" s="110"/>
    </row>
    <row r="11" spans="2:10" ht="16">
      <c r="B11" s="1" t="s">
        <v>46</v>
      </c>
      <c r="C11" s="94" t="s">
        <v>215</v>
      </c>
      <c r="D11" s="95"/>
      <c r="E11" s="95"/>
      <c r="F11" s="95"/>
      <c r="G11" s="95"/>
      <c r="H11" s="95"/>
      <c r="I11" s="95"/>
      <c r="J11" s="96"/>
    </row>
    <row r="12" spans="2:10" ht="16">
      <c r="B12" s="1" t="s">
        <v>0</v>
      </c>
      <c r="C12" s="97">
        <v>1</v>
      </c>
      <c r="D12" s="98"/>
      <c r="E12" s="98"/>
      <c r="F12" s="98"/>
      <c r="G12" s="98"/>
      <c r="H12" s="98"/>
      <c r="I12" s="98"/>
      <c r="J12" s="99"/>
    </row>
    <row r="13" spans="2:10" ht="16">
      <c r="B13" s="1" t="s">
        <v>1</v>
      </c>
      <c r="C13" s="100" t="s">
        <v>34</v>
      </c>
      <c r="D13" s="101"/>
      <c r="E13" s="101"/>
      <c r="F13" s="101"/>
      <c r="G13" s="101"/>
      <c r="H13" s="101"/>
      <c r="I13" s="101"/>
      <c r="J13" s="102"/>
    </row>
    <row r="15" spans="2:10">
      <c r="B15" s="93" t="s">
        <v>143</v>
      </c>
      <c r="C15" s="93"/>
      <c r="D15" s="93"/>
      <c r="E15" s="93"/>
      <c r="F15" s="93"/>
      <c r="G15" s="93"/>
      <c r="H15" s="93"/>
      <c r="I15" s="93"/>
      <c r="J15" s="93"/>
    </row>
  </sheetData>
  <mergeCells count="10">
    <mergeCell ref="B3:J3"/>
    <mergeCell ref="B4:J4"/>
    <mergeCell ref="B5:J5"/>
    <mergeCell ref="C9:J9"/>
    <mergeCell ref="C10:J10"/>
    <mergeCell ref="B15:J15"/>
    <mergeCell ref="C11:J11"/>
    <mergeCell ref="C12:J12"/>
    <mergeCell ref="C13:J13"/>
    <mergeCell ref="B7:J7"/>
  </mergeCells>
  <phoneticPr fontId="1" type="noConversion"/>
  <dataValidations count="1">
    <dataValidation type="list" allowBlank="1" showInputMessage="1" showErrorMessage="1" sqref="C13:J13" xr:uid="{00000000-0002-0000-0000-000000000000}">
      <formula1>"一般,限閱級,密級,機密級"</formula1>
    </dataValidation>
  </dataValidations>
  <pageMargins left="1.9685039370078741" right="0.70866141732283472" top="0.74803149606299213" bottom="0.74803149606299213" header="0.31496062992125984" footer="0.31496062992125984"/>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theme="9" tint="-0.249977111117893"/>
    <pageSetUpPr fitToPage="1"/>
  </sheetPr>
  <dimension ref="A1:Q14"/>
  <sheetViews>
    <sheetView tabSelected="1" zoomScale="85" zoomScaleNormal="85" workbookViewId="0">
      <pane xSplit="2" ySplit="9" topLeftCell="C12" activePane="bottomRight" state="frozen"/>
      <selection pane="topRight" activeCell="C1" sqref="C1"/>
      <selection pane="bottomLeft" activeCell="A10" sqref="A10"/>
      <selection pane="bottomRight" activeCell="G11" sqref="G10:G11"/>
    </sheetView>
  </sheetViews>
  <sheetFormatPr defaultColWidth="9" defaultRowHeight="15.5"/>
  <cols>
    <col min="1" max="1" width="16.453125" style="22" customWidth="1"/>
    <col min="2" max="2" width="17.08984375" style="22" hidden="1" customWidth="1"/>
    <col min="3" max="3" width="16.6328125" style="22" customWidth="1"/>
    <col min="4" max="4" width="18.90625" style="22" customWidth="1"/>
    <col min="5" max="5" width="16.6328125" style="22" customWidth="1"/>
    <col min="6" max="6" width="6.08984375" style="22" customWidth="1"/>
    <col min="7" max="7" width="8.90625" style="68" customWidth="1"/>
    <col min="8" max="8" width="6.08984375" style="22" customWidth="1"/>
    <col min="9" max="9" width="13.453125" style="22" customWidth="1"/>
    <col min="10" max="10" width="6.08984375" style="22" customWidth="1"/>
    <col min="11" max="11" width="13.453125" style="22" customWidth="1"/>
    <col min="12" max="12" width="6.08984375" style="22" customWidth="1"/>
    <col min="13" max="13" width="13.453125" style="22" customWidth="1"/>
    <col min="14" max="14" width="6.08984375" style="22" customWidth="1"/>
    <col min="15" max="15" width="13.453125" style="22" customWidth="1"/>
    <col min="16" max="16" width="6.08984375" style="22" customWidth="1"/>
    <col min="17" max="17" width="8.90625" style="68" customWidth="1"/>
    <col min="18" max="16384" width="9" style="22"/>
  </cols>
  <sheetData>
    <row r="1" spans="1:17" s="19" customFormat="1">
      <c r="A1" s="111" t="str">
        <f>資訊清單資訊!B3</f>
        <v>石油與天然氣輸儲查核與檢測雲端平台</v>
      </c>
      <c r="B1" s="111"/>
      <c r="C1" s="111"/>
      <c r="D1" s="111"/>
      <c r="E1" s="111"/>
      <c r="F1" s="111"/>
      <c r="G1" s="111"/>
      <c r="H1" s="111"/>
      <c r="I1" s="111"/>
      <c r="J1" s="111"/>
      <c r="K1" s="111"/>
      <c r="L1" s="111"/>
      <c r="M1" s="111"/>
      <c r="N1" s="111"/>
      <c r="O1" s="111"/>
      <c r="P1" s="111"/>
      <c r="Q1" s="111"/>
    </row>
    <row r="2" spans="1:17" s="19" customFormat="1">
      <c r="A2" s="111" t="str">
        <f>資訊清單資訊!B7 &amp;"資訊資產清冊"</f>
        <v>硬體類(HW)資訊資產清冊</v>
      </c>
      <c r="B2" s="111"/>
      <c r="C2" s="111"/>
      <c r="D2" s="111"/>
      <c r="E2" s="111"/>
      <c r="F2" s="111"/>
      <c r="G2" s="111"/>
      <c r="H2" s="111"/>
      <c r="I2" s="111"/>
      <c r="J2" s="111"/>
      <c r="K2" s="111"/>
      <c r="L2" s="111"/>
      <c r="M2" s="111"/>
      <c r="N2" s="111"/>
      <c r="O2" s="111"/>
      <c r="P2" s="111"/>
      <c r="Q2" s="111"/>
    </row>
    <row r="3" spans="1:17" s="4" customFormat="1" hidden="1">
      <c r="A3" s="112" t="str">
        <f>資訊清單資訊!B9&amp; " : " &amp;資訊清單資訊!C9</f>
        <v xml:space="preserve">計畫代號 : </v>
      </c>
      <c r="B3" s="112"/>
      <c r="C3" s="112"/>
      <c r="D3" s="112"/>
      <c r="E3" s="112"/>
      <c r="F3" s="112"/>
      <c r="G3" s="112"/>
      <c r="H3" s="112"/>
      <c r="I3" s="112"/>
      <c r="J3" s="112"/>
      <c r="K3" s="112"/>
      <c r="L3" s="112"/>
      <c r="M3" s="112"/>
      <c r="N3" s="112"/>
      <c r="O3" s="112"/>
      <c r="P3" s="112"/>
      <c r="Q3" s="112"/>
    </row>
    <row r="4" spans="1:17" s="20" customFormat="1">
      <c r="A4" s="112" t="str">
        <f>資訊清單資訊!B10&amp; " : " &amp;資訊清單資訊!C10</f>
        <v>編號 : 材1-1</v>
      </c>
      <c r="B4" s="112"/>
      <c r="C4" s="112"/>
      <c r="D4" s="112"/>
      <c r="E4" s="112"/>
      <c r="F4" s="112"/>
      <c r="G4" s="112"/>
      <c r="H4" s="112"/>
      <c r="I4" s="112"/>
      <c r="J4" s="112"/>
      <c r="K4" s="112"/>
      <c r="L4" s="112"/>
      <c r="M4" s="112"/>
      <c r="N4" s="112"/>
      <c r="O4" s="112"/>
      <c r="P4" s="112"/>
      <c r="Q4" s="112"/>
    </row>
    <row r="5" spans="1:17" s="20" customFormat="1">
      <c r="A5" s="112" t="str">
        <f>資訊清單資訊!B11&amp; " : " &amp;資訊清單資訊!C11</f>
        <v>日期 : 112/5/5</v>
      </c>
      <c r="B5" s="112"/>
      <c r="C5" s="112"/>
      <c r="D5" s="112"/>
      <c r="E5" s="112"/>
      <c r="F5" s="112"/>
      <c r="G5" s="112"/>
      <c r="H5" s="112"/>
      <c r="I5" s="112"/>
      <c r="J5" s="112"/>
      <c r="K5" s="112"/>
      <c r="L5" s="112"/>
      <c r="M5" s="112"/>
      <c r="N5" s="112"/>
      <c r="O5" s="112"/>
      <c r="P5" s="112"/>
      <c r="Q5" s="112"/>
    </row>
    <row r="6" spans="1:17" s="20" customFormat="1">
      <c r="A6" s="112" t="str">
        <f>資訊清單資訊!B12&amp; " : " &amp;資訊清單資訊!C12</f>
        <v>版本 : 1</v>
      </c>
      <c r="B6" s="112"/>
      <c r="C6" s="112"/>
      <c r="D6" s="112"/>
      <c r="E6" s="112"/>
      <c r="F6" s="112"/>
      <c r="G6" s="112"/>
      <c r="H6" s="112"/>
      <c r="I6" s="112"/>
      <c r="J6" s="112"/>
      <c r="K6" s="112"/>
      <c r="L6" s="112"/>
      <c r="M6" s="112"/>
      <c r="N6" s="112"/>
      <c r="O6" s="112"/>
      <c r="P6" s="112"/>
      <c r="Q6" s="112"/>
    </row>
    <row r="7" spans="1:17" s="20" customFormat="1">
      <c r="A7" s="113" t="str">
        <f>資訊清單資訊!B13&amp; " : " &amp;資訊清單資訊!C13</f>
        <v>機密等級 : 限閱級</v>
      </c>
      <c r="B7" s="112"/>
      <c r="C7" s="112"/>
      <c r="D7" s="112"/>
      <c r="E7" s="112"/>
      <c r="F7" s="112"/>
      <c r="G7" s="112"/>
      <c r="H7" s="112"/>
      <c r="I7" s="112"/>
      <c r="J7" s="112"/>
      <c r="K7" s="112"/>
      <c r="L7" s="112"/>
      <c r="M7" s="112"/>
      <c r="N7" s="112"/>
      <c r="O7" s="112"/>
      <c r="P7" s="112"/>
      <c r="Q7" s="112"/>
    </row>
    <row r="8" spans="1:17" s="67" customFormat="1">
      <c r="A8" s="24"/>
      <c r="B8" s="114" t="s">
        <v>57</v>
      </c>
      <c r="C8" s="114"/>
      <c r="D8" s="114"/>
      <c r="E8" s="114"/>
      <c r="F8" s="114"/>
      <c r="G8" s="115"/>
      <c r="H8" s="116" t="s">
        <v>72</v>
      </c>
      <c r="I8" s="117"/>
      <c r="J8" s="117"/>
      <c r="K8" s="117"/>
      <c r="L8" s="117"/>
      <c r="M8" s="117"/>
      <c r="N8" s="117"/>
      <c r="O8" s="117"/>
      <c r="P8" s="117"/>
      <c r="Q8" s="118"/>
    </row>
    <row r="9" spans="1:17" s="68" customFormat="1" ht="31">
      <c r="A9" s="25" t="s">
        <v>73</v>
      </c>
      <c r="B9" s="23" t="s">
        <v>2</v>
      </c>
      <c r="C9" s="13" t="s">
        <v>58</v>
      </c>
      <c r="D9" s="13" t="s">
        <v>59</v>
      </c>
      <c r="E9" s="13" t="s">
        <v>60</v>
      </c>
      <c r="F9" s="13" t="s">
        <v>61</v>
      </c>
      <c r="G9" s="13" t="s">
        <v>62</v>
      </c>
      <c r="H9" s="12" t="s">
        <v>63</v>
      </c>
      <c r="I9" s="12" t="s">
        <v>64</v>
      </c>
      <c r="J9" s="12" t="s">
        <v>65</v>
      </c>
      <c r="K9" s="12" t="s">
        <v>66</v>
      </c>
      <c r="L9" s="12" t="s">
        <v>67</v>
      </c>
      <c r="M9" s="12" t="s">
        <v>64</v>
      </c>
      <c r="N9" s="12" t="s">
        <v>68</v>
      </c>
      <c r="O9" s="12" t="s">
        <v>69</v>
      </c>
      <c r="P9" s="12" t="s">
        <v>70</v>
      </c>
      <c r="Q9" s="14" t="s">
        <v>71</v>
      </c>
    </row>
    <row r="10" spans="1:17" s="67" customFormat="1" ht="62">
      <c r="A10" s="66" t="s">
        <v>147</v>
      </c>
      <c r="B10" s="66"/>
      <c r="C10" s="86" t="s">
        <v>217</v>
      </c>
      <c r="D10" s="86" t="s">
        <v>152</v>
      </c>
      <c r="E10" s="86" t="s">
        <v>153</v>
      </c>
      <c r="F10" s="80">
        <v>1</v>
      </c>
      <c r="G10" s="89" t="s">
        <v>220</v>
      </c>
      <c r="H10" s="81">
        <v>3</v>
      </c>
      <c r="I10" s="66" t="s">
        <v>154</v>
      </c>
      <c r="J10" s="81">
        <v>2</v>
      </c>
      <c r="K10" s="79" t="s">
        <v>155</v>
      </c>
      <c r="L10" s="81">
        <v>2</v>
      </c>
      <c r="M10" s="86" t="s">
        <v>202</v>
      </c>
      <c r="N10" s="81">
        <v>3</v>
      </c>
      <c r="O10" s="79" t="s">
        <v>156</v>
      </c>
      <c r="P10" s="81">
        <f t="shared" ref="P10:P14" si="0">MAX(H10,J10,L10,N10)</f>
        <v>3</v>
      </c>
      <c r="Q10" s="82" t="s">
        <v>161</v>
      </c>
    </row>
    <row r="11" spans="1:17" s="67" customFormat="1" ht="62">
      <c r="A11" s="66" t="s">
        <v>148</v>
      </c>
      <c r="B11" s="66"/>
      <c r="C11" s="86" t="s">
        <v>218</v>
      </c>
      <c r="D11" s="86" t="s">
        <v>157</v>
      </c>
      <c r="E11" s="86" t="s">
        <v>153</v>
      </c>
      <c r="F11" s="80">
        <v>1</v>
      </c>
      <c r="G11" s="89" t="s">
        <v>220</v>
      </c>
      <c r="H11" s="81">
        <v>3</v>
      </c>
      <c r="I11" s="66" t="s">
        <v>154</v>
      </c>
      <c r="J11" s="81">
        <v>2</v>
      </c>
      <c r="K11" s="79" t="s">
        <v>155</v>
      </c>
      <c r="L11" s="81">
        <v>2</v>
      </c>
      <c r="M11" s="86" t="s">
        <v>202</v>
      </c>
      <c r="N11" s="81">
        <v>3</v>
      </c>
      <c r="O11" s="79" t="s">
        <v>156</v>
      </c>
      <c r="P11" s="81">
        <f t="shared" si="0"/>
        <v>3</v>
      </c>
      <c r="Q11" s="82" t="s">
        <v>161</v>
      </c>
    </row>
    <row r="12" spans="1:17" s="67" customFormat="1" ht="46.5">
      <c r="A12" s="66" t="s">
        <v>149</v>
      </c>
      <c r="B12" s="66"/>
      <c r="C12" s="87" t="s">
        <v>158</v>
      </c>
      <c r="D12" s="87" t="s">
        <v>159</v>
      </c>
      <c r="E12" s="88" t="s">
        <v>160</v>
      </c>
      <c r="F12" s="83">
        <v>1</v>
      </c>
      <c r="G12" s="89" t="s">
        <v>161</v>
      </c>
      <c r="H12" s="80">
        <v>3</v>
      </c>
      <c r="I12" s="66" t="s">
        <v>154</v>
      </c>
      <c r="J12" s="80">
        <v>2</v>
      </c>
      <c r="K12" s="79" t="s">
        <v>155</v>
      </c>
      <c r="L12" s="81">
        <v>2</v>
      </c>
      <c r="M12" s="86" t="s">
        <v>202</v>
      </c>
      <c r="N12" s="81">
        <v>3</v>
      </c>
      <c r="O12" s="79" t="s">
        <v>156</v>
      </c>
      <c r="P12" s="81">
        <f t="shared" si="0"/>
        <v>3</v>
      </c>
      <c r="Q12" s="82" t="s">
        <v>161</v>
      </c>
    </row>
    <row r="13" spans="1:17" s="67" customFormat="1" ht="46.5">
      <c r="A13" s="66" t="s">
        <v>150</v>
      </c>
      <c r="B13" s="66"/>
      <c r="C13" s="86" t="s">
        <v>162</v>
      </c>
      <c r="D13" s="86" t="s">
        <v>163</v>
      </c>
      <c r="E13" s="88" t="s">
        <v>164</v>
      </c>
      <c r="F13" s="80">
        <v>1</v>
      </c>
      <c r="G13" s="90" t="s">
        <v>165</v>
      </c>
      <c r="H13" s="80">
        <v>3</v>
      </c>
      <c r="I13" s="66" t="s">
        <v>210</v>
      </c>
      <c r="J13" s="80">
        <v>2</v>
      </c>
      <c r="K13" s="79" t="s">
        <v>155</v>
      </c>
      <c r="L13" s="81">
        <v>2</v>
      </c>
      <c r="M13" s="86" t="s">
        <v>202</v>
      </c>
      <c r="N13" s="81">
        <v>3</v>
      </c>
      <c r="O13" s="79" t="s">
        <v>156</v>
      </c>
      <c r="P13" s="81">
        <f t="shared" si="0"/>
        <v>3</v>
      </c>
      <c r="Q13" s="82" t="s">
        <v>161</v>
      </c>
    </row>
    <row r="14" spans="1:17" s="67" customFormat="1" ht="46.5">
      <c r="A14" s="66" t="s">
        <v>151</v>
      </c>
      <c r="B14" s="66"/>
      <c r="C14" s="87" t="s">
        <v>166</v>
      </c>
      <c r="D14" s="87" t="s">
        <v>167</v>
      </c>
      <c r="E14" s="88" t="s">
        <v>168</v>
      </c>
      <c r="F14" s="80">
        <v>1</v>
      </c>
      <c r="G14" s="90" t="s">
        <v>169</v>
      </c>
      <c r="H14" s="80">
        <v>3</v>
      </c>
      <c r="I14" s="66" t="s">
        <v>210</v>
      </c>
      <c r="J14" s="80">
        <v>2</v>
      </c>
      <c r="K14" s="79" t="s">
        <v>155</v>
      </c>
      <c r="L14" s="81">
        <v>2</v>
      </c>
      <c r="M14" s="86" t="s">
        <v>202</v>
      </c>
      <c r="N14" s="81">
        <v>3</v>
      </c>
      <c r="O14" s="79" t="s">
        <v>156</v>
      </c>
      <c r="P14" s="81">
        <f t="shared" si="0"/>
        <v>3</v>
      </c>
      <c r="Q14" s="82" t="s">
        <v>161</v>
      </c>
    </row>
  </sheetData>
  <sheetProtection formatCells="0" formatColumns="0" formatRows="0" insertColumns="0" insertRows="0" insertHyperlinks="0" deleteColumns="0" deleteRows="0" sort="0" autoFilter="0" pivotTables="0"/>
  <autoFilter ref="A9:Q9" xr:uid="{00000000-0009-0000-0000-000001000000}"/>
  <mergeCells count="9">
    <mergeCell ref="A1:Q1"/>
    <mergeCell ref="A2:Q2"/>
    <mergeCell ref="A3:Q3"/>
    <mergeCell ref="A7:Q7"/>
    <mergeCell ref="B8:G8"/>
    <mergeCell ref="H8:Q8"/>
    <mergeCell ref="A4:Q4"/>
    <mergeCell ref="A5:Q5"/>
    <mergeCell ref="A6:Q6"/>
  </mergeCells>
  <phoneticPr fontId="1" type="noConversion"/>
  <dataValidations count="3">
    <dataValidation type="list" allowBlank="1" showInputMessage="1" showErrorMessage="1" sqref="N1:N8 N15:N1048576" xr:uid="{00000000-0002-0000-0100-000000000000}">
      <formula1>"2,3,4,NA"</formula1>
    </dataValidation>
    <dataValidation type="list" allowBlank="1" showInputMessage="1" showErrorMessage="1" sqref="N10:N14 H10:H422 J10:J422 L10:L422" xr:uid="{00000000-0002-0000-0100-000001000000}">
      <formula1>"1,2,3,4"</formula1>
    </dataValidation>
    <dataValidation type="list" allowBlank="1" showInputMessage="1" showErrorMessage="1" sqref="B10:B422" xr:uid="{00000000-0002-0000-0100-000002000000}">
      <formula1>PE_SUBLIST</formula1>
    </dataValidation>
  </dataValidations>
  <pageMargins left="0" right="0" top="0.39370078740157483" bottom="0.59055118110236227" header="0.31496062992125984" footer="0.19685039370078741"/>
  <pageSetup paperSize="9" scale="83" fitToHeight="0" orientation="landscape" r:id="rId1"/>
  <headerFooter>
    <oddFooter>第 &amp;P 頁，共 &amp;N 頁</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產生清單">
                <anchor moveWithCells="1" sizeWithCells="1">
                  <from>
                    <xdr:col>14</xdr:col>
                    <xdr:colOff>533400</xdr:colOff>
                    <xdr:row>16</xdr:row>
                    <xdr:rowOff>190500</xdr:rowOff>
                  </from>
                  <to>
                    <xdr:col>16</xdr:col>
                    <xdr:colOff>533400</xdr:colOff>
                    <xdr:row>19</xdr:row>
                    <xdr:rowOff>88900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theme="4"/>
  </sheetPr>
  <dimension ref="A1:I59"/>
  <sheetViews>
    <sheetView topLeftCell="G1" workbookViewId="0">
      <selection activeCell="K4" sqref="K4"/>
    </sheetView>
  </sheetViews>
  <sheetFormatPr defaultColWidth="9" defaultRowHeight="47.25" customHeight="1"/>
  <cols>
    <col min="1" max="1" width="7.453125" style="2" customWidth="1"/>
    <col min="2" max="2" width="76.90625" style="46" customWidth="1"/>
    <col min="3" max="3" width="5.90625" style="46" customWidth="1"/>
    <col min="4" max="4" width="9.90625" style="10" customWidth="1"/>
    <col min="5" max="5" width="16.453125" style="10" customWidth="1"/>
    <col min="6" max="6" width="72.90625" style="46" customWidth="1"/>
    <col min="7" max="7" width="9" style="2"/>
    <col min="8" max="8" width="35.36328125" style="2" customWidth="1"/>
    <col min="9" max="9" width="10.90625" style="2" customWidth="1"/>
    <col min="10" max="16384" width="9" style="2"/>
  </cols>
  <sheetData>
    <row r="1" spans="1:9" ht="47.25" customHeight="1">
      <c r="A1" s="121" t="s">
        <v>112</v>
      </c>
      <c r="B1" s="121"/>
      <c r="C1" s="49"/>
      <c r="D1" s="122" t="s">
        <v>113</v>
      </c>
      <c r="E1" s="122"/>
      <c r="F1" s="122"/>
      <c r="H1" s="123" t="s">
        <v>118</v>
      </c>
      <c r="I1" s="123"/>
    </row>
    <row r="2" spans="1:9" ht="47.25" customHeight="1">
      <c r="A2" s="42" t="s">
        <v>89</v>
      </c>
      <c r="B2" s="43" t="s">
        <v>90</v>
      </c>
      <c r="D2" s="119" t="s">
        <v>47</v>
      </c>
      <c r="E2" s="119"/>
      <c r="F2" s="120"/>
      <c r="H2" s="52" t="s">
        <v>23</v>
      </c>
      <c r="I2" s="52" t="s">
        <v>79</v>
      </c>
    </row>
    <row r="3" spans="1:9" ht="47.25" customHeight="1">
      <c r="A3" s="44">
        <v>1</v>
      </c>
      <c r="B3" s="45" t="s">
        <v>114</v>
      </c>
      <c r="D3" s="50" t="s">
        <v>49</v>
      </c>
      <c r="E3" s="8" t="s">
        <v>36</v>
      </c>
      <c r="F3" s="8" t="s">
        <v>35</v>
      </c>
      <c r="H3" s="40" t="s">
        <v>80</v>
      </c>
      <c r="I3" s="53" t="s">
        <v>81</v>
      </c>
    </row>
    <row r="4" spans="1:9" ht="47.25" customHeight="1">
      <c r="A4" s="44">
        <v>2</v>
      </c>
      <c r="B4" s="45" t="s">
        <v>91</v>
      </c>
      <c r="D4" s="51">
        <v>1</v>
      </c>
      <c r="E4" s="9" t="s">
        <v>37</v>
      </c>
      <c r="F4" s="45" t="s">
        <v>50</v>
      </c>
      <c r="H4" s="40" t="s">
        <v>82</v>
      </c>
      <c r="I4" s="53" t="s">
        <v>83</v>
      </c>
    </row>
    <row r="5" spans="1:9" ht="47.25" customHeight="1">
      <c r="A5" s="44">
        <v>3</v>
      </c>
      <c r="B5" s="45" t="s">
        <v>92</v>
      </c>
      <c r="D5" s="51">
        <v>2</v>
      </c>
      <c r="E5" s="9" t="s">
        <v>38</v>
      </c>
      <c r="F5" s="45" t="s">
        <v>51</v>
      </c>
      <c r="H5" s="40" t="s">
        <v>84</v>
      </c>
      <c r="I5" s="53" t="s">
        <v>81</v>
      </c>
    </row>
    <row r="6" spans="1:9" ht="47.25" customHeight="1">
      <c r="A6" s="44">
        <v>4</v>
      </c>
      <c r="B6" s="45" t="s">
        <v>93</v>
      </c>
      <c r="D6" s="51">
        <v>3</v>
      </c>
      <c r="E6" s="9" t="s">
        <v>39</v>
      </c>
      <c r="F6" s="45" t="s">
        <v>48</v>
      </c>
      <c r="H6" s="40" t="s">
        <v>85</v>
      </c>
      <c r="I6" s="53" t="s">
        <v>81</v>
      </c>
    </row>
    <row r="7" spans="1:9" ht="47.25" customHeight="1">
      <c r="C7" s="49"/>
      <c r="D7" s="51">
        <v>4</v>
      </c>
      <c r="E7" s="9" t="s">
        <v>40</v>
      </c>
      <c r="F7" s="45" t="s">
        <v>52</v>
      </c>
      <c r="H7" s="40" t="s">
        <v>86</v>
      </c>
      <c r="I7" s="53" t="s">
        <v>81</v>
      </c>
    </row>
    <row r="8" spans="1:9" ht="47.25" customHeight="1">
      <c r="A8" s="42" t="s">
        <v>89</v>
      </c>
      <c r="B8" s="43" t="s">
        <v>94</v>
      </c>
      <c r="H8" s="40" t="s">
        <v>87</v>
      </c>
      <c r="I8" s="53" t="s">
        <v>83</v>
      </c>
    </row>
    <row r="9" spans="1:9" ht="47.25" customHeight="1">
      <c r="A9" s="44">
        <v>1</v>
      </c>
      <c r="B9" s="45" t="s">
        <v>95</v>
      </c>
      <c r="H9" s="41" t="s">
        <v>88</v>
      </c>
      <c r="I9" s="41"/>
    </row>
    <row r="10" spans="1:9" ht="47.25" customHeight="1">
      <c r="A10" s="44">
        <v>2</v>
      </c>
      <c r="B10" s="45" t="s">
        <v>96</v>
      </c>
      <c r="D10" s="119" t="s">
        <v>53</v>
      </c>
      <c r="E10" s="119"/>
      <c r="F10" s="119"/>
    </row>
    <row r="11" spans="1:9" ht="47.25" customHeight="1">
      <c r="A11" s="44">
        <v>3</v>
      </c>
      <c r="B11" s="45" t="s">
        <v>97</v>
      </c>
      <c r="D11" s="50" t="s">
        <v>54</v>
      </c>
      <c r="E11" s="8" t="s">
        <v>36</v>
      </c>
      <c r="F11" s="8" t="s">
        <v>35</v>
      </c>
    </row>
    <row r="12" spans="1:9" ht="47.25" customHeight="1">
      <c r="A12" s="44">
        <v>4</v>
      </c>
      <c r="B12" s="45" t="s">
        <v>98</v>
      </c>
      <c r="D12" s="51">
        <v>1</v>
      </c>
      <c r="E12" s="9" t="s">
        <v>55</v>
      </c>
      <c r="F12" s="45" t="s">
        <v>56</v>
      </c>
    </row>
    <row r="13" spans="1:9" ht="47.25" customHeight="1">
      <c r="C13" s="49"/>
      <c r="D13" s="51">
        <v>2</v>
      </c>
      <c r="E13" s="9" t="s">
        <v>41</v>
      </c>
      <c r="F13" s="45" t="s">
        <v>117</v>
      </c>
    </row>
    <row r="14" spans="1:9" ht="47.25" customHeight="1">
      <c r="A14" s="42" t="s">
        <v>89</v>
      </c>
      <c r="B14" s="43" t="s">
        <v>99</v>
      </c>
      <c r="D14" s="51">
        <v>3</v>
      </c>
      <c r="E14" s="9" t="s">
        <v>42</v>
      </c>
      <c r="F14" s="45" t="s">
        <v>115</v>
      </c>
    </row>
    <row r="15" spans="1:9" ht="59.5" customHeight="1">
      <c r="A15" s="44">
        <v>1</v>
      </c>
      <c r="B15" s="45" t="s">
        <v>100</v>
      </c>
      <c r="D15" s="51">
        <v>4</v>
      </c>
      <c r="E15" s="9" t="s">
        <v>43</v>
      </c>
      <c r="F15" s="45" t="s">
        <v>116</v>
      </c>
    </row>
    <row r="16" spans="1:9" ht="47.25" customHeight="1">
      <c r="A16" s="44">
        <v>2</v>
      </c>
      <c r="B16" s="45" t="s">
        <v>101</v>
      </c>
    </row>
    <row r="17" spans="1:6" ht="47.25" customHeight="1">
      <c r="A17" s="44">
        <v>3</v>
      </c>
      <c r="B17" s="45" t="s">
        <v>102</v>
      </c>
    </row>
    <row r="18" spans="1:6" ht="47.25" customHeight="1">
      <c r="A18" s="44">
        <v>4</v>
      </c>
      <c r="B18" s="45" t="s">
        <v>103</v>
      </c>
    </row>
    <row r="19" spans="1:6" ht="47.25" customHeight="1">
      <c r="C19" s="49"/>
    </row>
    <row r="20" spans="1:6" ht="47.25" customHeight="1">
      <c r="A20" s="42" t="s">
        <v>89</v>
      </c>
      <c r="B20" s="43" t="s">
        <v>104</v>
      </c>
    </row>
    <row r="21" spans="1:6" ht="47.25" customHeight="1">
      <c r="A21" s="44">
        <v>1</v>
      </c>
      <c r="B21" s="45" t="s">
        <v>105</v>
      </c>
    </row>
    <row r="22" spans="1:6" ht="47.25" customHeight="1">
      <c r="A22" s="44">
        <v>2</v>
      </c>
      <c r="B22" s="45" t="s">
        <v>106</v>
      </c>
    </row>
    <row r="23" spans="1:6" ht="47.25" customHeight="1">
      <c r="A23" s="44">
        <v>3</v>
      </c>
      <c r="B23" s="45" t="s">
        <v>107</v>
      </c>
    </row>
    <row r="24" spans="1:6" ht="47.25" customHeight="1">
      <c r="A24" s="44">
        <v>4</v>
      </c>
      <c r="B24" s="45" t="s">
        <v>108</v>
      </c>
    </row>
    <row r="25" spans="1:6" ht="47.25" customHeight="1">
      <c r="C25" s="49"/>
    </row>
    <row r="26" spans="1:6" ht="47.25" customHeight="1">
      <c r="A26" s="42" t="s">
        <v>89</v>
      </c>
      <c r="B26" s="43" t="s">
        <v>109</v>
      </c>
    </row>
    <row r="27" spans="1:6" ht="47.25" customHeight="1">
      <c r="A27" s="44">
        <v>3</v>
      </c>
      <c r="B27" s="45" t="s">
        <v>110</v>
      </c>
    </row>
    <row r="28" spans="1:6" ht="47.25" customHeight="1">
      <c r="A28" s="44">
        <v>4</v>
      </c>
      <c r="B28" s="45" t="s">
        <v>111</v>
      </c>
    </row>
    <row r="31" spans="1:6" s="3" customFormat="1" ht="47.25" customHeight="1">
      <c r="A31" s="2"/>
      <c r="B31" s="46"/>
      <c r="C31" s="46"/>
      <c r="D31" s="10"/>
      <c r="E31" s="10"/>
      <c r="F31" s="46"/>
    </row>
    <row r="32" spans="1:6" s="3" customFormat="1" ht="47.25" customHeight="1">
      <c r="A32" s="2"/>
      <c r="B32" s="46"/>
      <c r="C32" s="46"/>
      <c r="D32" s="11"/>
      <c r="E32" s="11"/>
      <c r="F32" s="48"/>
    </row>
    <row r="33" spans="1:6" s="3" customFormat="1" ht="47.25" customHeight="1">
      <c r="A33" s="2"/>
      <c r="B33" s="46"/>
      <c r="C33" s="46"/>
      <c r="D33" s="11"/>
      <c r="E33" s="11"/>
      <c r="F33" s="48"/>
    </row>
    <row r="34" spans="1:6" s="3" customFormat="1" ht="47.25" customHeight="1">
      <c r="B34" s="11"/>
      <c r="C34" s="11"/>
      <c r="D34" s="11"/>
      <c r="E34" s="11"/>
      <c r="F34" s="48"/>
    </row>
    <row r="35" spans="1:6" s="3" customFormat="1" ht="47.25" customHeight="1">
      <c r="B35" s="11"/>
      <c r="C35" s="11"/>
      <c r="D35" s="11"/>
      <c r="E35" s="11"/>
      <c r="F35" s="48"/>
    </row>
    <row r="36" spans="1:6" s="3" customFormat="1" ht="47.25" customHeight="1">
      <c r="B36" s="11"/>
      <c r="C36" s="11"/>
      <c r="D36" s="11"/>
      <c r="E36" s="11"/>
      <c r="F36" s="48"/>
    </row>
    <row r="37" spans="1:6" s="3" customFormat="1" ht="47.25" customHeight="1">
      <c r="B37" s="11"/>
      <c r="C37" s="11"/>
      <c r="D37" s="11"/>
      <c r="E37" s="11"/>
      <c r="F37" s="48"/>
    </row>
    <row r="38" spans="1:6" s="3" customFormat="1" ht="47.25" customHeight="1">
      <c r="B38" s="11"/>
      <c r="C38" s="11"/>
      <c r="D38" s="11"/>
      <c r="E38" s="11"/>
      <c r="F38" s="48"/>
    </row>
    <row r="39" spans="1:6" s="3" customFormat="1" ht="47.25" customHeight="1">
      <c r="B39" s="11"/>
      <c r="C39" s="11"/>
      <c r="D39" s="11"/>
      <c r="E39" s="11"/>
      <c r="F39" s="48"/>
    </row>
    <row r="40" spans="1:6" s="3" customFormat="1" ht="47.25" customHeight="1">
      <c r="B40" s="11"/>
      <c r="C40" s="11"/>
      <c r="D40" s="11"/>
      <c r="E40" s="11"/>
      <c r="F40" s="48"/>
    </row>
    <row r="41" spans="1:6" s="3" customFormat="1" ht="47.25" customHeight="1">
      <c r="B41" s="11"/>
      <c r="C41" s="11"/>
      <c r="D41" s="11"/>
      <c r="E41" s="11"/>
      <c r="F41" s="48"/>
    </row>
    <row r="42" spans="1:6" s="3" customFormat="1" ht="47.25" customHeight="1">
      <c r="B42" s="11"/>
      <c r="C42" s="11"/>
      <c r="D42" s="11"/>
      <c r="E42" s="11"/>
      <c r="F42" s="48"/>
    </row>
    <row r="43" spans="1:6" s="3" customFormat="1" ht="47.25" customHeight="1">
      <c r="B43" s="11"/>
      <c r="C43" s="11"/>
      <c r="D43" s="11"/>
      <c r="E43" s="11"/>
      <c r="F43" s="48"/>
    </row>
    <row r="44" spans="1:6" s="3" customFormat="1" ht="47.25" customHeight="1">
      <c r="B44" s="11"/>
      <c r="C44" s="11"/>
      <c r="D44" s="11"/>
      <c r="E44" s="11"/>
      <c r="F44" s="48"/>
    </row>
    <row r="45" spans="1:6" s="3" customFormat="1" ht="47.25" customHeight="1">
      <c r="B45" s="11"/>
      <c r="C45" s="11"/>
      <c r="D45" s="11"/>
      <c r="E45" s="11"/>
      <c r="F45" s="48"/>
    </row>
    <row r="46" spans="1:6" s="3" customFormat="1" ht="47.25" customHeight="1">
      <c r="B46" s="11"/>
      <c r="C46" s="11"/>
      <c r="D46" s="11"/>
      <c r="E46" s="11"/>
      <c r="F46" s="48"/>
    </row>
    <row r="47" spans="1:6" s="3" customFormat="1" ht="47.25" customHeight="1">
      <c r="A47" s="47"/>
      <c r="B47" s="48"/>
      <c r="C47" s="48"/>
      <c r="D47" s="11"/>
      <c r="E47" s="11"/>
      <c r="F47" s="48"/>
    </row>
    <row r="48" spans="1:6" s="3" customFormat="1" ht="47.25" customHeight="1">
      <c r="A48" s="47"/>
      <c r="B48" s="48"/>
      <c r="C48" s="48"/>
      <c r="D48" s="11"/>
      <c r="E48" s="11"/>
      <c r="F48" s="48"/>
    </row>
    <row r="49" spans="1:6" s="3" customFormat="1" ht="47.25" customHeight="1">
      <c r="A49" s="47"/>
      <c r="B49" s="48"/>
      <c r="C49" s="48"/>
      <c r="D49" s="11"/>
      <c r="E49" s="11"/>
      <c r="F49" s="48"/>
    </row>
    <row r="50" spans="1:6" s="3" customFormat="1" ht="47.25" customHeight="1">
      <c r="A50" s="47"/>
      <c r="B50" s="48"/>
      <c r="C50" s="48"/>
      <c r="D50" s="11"/>
      <c r="E50" s="11"/>
      <c r="F50" s="48"/>
    </row>
    <row r="51" spans="1:6" s="3" customFormat="1" ht="47.25" customHeight="1">
      <c r="B51" s="48"/>
      <c r="C51" s="48"/>
      <c r="D51" s="11"/>
      <c r="E51" s="11"/>
      <c r="F51" s="48"/>
    </row>
    <row r="52" spans="1:6" s="3" customFormat="1" ht="47.25" customHeight="1">
      <c r="B52" s="48"/>
      <c r="C52" s="48"/>
      <c r="D52" s="11"/>
      <c r="E52" s="11"/>
      <c r="F52" s="48"/>
    </row>
    <row r="53" spans="1:6" s="3" customFormat="1" ht="47.25" customHeight="1">
      <c r="B53" s="48"/>
      <c r="C53" s="48"/>
      <c r="D53" s="11"/>
      <c r="E53" s="11"/>
      <c r="F53" s="48"/>
    </row>
    <row r="54" spans="1:6" s="3" customFormat="1" ht="47.25" customHeight="1">
      <c r="B54" s="48"/>
      <c r="C54" s="48"/>
      <c r="D54" s="11"/>
      <c r="E54" s="11"/>
      <c r="F54" s="48"/>
    </row>
    <row r="55" spans="1:6" s="3" customFormat="1" ht="47.25" customHeight="1">
      <c r="B55" s="48"/>
      <c r="C55" s="48"/>
      <c r="D55" s="11"/>
      <c r="E55" s="11"/>
      <c r="F55" s="48"/>
    </row>
    <row r="56" spans="1:6" s="3" customFormat="1" ht="47.25" customHeight="1">
      <c r="B56" s="48"/>
      <c r="C56" s="48"/>
      <c r="D56" s="11"/>
      <c r="E56" s="11"/>
      <c r="F56" s="48"/>
    </row>
    <row r="57" spans="1:6" ht="47.25" customHeight="1">
      <c r="A57" s="3"/>
      <c r="B57" s="48"/>
      <c r="C57" s="48"/>
      <c r="D57" s="11"/>
      <c r="E57" s="11"/>
      <c r="F57" s="48"/>
    </row>
    <row r="58" spans="1:6" ht="47.25" customHeight="1">
      <c r="A58" s="3"/>
      <c r="B58" s="48"/>
      <c r="C58" s="48"/>
    </row>
    <row r="59" spans="1:6" ht="47.25" customHeight="1">
      <c r="A59" s="3"/>
      <c r="B59" s="48"/>
      <c r="C59" s="48"/>
    </row>
  </sheetData>
  <mergeCells count="5">
    <mergeCell ref="D2:F2"/>
    <mergeCell ref="D10:F10"/>
    <mergeCell ref="A1:B1"/>
    <mergeCell ref="D1:F1"/>
    <mergeCell ref="H1:I1"/>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CIA比對">
                <anchor moveWithCells="1" sizeWithCells="1">
                  <from>
                    <xdr:col>9</xdr:col>
                    <xdr:colOff>336550</xdr:colOff>
                    <xdr:row>0</xdr:row>
                    <xdr:rowOff>317500</xdr:rowOff>
                  </from>
                  <to>
                    <xdr:col>11</xdr:col>
                    <xdr:colOff>495300</xdr:colOff>
                    <xdr:row>1</xdr:row>
                    <xdr:rowOff>336550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4">
    <tabColor rgb="FFFF0000"/>
    <pageSetUpPr fitToPage="1"/>
  </sheetPr>
  <dimension ref="A1:Z34"/>
  <sheetViews>
    <sheetView topLeftCell="M3" zoomScale="97" zoomScaleNormal="97" workbookViewId="0">
      <selection activeCell="V11" sqref="V11:V19"/>
    </sheetView>
  </sheetViews>
  <sheetFormatPr defaultRowHeight="15.5"/>
  <cols>
    <col min="1" max="1" width="7.90625" style="34" hidden="1" customWidth="1"/>
    <col min="2" max="2" width="11.90625" style="34" hidden="1" customWidth="1"/>
    <col min="3" max="4" width="9.90625" style="34" hidden="1" customWidth="1"/>
    <col min="5" max="5" width="5.90625" style="34" hidden="1" customWidth="1"/>
    <col min="6" max="6" width="7.90625" style="34" hidden="1" customWidth="1"/>
    <col min="7" max="7" width="3.08984375" style="34" hidden="1" customWidth="1"/>
    <col min="8" max="8" width="2.36328125" style="34" hidden="1" customWidth="1"/>
    <col min="9" max="9" width="3.08984375" style="34" hidden="1" customWidth="1"/>
    <col min="10" max="10" width="5.36328125" style="34" hidden="1" customWidth="1"/>
    <col min="11" max="11" width="9.90625" style="34" hidden="1" customWidth="1"/>
    <col min="12" max="12" width="5.90625" style="34" hidden="1" customWidth="1"/>
    <col min="13" max="13" width="21.08984375" style="6" customWidth="1"/>
    <col min="14" max="14" width="8.90625" style="6" customWidth="1"/>
    <col min="15" max="15" width="11.453125" style="6" customWidth="1"/>
    <col min="16" max="16" width="8.90625" style="6" customWidth="1"/>
    <col min="17" max="17" width="8.90625" style="35" customWidth="1"/>
    <col min="18" max="18" width="16.90625" style="6" customWidth="1"/>
    <col min="19" max="19" width="16.90625" style="35" customWidth="1"/>
    <col min="20" max="20" width="10" style="6" customWidth="1"/>
    <col min="21" max="21" width="10" style="35" customWidth="1"/>
    <col min="22" max="22" width="17.6328125" style="6" customWidth="1"/>
    <col min="23" max="23" width="10" style="6" customWidth="1"/>
    <col min="24" max="24" width="17.6328125" style="6" customWidth="1"/>
    <col min="25" max="25" width="10" style="6" customWidth="1"/>
    <col min="26" max="26" width="5.90625" style="6" customWidth="1"/>
    <col min="27" max="261" width="9" style="6"/>
    <col min="262" max="262" width="16.36328125" style="6" customWidth="1"/>
    <col min="263" max="263" width="9" style="6"/>
    <col min="264" max="264" width="11.453125" style="6" customWidth="1"/>
    <col min="265" max="266" width="9" style="6"/>
    <col min="267" max="267" width="23" style="6" bestFit="1" customWidth="1"/>
    <col min="268" max="268" width="10" style="6" customWidth="1"/>
    <col min="269" max="269" width="6.36328125" style="6" bestFit="1" customWidth="1"/>
    <col min="270" max="270" width="7.36328125" style="6" bestFit="1" customWidth="1"/>
    <col min="271" max="271" width="16.6328125" style="6" customWidth="1"/>
    <col min="272" max="272" width="7.36328125" style="6" bestFit="1" customWidth="1"/>
    <col min="273" max="273" width="16.6328125" style="6" customWidth="1"/>
    <col min="274" max="517" width="9" style="6"/>
    <col min="518" max="518" width="16.36328125" style="6" customWidth="1"/>
    <col min="519" max="519" width="9" style="6"/>
    <col min="520" max="520" width="11.453125" style="6" customWidth="1"/>
    <col min="521" max="522" width="9" style="6"/>
    <col min="523" max="523" width="23" style="6" bestFit="1" customWidth="1"/>
    <col min="524" max="524" width="10" style="6" customWidth="1"/>
    <col min="525" max="525" width="6.36328125" style="6" bestFit="1" customWidth="1"/>
    <col min="526" max="526" width="7.36328125" style="6" bestFit="1" customWidth="1"/>
    <col min="527" max="527" width="16.6328125" style="6" customWidth="1"/>
    <col min="528" max="528" width="7.36328125" style="6" bestFit="1" customWidth="1"/>
    <col min="529" max="529" width="16.6328125" style="6" customWidth="1"/>
    <col min="530" max="773" width="9" style="6"/>
    <col min="774" max="774" width="16.36328125" style="6" customWidth="1"/>
    <col min="775" max="775" width="9" style="6"/>
    <col min="776" max="776" width="11.453125" style="6" customWidth="1"/>
    <col min="777" max="778" width="9" style="6"/>
    <col min="779" max="779" width="23" style="6" bestFit="1" customWidth="1"/>
    <col min="780" max="780" width="10" style="6" customWidth="1"/>
    <col min="781" max="781" width="6.36328125" style="6" bestFit="1" customWidth="1"/>
    <col min="782" max="782" width="7.36328125" style="6" bestFit="1" customWidth="1"/>
    <col min="783" max="783" width="16.6328125" style="6" customWidth="1"/>
    <col min="784" max="784" width="7.36328125" style="6" bestFit="1" customWidth="1"/>
    <col min="785" max="785" width="16.6328125" style="6" customWidth="1"/>
    <col min="786" max="1029" width="9" style="6"/>
    <col min="1030" max="1030" width="16.36328125" style="6" customWidth="1"/>
    <col min="1031" max="1031" width="9" style="6"/>
    <col min="1032" max="1032" width="11.453125" style="6" customWidth="1"/>
    <col min="1033" max="1034" width="9" style="6"/>
    <col min="1035" max="1035" width="23" style="6" bestFit="1" customWidth="1"/>
    <col min="1036" max="1036" width="10" style="6" customWidth="1"/>
    <col min="1037" max="1037" width="6.36328125" style="6" bestFit="1" customWidth="1"/>
    <col min="1038" max="1038" width="7.36328125" style="6" bestFit="1" customWidth="1"/>
    <col min="1039" max="1039" width="16.6328125" style="6" customWidth="1"/>
    <col min="1040" max="1040" width="7.36328125" style="6" bestFit="1" customWidth="1"/>
    <col min="1041" max="1041" width="16.6328125" style="6" customWidth="1"/>
    <col min="1042" max="1285" width="9" style="6"/>
    <col min="1286" max="1286" width="16.36328125" style="6" customWidth="1"/>
    <col min="1287" max="1287" width="9" style="6"/>
    <col min="1288" max="1288" width="11.453125" style="6" customWidth="1"/>
    <col min="1289" max="1290" width="9" style="6"/>
    <col min="1291" max="1291" width="23" style="6" bestFit="1" customWidth="1"/>
    <col min="1292" max="1292" width="10" style="6" customWidth="1"/>
    <col min="1293" max="1293" width="6.36328125" style="6" bestFit="1" customWidth="1"/>
    <col min="1294" max="1294" width="7.36328125" style="6" bestFit="1" customWidth="1"/>
    <col min="1295" max="1295" width="16.6328125" style="6" customWidth="1"/>
    <col min="1296" max="1296" width="7.36328125" style="6" bestFit="1" customWidth="1"/>
    <col min="1297" max="1297" width="16.6328125" style="6" customWidth="1"/>
    <col min="1298" max="1541" width="9" style="6"/>
    <col min="1542" max="1542" width="16.36328125" style="6" customWidth="1"/>
    <col min="1543" max="1543" width="9" style="6"/>
    <col min="1544" max="1544" width="11.453125" style="6" customWidth="1"/>
    <col min="1545" max="1546" width="9" style="6"/>
    <col min="1547" max="1547" width="23" style="6" bestFit="1" customWidth="1"/>
    <col min="1548" max="1548" width="10" style="6" customWidth="1"/>
    <col min="1549" max="1549" width="6.36328125" style="6" bestFit="1" customWidth="1"/>
    <col min="1550" max="1550" width="7.36328125" style="6" bestFit="1" customWidth="1"/>
    <col min="1551" max="1551" width="16.6328125" style="6" customWidth="1"/>
    <col min="1552" max="1552" width="7.36328125" style="6" bestFit="1" customWidth="1"/>
    <col min="1553" max="1553" width="16.6328125" style="6" customWidth="1"/>
    <col min="1554" max="1797" width="9" style="6"/>
    <col min="1798" max="1798" width="16.36328125" style="6" customWidth="1"/>
    <col min="1799" max="1799" width="9" style="6"/>
    <col min="1800" max="1800" width="11.453125" style="6" customWidth="1"/>
    <col min="1801" max="1802" width="9" style="6"/>
    <col min="1803" max="1803" width="23" style="6" bestFit="1" customWidth="1"/>
    <col min="1804" max="1804" width="10" style="6" customWidth="1"/>
    <col min="1805" max="1805" width="6.36328125" style="6" bestFit="1" customWidth="1"/>
    <col min="1806" max="1806" width="7.36328125" style="6" bestFit="1" customWidth="1"/>
    <col min="1807" max="1807" width="16.6328125" style="6" customWidth="1"/>
    <col min="1808" max="1808" width="7.36328125" style="6" bestFit="1" customWidth="1"/>
    <col min="1809" max="1809" width="16.6328125" style="6" customWidth="1"/>
    <col min="1810" max="2053" width="9" style="6"/>
    <col min="2054" max="2054" width="16.36328125" style="6" customWidth="1"/>
    <col min="2055" max="2055" width="9" style="6"/>
    <col min="2056" max="2056" width="11.453125" style="6" customWidth="1"/>
    <col min="2057" max="2058" width="9" style="6"/>
    <col min="2059" max="2059" width="23" style="6" bestFit="1" customWidth="1"/>
    <col min="2060" max="2060" width="10" style="6" customWidth="1"/>
    <col min="2061" max="2061" width="6.36328125" style="6" bestFit="1" customWidth="1"/>
    <col min="2062" max="2062" width="7.36328125" style="6" bestFit="1" customWidth="1"/>
    <col min="2063" max="2063" width="16.6328125" style="6" customWidth="1"/>
    <col min="2064" max="2064" width="7.36328125" style="6" bestFit="1" customWidth="1"/>
    <col min="2065" max="2065" width="16.6328125" style="6" customWidth="1"/>
    <col min="2066" max="2309" width="9" style="6"/>
    <col min="2310" max="2310" width="16.36328125" style="6" customWidth="1"/>
    <col min="2311" max="2311" width="9" style="6"/>
    <col min="2312" max="2312" width="11.453125" style="6" customWidth="1"/>
    <col min="2313" max="2314" width="9" style="6"/>
    <col min="2315" max="2315" width="23" style="6" bestFit="1" customWidth="1"/>
    <col min="2316" max="2316" width="10" style="6" customWidth="1"/>
    <col min="2317" max="2317" width="6.36328125" style="6" bestFit="1" customWidth="1"/>
    <col min="2318" max="2318" width="7.36328125" style="6" bestFit="1" customWidth="1"/>
    <col min="2319" max="2319" width="16.6328125" style="6" customWidth="1"/>
    <col min="2320" max="2320" width="7.36328125" style="6" bestFit="1" customWidth="1"/>
    <col min="2321" max="2321" width="16.6328125" style="6" customWidth="1"/>
    <col min="2322" max="2565" width="9" style="6"/>
    <col min="2566" max="2566" width="16.36328125" style="6" customWidth="1"/>
    <col min="2567" max="2567" width="9" style="6"/>
    <col min="2568" max="2568" width="11.453125" style="6" customWidth="1"/>
    <col min="2569" max="2570" width="9" style="6"/>
    <col min="2571" max="2571" width="23" style="6" bestFit="1" customWidth="1"/>
    <col min="2572" max="2572" width="10" style="6" customWidth="1"/>
    <col min="2573" max="2573" width="6.36328125" style="6" bestFit="1" customWidth="1"/>
    <col min="2574" max="2574" width="7.36328125" style="6" bestFit="1" customWidth="1"/>
    <col min="2575" max="2575" width="16.6328125" style="6" customWidth="1"/>
    <col min="2576" max="2576" width="7.36328125" style="6" bestFit="1" customWidth="1"/>
    <col min="2577" max="2577" width="16.6328125" style="6" customWidth="1"/>
    <col min="2578" max="2821" width="9" style="6"/>
    <col min="2822" max="2822" width="16.36328125" style="6" customWidth="1"/>
    <col min="2823" max="2823" width="9" style="6"/>
    <col min="2824" max="2824" width="11.453125" style="6" customWidth="1"/>
    <col min="2825" max="2826" width="9" style="6"/>
    <col min="2827" max="2827" width="23" style="6" bestFit="1" customWidth="1"/>
    <col min="2828" max="2828" width="10" style="6" customWidth="1"/>
    <col min="2829" max="2829" width="6.36328125" style="6" bestFit="1" customWidth="1"/>
    <col min="2830" max="2830" width="7.36328125" style="6" bestFit="1" customWidth="1"/>
    <col min="2831" max="2831" width="16.6328125" style="6" customWidth="1"/>
    <col min="2832" max="2832" width="7.36328125" style="6" bestFit="1" customWidth="1"/>
    <col min="2833" max="2833" width="16.6328125" style="6" customWidth="1"/>
    <col min="2834" max="3077" width="9" style="6"/>
    <col min="3078" max="3078" width="16.36328125" style="6" customWidth="1"/>
    <col min="3079" max="3079" width="9" style="6"/>
    <col min="3080" max="3080" width="11.453125" style="6" customWidth="1"/>
    <col min="3081" max="3082" width="9" style="6"/>
    <col min="3083" max="3083" width="23" style="6" bestFit="1" customWidth="1"/>
    <col min="3084" max="3084" width="10" style="6" customWidth="1"/>
    <col min="3085" max="3085" width="6.36328125" style="6" bestFit="1" customWidth="1"/>
    <col min="3086" max="3086" width="7.36328125" style="6" bestFit="1" customWidth="1"/>
    <col min="3087" max="3087" width="16.6328125" style="6" customWidth="1"/>
    <col min="3088" max="3088" width="7.36328125" style="6" bestFit="1" customWidth="1"/>
    <col min="3089" max="3089" width="16.6328125" style="6" customWidth="1"/>
    <col min="3090" max="3333" width="9" style="6"/>
    <col min="3334" max="3334" width="16.36328125" style="6" customWidth="1"/>
    <col min="3335" max="3335" width="9" style="6"/>
    <col min="3336" max="3336" width="11.453125" style="6" customWidth="1"/>
    <col min="3337" max="3338" width="9" style="6"/>
    <col min="3339" max="3339" width="23" style="6" bestFit="1" customWidth="1"/>
    <col min="3340" max="3340" width="10" style="6" customWidth="1"/>
    <col min="3341" max="3341" width="6.36328125" style="6" bestFit="1" customWidth="1"/>
    <col min="3342" max="3342" width="7.36328125" style="6" bestFit="1" customWidth="1"/>
    <col min="3343" max="3343" width="16.6328125" style="6" customWidth="1"/>
    <col min="3344" max="3344" width="7.36328125" style="6" bestFit="1" customWidth="1"/>
    <col min="3345" max="3345" width="16.6328125" style="6" customWidth="1"/>
    <col min="3346" max="3589" width="9" style="6"/>
    <col min="3590" max="3590" width="16.36328125" style="6" customWidth="1"/>
    <col min="3591" max="3591" width="9" style="6"/>
    <col min="3592" max="3592" width="11.453125" style="6" customWidth="1"/>
    <col min="3593" max="3594" width="9" style="6"/>
    <col min="3595" max="3595" width="23" style="6" bestFit="1" customWidth="1"/>
    <col min="3596" max="3596" width="10" style="6" customWidth="1"/>
    <col min="3597" max="3597" width="6.36328125" style="6" bestFit="1" customWidth="1"/>
    <col min="3598" max="3598" width="7.36328125" style="6" bestFit="1" customWidth="1"/>
    <col min="3599" max="3599" width="16.6328125" style="6" customWidth="1"/>
    <col min="3600" max="3600" width="7.36328125" style="6" bestFit="1" customWidth="1"/>
    <col min="3601" max="3601" width="16.6328125" style="6" customWidth="1"/>
    <col min="3602" max="3845" width="9" style="6"/>
    <col min="3846" max="3846" width="16.36328125" style="6" customWidth="1"/>
    <col min="3847" max="3847" width="9" style="6"/>
    <col min="3848" max="3848" width="11.453125" style="6" customWidth="1"/>
    <col min="3849" max="3850" width="9" style="6"/>
    <col min="3851" max="3851" width="23" style="6" bestFit="1" customWidth="1"/>
    <col min="3852" max="3852" width="10" style="6" customWidth="1"/>
    <col min="3853" max="3853" width="6.36328125" style="6" bestFit="1" customWidth="1"/>
    <col min="3854" max="3854" width="7.36328125" style="6" bestFit="1" customWidth="1"/>
    <col min="3855" max="3855" width="16.6328125" style="6" customWidth="1"/>
    <col min="3856" max="3856" width="7.36328125" style="6" bestFit="1" customWidth="1"/>
    <col min="3857" max="3857" width="16.6328125" style="6" customWidth="1"/>
    <col min="3858" max="4101" width="9" style="6"/>
    <col min="4102" max="4102" width="16.36328125" style="6" customWidth="1"/>
    <col min="4103" max="4103" width="9" style="6"/>
    <col min="4104" max="4104" width="11.453125" style="6" customWidth="1"/>
    <col min="4105" max="4106" width="9" style="6"/>
    <col min="4107" max="4107" width="23" style="6" bestFit="1" customWidth="1"/>
    <col min="4108" max="4108" width="10" style="6" customWidth="1"/>
    <col min="4109" max="4109" width="6.36328125" style="6" bestFit="1" customWidth="1"/>
    <col min="4110" max="4110" width="7.36328125" style="6" bestFit="1" customWidth="1"/>
    <col min="4111" max="4111" width="16.6328125" style="6" customWidth="1"/>
    <col min="4112" max="4112" width="7.36328125" style="6" bestFit="1" customWidth="1"/>
    <col min="4113" max="4113" width="16.6328125" style="6" customWidth="1"/>
    <col min="4114" max="4357" width="9" style="6"/>
    <col min="4358" max="4358" width="16.36328125" style="6" customWidth="1"/>
    <col min="4359" max="4359" width="9" style="6"/>
    <col min="4360" max="4360" width="11.453125" style="6" customWidth="1"/>
    <col min="4361" max="4362" width="9" style="6"/>
    <col min="4363" max="4363" width="23" style="6" bestFit="1" customWidth="1"/>
    <col min="4364" max="4364" width="10" style="6" customWidth="1"/>
    <col min="4365" max="4365" width="6.36328125" style="6" bestFit="1" customWidth="1"/>
    <col min="4366" max="4366" width="7.36328125" style="6" bestFit="1" customWidth="1"/>
    <col min="4367" max="4367" width="16.6328125" style="6" customWidth="1"/>
    <col min="4368" max="4368" width="7.36328125" style="6" bestFit="1" customWidth="1"/>
    <col min="4369" max="4369" width="16.6328125" style="6" customWidth="1"/>
    <col min="4370" max="4613" width="9" style="6"/>
    <col min="4614" max="4614" width="16.36328125" style="6" customWidth="1"/>
    <col min="4615" max="4615" width="9" style="6"/>
    <col min="4616" max="4616" width="11.453125" style="6" customWidth="1"/>
    <col min="4617" max="4618" width="9" style="6"/>
    <col min="4619" max="4619" width="23" style="6" bestFit="1" customWidth="1"/>
    <col min="4620" max="4620" width="10" style="6" customWidth="1"/>
    <col min="4621" max="4621" width="6.36328125" style="6" bestFit="1" customWidth="1"/>
    <col min="4622" max="4622" width="7.36328125" style="6" bestFit="1" customWidth="1"/>
    <col min="4623" max="4623" width="16.6328125" style="6" customWidth="1"/>
    <col min="4624" max="4624" width="7.36328125" style="6" bestFit="1" customWidth="1"/>
    <col min="4625" max="4625" width="16.6328125" style="6" customWidth="1"/>
    <col min="4626" max="4869" width="9" style="6"/>
    <col min="4870" max="4870" width="16.36328125" style="6" customWidth="1"/>
    <col min="4871" max="4871" width="9" style="6"/>
    <col min="4872" max="4872" width="11.453125" style="6" customWidth="1"/>
    <col min="4873" max="4874" width="9" style="6"/>
    <col min="4875" max="4875" width="23" style="6" bestFit="1" customWidth="1"/>
    <col min="4876" max="4876" width="10" style="6" customWidth="1"/>
    <col min="4877" max="4877" width="6.36328125" style="6" bestFit="1" customWidth="1"/>
    <col min="4878" max="4878" width="7.36328125" style="6" bestFit="1" customWidth="1"/>
    <col min="4879" max="4879" width="16.6328125" style="6" customWidth="1"/>
    <col min="4880" max="4880" width="7.36328125" style="6" bestFit="1" customWidth="1"/>
    <col min="4881" max="4881" width="16.6328125" style="6" customWidth="1"/>
    <col min="4882" max="5125" width="9" style="6"/>
    <col min="5126" max="5126" width="16.36328125" style="6" customWidth="1"/>
    <col min="5127" max="5127" width="9" style="6"/>
    <col min="5128" max="5128" width="11.453125" style="6" customWidth="1"/>
    <col min="5129" max="5130" width="9" style="6"/>
    <col min="5131" max="5131" width="23" style="6" bestFit="1" customWidth="1"/>
    <col min="5132" max="5132" width="10" style="6" customWidth="1"/>
    <col min="5133" max="5133" width="6.36328125" style="6" bestFit="1" customWidth="1"/>
    <col min="5134" max="5134" width="7.36328125" style="6" bestFit="1" customWidth="1"/>
    <col min="5135" max="5135" width="16.6328125" style="6" customWidth="1"/>
    <col min="5136" max="5136" width="7.36328125" style="6" bestFit="1" customWidth="1"/>
    <col min="5137" max="5137" width="16.6328125" style="6" customWidth="1"/>
    <col min="5138" max="5381" width="9" style="6"/>
    <col min="5382" max="5382" width="16.36328125" style="6" customWidth="1"/>
    <col min="5383" max="5383" width="9" style="6"/>
    <col min="5384" max="5384" width="11.453125" style="6" customWidth="1"/>
    <col min="5385" max="5386" width="9" style="6"/>
    <col min="5387" max="5387" width="23" style="6" bestFit="1" customWidth="1"/>
    <col min="5388" max="5388" width="10" style="6" customWidth="1"/>
    <col min="5389" max="5389" width="6.36328125" style="6" bestFit="1" customWidth="1"/>
    <col min="5390" max="5390" width="7.36328125" style="6" bestFit="1" customWidth="1"/>
    <col min="5391" max="5391" width="16.6328125" style="6" customWidth="1"/>
    <col min="5392" max="5392" width="7.36328125" style="6" bestFit="1" customWidth="1"/>
    <col min="5393" max="5393" width="16.6328125" style="6" customWidth="1"/>
    <col min="5394" max="5637" width="9" style="6"/>
    <col min="5638" max="5638" width="16.36328125" style="6" customWidth="1"/>
    <col min="5639" max="5639" width="9" style="6"/>
    <col min="5640" max="5640" width="11.453125" style="6" customWidth="1"/>
    <col min="5641" max="5642" width="9" style="6"/>
    <col min="5643" max="5643" width="23" style="6" bestFit="1" customWidth="1"/>
    <col min="5644" max="5644" width="10" style="6" customWidth="1"/>
    <col min="5645" max="5645" width="6.36328125" style="6" bestFit="1" customWidth="1"/>
    <col min="5646" max="5646" width="7.36328125" style="6" bestFit="1" customWidth="1"/>
    <col min="5647" max="5647" width="16.6328125" style="6" customWidth="1"/>
    <col min="5648" max="5648" width="7.36328125" style="6" bestFit="1" customWidth="1"/>
    <col min="5649" max="5649" width="16.6328125" style="6" customWidth="1"/>
    <col min="5650" max="5893" width="9" style="6"/>
    <col min="5894" max="5894" width="16.36328125" style="6" customWidth="1"/>
    <col min="5895" max="5895" width="9" style="6"/>
    <col min="5896" max="5896" width="11.453125" style="6" customWidth="1"/>
    <col min="5897" max="5898" width="9" style="6"/>
    <col min="5899" max="5899" width="23" style="6" bestFit="1" customWidth="1"/>
    <col min="5900" max="5900" width="10" style="6" customWidth="1"/>
    <col min="5901" max="5901" width="6.36328125" style="6" bestFit="1" customWidth="1"/>
    <col min="5902" max="5902" width="7.36328125" style="6" bestFit="1" customWidth="1"/>
    <col min="5903" max="5903" width="16.6328125" style="6" customWidth="1"/>
    <col min="5904" max="5904" width="7.36328125" style="6" bestFit="1" customWidth="1"/>
    <col min="5905" max="5905" width="16.6328125" style="6" customWidth="1"/>
    <col min="5906" max="6149" width="9" style="6"/>
    <col min="6150" max="6150" width="16.36328125" style="6" customWidth="1"/>
    <col min="6151" max="6151" width="9" style="6"/>
    <col min="6152" max="6152" width="11.453125" style="6" customWidth="1"/>
    <col min="6153" max="6154" width="9" style="6"/>
    <col min="6155" max="6155" width="23" style="6" bestFit="1" customWidth="1"/>
    <col min="6156" max="6156" width="10" style="6" customWidth="1"/>
    <col min="6157" max="6157" width="6.36328125" style="6" bestFit="1" customWidth="1"/>
    <col min="6158" max="6158" width="7.36328125" style="6" bestFit="1" customWidth="1"/>
    <col min="6159" max="6159" width="16.6328125" style="6" customWidth="1"/>
    <col min="6160" max="6160" width="7.36328125" style="6" bestFit="1" customWidth="1"/>
    <col min="6161" max="6161" width="16.6328125" style="6" customWidth="1"/>
    <col min="6162" max="6405" width="9" style="6"/>
    <col min="6406" max="6406" width="16.36328125" style="6" customWidth="1"/>
    <col min="6407" max="6407" width="9" style="6"/>
    <col min="6408" max="6408" width="11.453125" style="6" customWidth="1"/>
    <col min="6409" max="6410" width="9" style="6"/>
    <col min="6411" max="6411" width="23" style="6" bestFit="1" customWidth="1"/>
    <col min="6412" max="6412" width="10" style="6" customWidth="1"/>
    <col min="6413" max="6413" width="6.36328125" style="6" bestFit="1" customWidth="1"/>
    <col min="6414" max="6414" width="7.36328125" style="6" bestFit="1" customWidth="1"/>
    <col min="6415" max="6415" width="16.6328125" style="6" customWidth="1"/>
    <col min="6416" max="6416" width="7.36328125" style="6" bestFit="1" customWidth="1"/>
    <col min="6417" max="6417" width="16.6328125" style="6" customWidth="1"/>
    <col min="6418" max="6661" width="9" style="6"/>
    <col min="6662" max="6662" width="16.36328125" style="6" customWidth="1"/>
    <col min="6663" max="6663" width="9" style="6"/>
    <col min="6664" max="6664" width="11.453125" style="6" customWidth="1"/>
    <col min="6665" max="6666" width="9" style="6"/>
    <col min="6667" max="6667" width="23" style="6" bestFit="1" customWidth="1"/>
    <col min="6668" max="6668" width="10" style="6" customWidth="1"/>
    <col min="6669" max="6669" width="6.36328125" style="6" bestFit="1" customWidth="1"/>
    <col min="6670" max="6670" width="7.36328125" style="6" bestFit="1" customWidth="1"/>
    <col min="6671" max="6671" width="16.6328125" style="6" customWidth="1"/>
    <col min="6672" max="6672" width="7.36328125" style="6" bestFit="1" customWidth="1"/>
    <col min="6673" max="6673" width="16.6328125" style="6" customWidth="1"/>
    <col min="6674" max="6917" width="9" style="6"/>
    <col min="6918" max="6918" width="16.36328125" style="6" customWidth="1"/>
    <col min="6919" max="6919" width="9" style="6"/>
    <col min="6920" max="6920" width="11.453125" style="6" customWidth="1"/>
    <col min="6921" max="6922" width="9" style="6"/>
    <col min="6923" max="6923" width="23" style="6" bestFit="1" customWidth="1"/>
    <col min="6924" max="6924" width="10" style="6" customWidth="1"/>
    <col min="6925" max="6925" width="6.36328125" style="6" bestFit="1" customWidth="1"/>
    <col min="6926" max="6926" width="7.36328125" style="6" bestFit="1" customWidth="1"/>
    <col min="6927" max="6927" width="16.6328125" style="6" customWidth="1"/>
    <col min="6928" max="6928" width="7.36328125" style="6" bestFit="1" customWidth="1"/>
    <col min="6929" max="6929" width="16.6328125" style="6" customWidth="1"/>
    <col min="6930" max="7173" width="9" style="6"/>
    <col min="7174" max="7174" width="16.36328125" style="6" customWidth="1"/>
    <col min="7175" max="7175" width="9" style="6"/>
    <col min="7176" max="7176" width="11.453125" style="6" customWidth="1"/>
    <col min="7177" max="7178" width="9" style="6"/>
    <col min="7179" max="7179" width="23" style="6" bestFit="1" customWidth="1"/>
    <col min="7180" max="7180" width="10" style="6" customWidth="1"/>
    <col min="7181" max="7181" width="6.36328125" style="6" bestFit="1" customWidth="1"/>
    <col min="7182" max="7182" width="7.36328125" style="6" bestFit="1" customWidth="1"/>
    <col min="7183" max="7183" width="16.6328125" style="6" customWidth="1"/>
    <col min="7184" max="7184" width="7.36328125" style="6" bestFit="1" customWidth="1"/>
    <col min="7185" max="7185" width="16.6328125" style="6" customWidth="1"/>
    <col min="7186" max="7429" width="9" style="6"/>
    <col min="7430" max="7430" width="16.36328125" style="6" customWidth="1"/>
    <col min="7431" max="7431" width="9" style="6"/>
    <col min="7432" max="7432" width="11.453125" style="6" customWidth="1"/>
    <col min="7433" max="7434" width="9" style="6"/>
    <col min="7435" max="7435" width="23" style="6" bestFit="1" customWidth="1"/>
    <col min="7436" max="7436" width="10" style="6" customWidth="1"/>
    <col min="7437" max="7437" width="6.36328125" style="6" bestFit="1" customWidth="1"/>
    <col min="7438" max="7438" width="7.36328125" style="6" bestFit="1" customWidth="1"/>
    <col min="7439" max="7439" width="16.6328125" style="6" customWidth="1"/>
    <col min="7440" max="7440" width="7.36328125" style="6" bestFit="1" customWidth="1"/>
    <col min="7441" max="7441" width="16.6328125" style="6" customWidth="1"/>
    <col min="7442" max="7685" width="9" style="6"/>
    <col min="7686" max="7686" width="16.36328125" style="6" customWidth="1"/>
    <col min="7687" max="7687" width="9" style="6"/>
    <col min="7688" max="7688" width="11.453125" style="6" customWidth="1"/>
    <col min="7689" max="7690" width="9" style="6"/>
    <col min="7691" max="7691" width="23" style="6" bestFit="1" customWidth="1"/>
    <col min="7692" max="7692" width="10" style="6" customWidth="1"/>
    <col min="7693" max="7693" width="6.36328125" style="6" bestFit="1" customWidth="1"/>
    <col min="7694" max="7694" width="7.36328125" style="6" bestFit="1" customWidth="1"/>
    <col min="7695" max="7695" width="16.6328125" style="6" customWidth="1"/>
    <col min="7696" max="7696" width="7.36328125" style="6" bestFit="1" customWidth="1"/>
    <col min="7697" max="7697" width="16.6328125" style="6" customWidth="1"/>
    <col min="7698" max="7941" width="9" style="6"/>
    <col min="7942" max="7942" width="16.36328125" style="6" customWidth="1"/>
    <col min="7943" max="7943" width="9" style="6"/>
    <col min="7944" max="7944" width="11.453125" style="6" customWidth="1"/>
    <col min="7945" max="7946" width="9" style="6"/>
    <col min="7947" max="7947" width="23" style="6" bestFit="1" customWidth="1"/>
    <col min="7948" max="7948" width="10" style="6" customWidth="1"/>
    <col min="7949" max="7949" width="6.36328125" style="6" bestFit="1" customWidth="1"/>
    <col min="7950" max="7950" width="7.36328125" style="6" bestFit="1" customWidth="1"/>
    <col min="7951" max="7951" width="16.6328125" style="6" customWidth="1"/>
    <col min="7952" max="7952" width="7.36328125" style="6" bestFit="1" customWidth="1"/>
    <col min="7953" max="7953" width="16.6328125" style="6" customWidth="1"/>
    <col min="7954" max="8197" width="9" style="6"/>
    <col min="8198" max="8198" width="16.36328125" style="6" customWidth="1"/>
    <col min="8199" max="8199" width="9" style="6"/>
    <col min="8200" max="8200" width="11.453125" style="6" customWidth="1"/>
    <col min="8201" max="8202" width="9" style="6"/>
    <col min="8203" max="8203" width="23" style="6" bestFit="1" customWidth="1"/>
    <col min="8204" max="8204" width="10" style="6" customWidth="1"/>
    <col min="8205" max="8205" width="6.36328125" style="6" bestFit="1" customWidth="1"/>
    <col min="8206" max="8206" width="7.36328125" style="6" bestFit="1" customWidth="1"/>
    <col min="8207" max="8207" width="16.6328125" style="6" customWidth="1"/>
    <col min="8208" max="8208" width="7.36328125" style="6" bestFit="1" customWidth="1"/>
    <col min="8209" max="8209" width="16.6328125" style="6" customWidth="1"/>
    <col min="8210" max="8453" width="9" style="6"/>
    <col min="8454" max="8454" width="16.36328125" style="6" customWidth="1"/>
    <col min="8455" max="8455" width="9" style="6"/>
    <col min="8456" max="8456" width="11.453125" style="6" customWidth="1"/>
    <col min="8457" max="8458" width="9" style="6"/>
    <col min="8459" max="8459" width="23" style="6" bestFit="1" customWidth="1"/>
    <col min="8460" max="8460" width="10" style="6" customWidth="1"/>
    <col min="8461" max="8461" width="6.36328125" style="6" bestFit="1" customWidth="1"/>
    <col min="8462" max="8462" width="7.36328125" style="6" bestFit="1" customWidth="1"/>
    <col min="8463" max="8463" width="16.6328125" style="6" customWidth="1"/>
    <col min="8464" max="8464" width="7.36328125" style="6" bestFit="1" customWidth="1"/>
    <col min="8465" max="8465" width="16.6328125" style="6" customWidth="1"/>
    <col min="8466" max="8709" width="9" style="6"/>
    <col min="8710" max="8710" width="16.36328125" style="6" customWidth="1"/>
    <col min="8711" max="8711" width="9" style="6"/>
    <col min="8712" max="8712" width="11.453125" style="6" customWidth="1"/>
    <col min="8713" max="8714" width="9" style="6"/>
    <col min="8715" max="8715" width="23" style="6" bestFit="1" customWidth="1"/>
    <col min="8716" max="8716" width="10" style="6" customWidth="1"/>
    <col min="8717" max="8717" width="6.36328125" style="6" bestFit="1" customWidth="1"/>
    <col min="8718" max="8718" width="7.36328125" style="6" bestFit="1" customWidth="1"/>
    <col min="8719" max="8719" width="16.6328125" style="6" customWidth="1"/>
    <col min="8720" max="8720" width="7.36328125" style="6" bestFit="1" customWidth="1"/>
    <col min="8721" max="8721" width="16.6328125" style="6" customWidth="1"/>
    <col min="8722" max="8965" width="9" style="6"/>
    <col min="8966" max="8966" width="16.36328125" style="6" customWidth="1"/>
    <col min="8967" max="8967" width="9" style="6"/>
    <col min="8968" max="8968" width="11.453125" style="6" customWidth="1"/>
    <col min="8969" max="8970" width="9" style="6"/>
    <col min="8971" max="8971" width="23" style="6" bestFit="1" customWidth="1"/>
    <col min="8972" max="8972" width="10" style="6" customWidth="1"/>
    <col min="8973" max="8973" width="6.36328125" style="6" bestFit="1" customWidth="1"/>
    <col min="8974" max="8974" width="7.36328125" style="6" bestFit="1" customWidth="1"/>
    <col min="8975" max="8975" width="16.6328125" style="6" customWidth="1"/>
    <col min="8976" max="8976" width="7.36328125" style="6" bestFit="1" customWidth="1"/>
    <col min="8977" max="8977" width="16.6328125" style="6" customWidth="1"/>
    <col min="8978" max="9221" width="9" style="6"/>
    <col min="9222" max="9222" width="16.36328125" style="6" customWidth="1"/>
    <col min="9223" max="9223" width="9" style="6"/>
    <col min="9224" max="9224" width="11.453125" style="6" customWidth="1"/>
    <col min="9225" max="9226" width="9" style="6"/>
    <col min="9227" max="9227" width="23" style="6" bestFit="1" customWidth="1"/>
    <col min="9228" max="9228" width="10" style="6" customWidth="1"/>
    <col min="9229" max="9229" width="6.36328125" style="6" bestFit="1" customWidth="1"/>
    <col min="9230" max="9230" width="7.36328125" style="6" bestFit="1" customWidth="1"/>
    <col min="9231" max="9231" width="16.6328125" style="6" customWidth="1"/>
    <col min="9232" max="9232" width="7.36328125" style="6" bestFit="1" customWidth="1"/>
    <col min="9233" max="9233" width="16.6328125" style="6" customWidth="1"/>
    <col min="9234" max="9477" width="9" style="6"/>
    <col min="9478" max="9478" width="16.36328125" style="6" customWidth="1"/>
    <col min="9479" max="9479" width="9" style="6"/>
    <col min="9480" max="9480" width="11.453125" style="6" customWidth="1"/>
    <col min="9481" max="9482" width="9" style="6"/>
    <col min="9483" max="9483" width="23" style="6" bestFit="1" customWidth="1"/>
    <col min="9484" max="9484" width="10" style="6" customWidth="1"/>
    <col min="9485" max="9485" width="6.36328125" style="6" bestFit="1" customWidth="1"/>
    <col min="9486" max="9486" width="7.36328125" style="6" bestFit="1" customWidth="1"/>
    <col min="9487" max="9487" width="16.6328125" style="6" customWidth="1"/>
    <col min="9488" max="9488" width="7.36328125" style="6" bestFit="1" customWidth="1"/>
    <col min="9489" max="9489" width="16.6328125" style="6" customWidth="1"/>
    <col min="9490" max="9733" width="9" style="6"/>
    <col min="9734" max="9734" width="16.36328125" style="6" customWidth="1"/>
    <col min="9735" max="9735" width="9" style="6"/>
    <col min="9736" max="9736" width="11.453125" style="6" customWidth="1"/>
    <col min="9737" max="9738" width="9" style="6"/>
    <col min="9739" max="9739" width="23" style="6" bestFit="1" customWidth="1"/>
    <col min="9740" max="9740" width="10" style="6" customWidth="1"/>
    <col min="9741" max="9741" width="6.36328125" style="6" bestFit="1" customWidth="1"/>
    <col min="9742" max="9742" width="7.36328125" style="6" bestFit="1" customWidth="1"/>
    <col min="9743" max="9743" width="16.6328125" style="6" customWidth="1"/>
    <col min="9744" max="9744" width="7.36328125" style="6" bestFit="1" customWidth="1"/>
    <col min="9745" max="9745" width="16.6328125" style="6" customWidth="1"/>
    <col min="9746" max="9989" width="9" style="6"/>
    <col min="9990" max="9990" width="16.36328125" style="6" customWidth="1"/>
    <col min="9991" max="9991" width="9" style="6"/>
    <col min="9992" max="9992" width="11.453125" style="6" customWidth="1"/>
    <col min="9993" max="9994" width="9" style="6"/>
    <col min="9995" max="9995" width="23" style="6" bestFit="1" customWidth="1"/>
    <col min="9996" max="9996" width="10" style="6" customWidth="1"/>
    <col min="9997" max="9997" width="6.36328125" style="6" bestFit="1" customWidth="1"/>
    <col min="9998" max="9998" width="7.36328125" style="6" bestFit="1" customWidth="1"/>
    <col min="9999" max="9999" width="16.6328125" style="6" customWidth="1"/>
    <col min="10000" max="10000" width="7.36328125" style="6" bestFit="1" customWidth="1"/>
    <col min="10001" max="10001" width="16.6328125" style="6" customWidth="1"/>
    <col min="10002" max="10245" width="9" style="6"/>
    <col min="10246" max="10246" width="16.36328125" style="6" customWidth="1"/>
    <col min="10247" max="10247" width="9" style="6"/>
    <col min="10248" max="10248" width="11.453125" style="6" customWidth="1"/>
    <col min="10249" max="10250" width="9" style="6"/>
    <col min="10251" max="10251" width="23" style="6" bestFit="1" customWidth="1"/>
    <col min="10252" max="10252" width="10" style="6" customWidth="1"/>
    <col min="10253" max="10253" width="6.36328125" style="6" bestFit="1" customWidth="1"/>
    <col min="10254" max="10254" width="7.36328125" style="6" bestFit="1" customWidth="1"/>
    <col min="10255" max="10255" width="16.6328125" style="6" customWidth="1"/>
    <col min="10256" max="10256" width="7.36328125" style="6" bestFit="1" customWidth="1"/>
    <col min="10257" max="10257" width="16.6328125" style="6" customWidth="1"/>
    <col min="10258" max="10501" width="9" style="6"/>
    <col min="10502" max="10502" width="16.36328125" style="6" customWidth="1"/>
    <col min="10503" max="10503" width="9" style="6"/>
    <col min="10504" max="10504" width="11.453125" style="6" customWidth="1"/>
    <col min="10505" max="10506" width="9" style="6"/>
    <col min="10507" max="10507" width="23" style="6" bestFit="1" customWidth="1"/>
    <col min="10508" max="10508" width="10" style="6" customWidth="1"/>
    <col min="10509" max="10509" width="6.36328125" style="6" bestFit="1" customWidth="1"/>
    <col min="10510" max="10510" width="7.36328125" style="6" bestFit="1" customWidth="1"/>
    <col min="10511" max="10511" width="16.6328125" style="6" customWidth="1"/>
    <col min="10512" max="10512" width="7.36328125" style="6" bestFit="1" customWidth="1"/>
    <col min="10513" max="10513" width="16.6328125" style="6" customWidth="1"/>
    <col min="10514" max="10757" width="9" style="6"/>
    <col min="10758" max="10758" width="16.36328125" style="6" customWidth="1"/>
    <col min="10759" max="10759" width="9" style="6"/>
    <col min="10760" max="10760" width="11.453125" style="6" customWidth="1"/>
    <col min="10761" max="10762" width="9" style="6"/>
    <col min="10763" max="10763" width="23" style="6" bestFit="1" customWidth="1"/>
    <col min="10764" max="10764" width="10" style="6" customWidth="1"/>
    <col min="10765" max="10765" width="6.36328125" style="6" bestFit="1" customWidth="1"/>
    <col min="10766" max="10766" width="7.36328125" style="6" bestFit="1" customWidth="1"/>
    <col min="10767" max="10767" width="16.6328125" style="6" customWidth="1"/>
    <col min="10768" max="10768" width="7.36328125" style="6" bestFit="1" customWidth="1"/>
    <col min="10769" max="10769" width="16.6328125" style="6" customWidth="1"/>
    <col min="10770" max="11013" width="9" style="6"/>
    <col min="11014" max="11014" width="16.36328125" style="6" customWidth="1"/>
    <col min="11015" max="11015" width="9" style="6"/>
    <col min="11016" max="11016" width="11.453125" style="6" customWidth="1"/>
    <col min="11017" max="11018" width="9" style="6"/>
    <col min="11019" max="11019" width="23" style="6" bestFit="1" customWidth="1"/>
    <col min="11020" max="11020" width="10" style="6" customWidth="1"/>
    <col min="11021" max="11021" width="6.36328125" style="6" bestFit="1" customWidth="1"/>
    <col min="11022" max="11022" width="7.36328125" style="6" bestFit="1" customWidth="1"/>
    <col min="11023" max="11023" width="16.6328125" style="6" customWidth="1"/>
    <col min="11024" max="11024" width="7.36328125" style="6" bestFit="1" customWidth="1"/>
    <col min="11025" max="11025" width="16.6328125" style="6" customWidth="1"/>
    <col min="11026" max="11269" width="9" style="6"/>
    <col min="11270" max="11270" width="16.36328125" style="6" customWidth="1"/>
    <col min="11271" max="11271" width="9" style="6"/>
    <col min="11272" max="11272" width="11.453125" style="6" customWidth="1"/>
    <col min="11273" max="11274" width="9" style="6"/>
    <col min="11275" max="11275" width="23" style="6" bestFit="1" customWidth="1"/>
    <col min="11276" max="11276" width="10" style="6" customWidth="1"/>
    <col min="11277" max="11277" width="6.36328125" style="6" bestFit="1" customWidth="1"/>
    <col min="11278" max="11278" width="7.36328125" style="6" bestFit="1" customWidth="1"/>
    <col min="11279" max="11279" width="16.6328125" style="6" customWidth="1"/>
    <col min="11280" max="11280" width="7.36328125" style="6" bestFit="1" customWidth="1"/>
    <col min="11281" max="11281" width="16.6328125" style="6" customWidth="1"/>
    <col min="11282" max="11525" width="9" style="6"/>
    <col min="11526" max="11526" width="16.36328125" style="6" customWidth="1"/>
    <col min="11527" max="11527" width="9" style="6"/>
    <col min="11528" max="11528" width="11.453125" style="6" customWidth="1"/>
    <col min="11529" max="11530" width="9" style="6"/>
    <col min="11531" max="11531" width="23" style="6" bestFit="1" customWidth="1"/>
    <col min="11532" max="11532" width="10" style="6" customWidth="1"/>
    <col min="11533" max="11533" width="6.36328125" style="6" bestFit="1" customWidth="1"/>
    <col min="11534" max="11534" width="7.36328125" style="6" bestFit="1" customWidth="1"/>
    <col min="11535" max="11535" width="16.6328125" style="6" customWidth="1"/>
    <col min="11536" max="11536" width="7.36328125" style="6" bestFit="1" customWidth="1"/>
    <col min="11537" max="11537" width="16.6328125" style="6" customWidth="1"/>
    <col min="11538" max="11781" width="9" style="6"/>
    <col min="11782" max="11782" width="16.36328125" style="6" customWidth="1"/>
    <col min="11783" max="11783" width="9" style="6"/>
    <col min="11784" max="11784" width="11.453125" style="6" customWidth="1"/>
    <col min="11785" max="11786" width="9" style="6"/>
    <col min="11787" max="11787" width="23" style="6" bestFit="1" customWidth="1"/>
    <col min="11788" max="11788" width="10" style="6" customWidth="1"/>
    <col min="11789" max="11789" width="6.36328125" style="6" bestFit="1" customWidth="1"/>
    <col min="11790" max="11790" width="7.36328125" style="6" bestFit="1" customWidth="1"/>
    <col min="11791" max="11791" width="16.6328125" style="6" customWidth="1"/>
    <col min="11792" max="11792" width="7.36328125" style="6" bestFit="1" customWidth="1"/>
    <col min="11793" max="11793" width="16.6328125" style="6" customWidth="1"/>
    <col min="11794" max="12037" width="9" style="6"/>
    <col min="12038" max="12038" width="16.36328125" style="6" customWidth="1"/>
    <col min="12039" max="12039" width="9" style="6"/>
    <col min="12040" max="12040" width="11.453125" style="6" customWidth="1"/>
    <col min="12041" max="12042" width="9" style="6"/>
    <col min="12043" max="12043" width="23" style="6" bestFit="1" customWidth="1"/>
    <col min="12044" max="12044" width="10" style="6" customWidth="1"/>
    <col min="12045" max="12045" width="6.36328125" style="6" bestFit="1" customWidth="1"/>
    <col min="12046" max="12046" width="7.36328125" style="6" bestFit="1" customWidth="1"/>
    <col min="12047" max="12047" width="16.6328125" style="6" customWidth="1"/>
    <col min="12048" max="12048" width="7.36328125" style="6" bestFit="1" customWidth="1"/>
    <col min="12049" max="12049" width="16.6328125" style="6" customWidth="1"/>
    <col min="12050" max="12293" width="9" style="6"/>
    <col min="12294" max="12294" width="16.36328125" style="6" customWidth="1"/>
    <col min="12295" max="12295" width="9" style="6"/>
    <col min="12296" max="12296" width="11.453125" style="6" customWidth="1"/>
    <col min="12297" max="12298" width="9" style="6"/>
    <col min="12299" max="12299" width="23" style="6" bestFit="1" customWidth="1"/>
    <col min="12300" max="12300" width="10" style="6" customWidth="1"/>
    <col min="12301" max="12301" width="6.36328125" style="6" bestFit="1" customWidth="1"/>
    <col min="12302" max="12302" width="7.36328125" style="6" bestFit="1" customWidth="1"/>
    <col min="12303" max="12303" width="16.6328125" style="6" customWidth="1"/>
    <col min="12304" max="12304" width="7.36328125" style="6" bestFit="1" customWidth="1"/>
    <col min="12305" max="12305" width="16.6328125" style="6" customWidth="1"/>
    <col min="12306" max="12549" width="9" style="6"/>
    <col min="12550" max="12550" width="16.36328125" style="6" customWidth="1"/>
    <col min="12551" max="12551" width="9" style="6"/>
    <col min="12552" max="12552" width="11.453125" style="6" customWidth="1"/>
    <col min="12553" max="12554" width="9" style="6"/>
    <col min="12555" max="12555" width="23" style="6" bestFit="1" customWidth="1"/>
    <col min="12556" max="12556" width="10" style="6" customWidth="1"/>
    <col min="12557" max="12557" width="6.36328125" style="6" bestFit="1" customWidth="1"/>
    <col min="12558" max="12558" width="7.36328125" style="6" bestFit="1" customWidth="1"/>
    <col min="12559" max="12559" width="16.6328125" style="6" customWidth="1"/>
    <col min="12560" max="12560" width="7.36328125" style="6" bestFit="1" customWidth="1"/>
    <col min="12561" max="12561" width="16.6328125" style="6" customWidth="1"/>
    <col min="12562" max="12805" width="9" style="6"/>
    <col min="12806" max="12806" width="16.36328125" style="6" customWidth="1"/>
    <col min="12807" max="12807" width="9" style="6"/>
    <col min="12808" max="12808" width="11.453125" style="6" customWidth="1"/>
    <col min="12809" max="12810" width="9" style="6"/>
    <col min="12811" max="12811" width="23" style="6" bestFit="1" customWidth="1"/>
    <col min="12812" max="12812" width="10" style="6" customWidth="1"/>
    <col min="12813" max="12813" width="6.36328125" style="6" bestFit="1" customWidth="1"/>
    <col min="12814" max="12814" width="7.36328125" style="6" bestFit="1" customWidth="1"/>
    <col min="12815" max="12815" width="16.6328125" style="6" customWidth="1"/>
    <col min="12816" max="12816" width="7.36328125" style="6" bestFit="1" customWidth="1"/>
    <col min="12817" max="12817" width="16.6328125" style="6" customWidth="1"/>
    <col min="12818" max="13061" width="9" style="6"/>
    <col min="13062" max="13062" width="16.36328125" style="6" customWidth="1"/>
    <col min="13063" max="13063" width="9" style="6"/>
    <col min="13064" max="13064" width="11.453125" style="6" customWidth="1"/>
    <col min="13065" max="13066" width="9" style="6"/>
    <col min="13067" max="13067" width="23" style="6" bestFit="1" customWidth="1"/>
    <col min="13068" max="13068" width="10" style="6" customWidth="1"/>
    <col min="13069" max="13069" width="6.36328125" style="6" bestFit="1" customWidth="1"/>
    <col min="13070" max="13070" width="7.36328125" style="6" bestFit="1" customWidth="1"/>
    <col min="13071" max="13071" width="16.6328125" style="6" customWidth="1"/>
    <col min="13072" max="13072" width="7.36328125" style="6" bestFit="1" customWidth="1"/>
    <col min="13073" max="13073" width="16.6328125" style="6" customWidth="1"/>
    <col min="13074" max="13317" width="9" style="6"/>
    <col min="13318" max="13318" width="16.36328125" style="6" customWidth="1"/>
    <col min="13319" max="13319" width="9" style="6"/>
    <col min="13320" max="13320" width="11.453125" style="6" customWidth="1"/>
    <col min="13321" max="13322" width="9" style="6"/>
    <col min="13323" max="13323" width="23" style="6" bestFit="1" customWidth="1"/>
    <col min="13324" max="13324" width="10" style="6" customWidth="1"/>
    <col min="13325" max="13325" width="6.36328125" style="6" bestFit="1" customWidth="1"/>
    <col min="13326" max="13326" width="7.36328125" style="6" bestFit="1" customWidth="1"/>
    <col min="13327" max="13327" width="16.6328125" style="6" customWidth="1"/>
    <col min="13328" max="13328" width="7.36328125" style="6" bestFit="1" customWidth="1"/>
    <col min="13329" max="13329" width="16.6328125" style="6" customWidth="1"/>
    <col min="13330" max="13573" width="9" style="6"/>
    <col min="13574" max="13574" width="16.36328125" style="6" customWidth="1"/>
    <col min="13575" max="13575" width="9" style="6"/>
    <col min="13576" max="13576" width="11.453125" style="6" customWidth="1"/>
    <col min="13577" max="13578" width="9" style="6"/>
    <col min="13579" max="13579" width="23" style="6" bestFit="1" customWidth="1"/>
    <col min="13580" max="13580" width="10" style="6" customWidth="1"/>
    <col min="13581" max="13581" width="6.36328125" style="6" bestFit="1" customWidth="1"/>
    <col min="13582" max="13582" width="7.36328125" style="6" bestFit="1" customWidth="1"/>
    <col min="13583" max="13583" width="16.6328125" style="6" customWidth="1"/>
    <col min="13584" max="13584" width="7.36328125" style="6" bestFit="1" customWidth="1"/>
    <col min="13585" max="13585" width="16.6328125" style="6" customWidth="1"/>
    <col min="13586" max="13829" width="9" style="6"/>
    <col min="13830" max="13830" width="16.36328125" style="6" customWidth="1"/>
    <col min="13831" max="13831" width="9" style="6"/>
    <col min="13832" max="13832" width="11.453125" style="6" customWidth="1"/>
    <col min="13833" max="13834" width="9" style="6"/>
    <col min="13835" max="13835" width="23" style="6" bestFit="1" customWidth="1"/>
    <col min="13836" max="13836" width="10" style="6" customWidth="1"/>
    <col min="13837" max="13837" width="6.36328125" style="6" bestFit="1" customWidth="1"/>
    <col min="13838" max="13838" width="7.36328125" style="6" bestFit="1" customWidth="1"/>
    <col min="13839" max="13839" width="16.6328125" style="6" customWidth="1"/>
    <col min="13840" max="13840" width="7.36328125" style="6" bestFit="1" customWidth="1"/>
    <col min="13841" max="13841" width="16.6328125" style="6" customWidth="1"/>
    <col min="13842" max="14085" width="9" style="6"/>
    <col min="14086" max="14086" width="16.36328125" style="6" customWidth="1"/>
    <col min="14087" max="14087" width="9" style="6"/>
    <col min="14088" max="14088" width="11.453125" style="6" customWidth="1"/>
    <col min="14089" max="14090" width="9" style="6"/>
    <col min="14091" max="14091" width="23" style="6" bestFit="1" customWidth="1"/>
    <col min="14092" max="14092" width="10" style="6" customWidth="1"/>
    <col min="14093" max="14093" width="6.36328125" style="6" bestFit="1" customWidth="1"/>
    <col min="14094" max="14094" width="7.36328125" style="6" bestFit="1" customWidth="1"/>
    <col min="14095" max="14095" width="16.6328125" style="6" customWidth="1"/>
    <col min="14096" max="14096" width="7.36328125" style="6" bestFit="1" customWidth="1"/>
    <col min="14097" max="14097" width="16.6328125" style="6" customWidth="1"/>
    <col min="14098" max="14341" width="9" style="6"/>
    <col min="14342" max="14342" width="16.36328125" style="6" customWidth="1"/>
    <col min="14343" max="14343" width="9" style="6"/>
    <col min="14344" max="14344" width="11.453125" style="6" customWidth="1"/>
    <col min="14345" max="14346" width="9" style="6"/>
    <col min="14347" max="14347" width="23" style="6" bestFit="1" customWidth="1"/>
    <col min="14348" max="14348" width="10" style="6" customWidth="1"/>
    <col min="14349" max="14349" width="6.36328125" style="6" bestFit="1" customWidth="1"/>
    <col min="14350" max="14350" width="7.36328125" style="6" bestFit="1" customWidth="1"/>
    <col min="14351" max="14351" width="16.6328125" style="6" customWidth="1"/>
    <col min="14352" max="14352" width="7.36328125" style="6" bestFit="1" customWidth="1"/>
    <col min="14353" max="14353" width="16.6328125" style="6" customWidth="1"/>
    <col min="14354" max="14597" width="9" style="6"/>
    <col min="14598" max="14598" width="16.36328125" style="6" customWidth="1"/>
    <col min="14599" max="14599" width="9" style="6"/>
    <col min="14600" max="14600" width="11.453125" style="6" customWidth="1"/>
    <col min="14601" max="14602" width="9" style="6"/>
    <col min="14603" max="14603" width="23" style="6" bestFit="1" customWidth="1"/>
    <col min="14604" max="14604" width="10" style="6" customWidth="1"/>
    <col min="14605" max="14605" width="6.36328125" style="6" bestFit="1" customWidth="1"/>
    <col min="14606" max="14606" width="7.36328125" style="6" bestFit="1" customWidth="1"/>
    <col min="14607" max="14607" width="16.6328125" style="6" customWidth="1"/>
    <col min="14608" max="14608" width="7.36328125" style="6" bestFit="1" customWidth="1"/>
    <col min="14609" max="14609" width="16.6328125" style="6" customWidth="1"/>
    <col min="14610" max="14853" width="9" style="6"/>
    <col min="14854" max="14854" width="16.36328125" style="6" customWidth="1"/>
    <col min="14855" max="14855" width="9" style="6"/>
    <col min="14856" max="14856" width="11.453125" style="6" customWidth="1"/>
    <col min="14857" max="14858" width="9" style="6"/>
    <col min="14859" max="14859" width="23" style="6" bestFit="1" customWidth="1"/>
    <col min="14860" max="14860" width="10" style="6" customWidth="1"/>
    <col min="14861" max="14861" width="6.36328125" style="6" bestFit="1" customWidth="1"/>
    <col min="14862" max="14862" width="7.36328125" style="6" bestFit="1" customWidth="1"/>
    <col min="14863" max="14863" width="16.6328125" style="6" customWidth="1"/>
    <col min="14864" max="14864" width="7.36328125" style="6" bestFit="1" customWidth="1"/>
    <col min="14865" max="14865" width="16.6328125" style="6" customWidth="1"/>
    <col min="14866" max="15109" width="9" style="6"/>
    <col min="15110" max="15110" width="16.36328125" style="6" customWidth="1"/>
    <col min="15111" max="15111" width="9" style="6"/>
    <col min="15112" max="15112" width="11.453125" style="6" customWidth="1"/>
    <col min="15113" max="15114" width="9" style="6"/>
    <col min="15115" max="15115" width="23" style="6" bestFit="1" customWidth="1"/>
    <col min="15116" max="15116" width="10" style="6" customWidth="1"/>
    <col min="15117" max="15117" width="6.36328125" style="6" bestFit="1" customWidth="1"/>
    <col min="15118" max="15118" width="7.36328125" style="6" bestFit="1" customWidth="1"/>
    <col min="15119" max="15119" width="16.6328125" style="6" customWidth="1"/>
    <col min="15120" max="15120" width="7.36328125" style="6" bestFit="1" customWidth="1"/>
    <col min="15121" max="15121" width="16.6328125" style="6" customWidth="1"/>
    <col min="15122" max="15365" width="9" style="6"/>
    <col min="15366" max="15366" width="16.36328125" style="6" customWidth="1"/>
    <col min="15367" max="15367" width="9" style="6"/>
    <col min="15368" max="15368" width="11.453125" style="6" customWidth="1"/>
    <col min="15369" max="15370" width="9" style="6"/>
    <col min="15371" max="15371" width="23" style="6" bestFit="1" customWidth="1"/>
    <col min="15372" max="15372" width="10" style="6" customWidth="1"/>
    <col min="15373" max="15373" width="6.36328125" style="6" bestFit="1" customWidth="1"/>
    <col min="15374" max="15374" width="7.36328125" style="6" bestFit="1" customWidth="1"/>
    <col min="15375" max="15375" width="16.6328125" style="6" customWidth="1"/>
    <col min="15376" max="15376" width="7.36328125" style="6" bestFit="1" customWidth="1"/>
    <col min="15377" max="15377" width="16.6328125" style="6" customWidth="1"/>
    <col min="15378" max="15621" width="9" style="6"/>
    <col min="15622" max="15622" width="16.36328125" style="6" customWidth="1"/>
    <col min="15623" max="15623" width="9" style="6"/>
    <col min="15624" max="15624" width="11.453125" style="6" customWidth="1"/>
    <col min="15625" max="15626" width="9" style="6"/>
    <col min="15627" max="15627" width="23" style="6" bestFit="1" customWidth="1"/>
    <col min="15628" max="15628" width="10" style="6" customWidth="1"/>
    <col min="15629" max="15629" width="6.36328125" style="6" bestFit="1" customWidth="1"/>
    <col min="15630" max="15630" width="7.36328125" style="6" bestFit="1" customWidth="1"/>
    <col min="15631" max="15631" width="16.6328125" style="6" customWidth="1"/>
    <col min="15632" max="15632" width="7.36328125" style="6" bestFit="1" customWidth="1"/>
    <col min="15633" max="15633" width="16.6328125" style="6" customWidth="1"/>
    <col min="15634" max="15877" width="9" style="6"/>
    <col min="15878" max="15878" width="16.36328125" style="6" customWidth="1"/>
    <col min="15879" max="15879" width="9" style="6"/>
    <col min="15880" max="15880" width="11.453125" style="6" customWidth="1"/>
    <col min="15881" max="15882" width="9" style="6"/>
    <col min="15883" max="15883" width="23" style="6" bestFit="1" customWidth="1"/>
    <col min="15884" max="15884" width="10" style="6" customWidth="1"/>
    <col min="15885" max="15885" width="6.36328125" style="6" bestFit="1" customWidth="1"/>
    <col min="15886" max="15886" width="7.36328125" style="6" bestFit="1" customWidth="1"/>
    <col min="15887" max="15887" width="16.6328125" style="6" customWidth="1"/>
    <col min="15888" max="15888" width="7.36328125" style="6" bestFit="1" customWidth="1"/>
    <col min="15889" max="15889" width="16.6328125" style="6" customWidth="1"/>
    <col min="15890" max="16133" width="9" style="6"/>
    <col min="16134" max="16134" width="16.36328125" style="6" customWidth="1"/>
    <col min="16135" max="16135" width="9" style="6"/>
    <col min="16136" max="16136" width="11.453125" style="6" customWidth="1"/>
    <col min="16137" max="16138" width="9" style="6"/>
    <col min="16139" max="16139" width="23" style="6" bestFit="1" customWidth="1"/>
    <col min="16140" max="16140" width="10" style="6" customWidth="1"/>
    <col min="16141" max="16141" width="6.36328125" style="6" bestFit="1" customWidth="1"/>
    <col min="16142" max="16142" width="7.36328125" style="6" bestFit="1" customWidth="1"/>
    <col min="16143" max="16143" width="16.6328125" style="6" customWidth="1"/>
    <col min="16144" max="16144" width="7.36328125" style="6" bestFit="1" customWidth="1"/>
    <col min="16145" max="16145" width="16.6328125" style="6" customWidth="1"/>
    <col min="16146" max="16384" width="9" style="6"/>
  </cols>
  <sheetData>
    <row r="1" spans="1:26" s="17" customFormat="1" ht="23.5" customHeight="1">
      <c r="A1" s="34"/>
      <c r="B1" s="34"/>
      <c r="C1" s="34"/>
      <c r="D1" s="34"/>
      <c r="E1" s="34"/>
      <c r="F1" s="34"/>
      <c r="G1" s="34"/>
      <c r="H1" s="34"/>
      <c r="I1" s="34"/>
      <c r="J1" s="34"/>
      <c r="K1" s="34"/>
      <c r="L1" s="34"/>
      <c r="M1" s="129" t="str">
        <f>資訊清單資訊!B3 &amp;資訊清單資訊!B7 &amp;資訊清單資訊!B5</f>
        <v>石油與天然氣輸儲查核與檢測雲端平台硬體類(HW)資訊資產風險評鑑</v>
      </c>
      <c r="N1" s="129"/>
      <c r="O1" s="129"/>
      <c r="P1" s="129"/>
      <c r="Q1" s="129"/>
      <c r="R1" s="129"/>
      <c r="S1" s="129"/>
      <c r="T1" s="129"/>
      <c r="U1" s="129"/>
      <c r="V1" s="129"/>
      <c r="W1" s="129"/>
      <c r="X1" s="129"/>
      <c r="Y1" s="129"/>
      <c r="Z1" s="129"/>
    </row>
    <row r="2" spans="1:26">
      <c r="M2" s="36" t="s">
        <v>9</v>
      </c>
      <c r="N2" s="164" t="str">
        <f>資訊清單資訊!B7</f>
        <v>硬體類(HW)</v>
      </c>
      <c r="O2" s="165"/>
      <c r="P2" s="166"/>
      <c r="Q2" s="65"/>
      <c r="R2" s="28" t="s">
        <v>11</v>
      </c>
      <c r="S2" s="15">
        <f>IF(ISNA(VLOOKUP($N$3,ALL_LIST,16,FALSE)), "",VLOOKUP($N$3,ALL_LIST,16,FALSE))</f>
        <v>3</v>
      </c>
    </row>
    <row r="3" spans="1:26" ht="32" customHeight="1">
      <c r="M3" s="39" t="s">
        <v>5</v>
      </c>
      <c r="N3" s="167" t="s">
        <v>170</v>
      </c>
      <c r="O3" s="168"/>
      <c r="P3" s="169"/>
      <c r="R3" s="27" t="s">
        <v>74</v>
      </c>
      <c r="S3" s="16">
        <f>IF(ISNA(VLOOKUP($N$3,ALL_LIST,8,FALSE)), "",VLOOKUP($N$3,ALL_LIST,8,FALSE))</f>
        <v>3</v>
      </c>
    </row>
    <row r="4" spans="1:26">
      <c r="M4" s="37" t="s">
        <v>10</v>
      </c>
      <c r="N4" s="170" t="str">
        <f>IF(ISNA(VLOOKUP($N$3,ALL_LIST,3,FALSE)), "",VLOOKUP($N$3,ALL_LIST,3,FALSE))</f>
        <v>石油與天然氣輸儲查核與檢測雲端平台-WEB SERVER</v>
      </c>
      <c r="O4" s="171"/>
      <c r="P4" s="172"/>
      <c r="Q4" s="65"/>
      <c r="R4" s="27" t="s">
        <v>75</v>
      </c>
      <c r="S4" s="16">
        <f>IF(ISNA(VLOOKUP($N$3,ALL_LIST,10,FALSE)), "",VLOOKUP($N$3,ALL_LIST,10,FALSE))</f>
        <v>2</v>
      </c>
    </row>
    <row r="5" spans="1:26">
      <c r="M5" s="36" t="s">
        <v>6</v>
      </c>
      <c r="N5" s="173" t="str">
        <f>IF(ISNA(VLOOKUP($N$3,ALL_LIST,17,FALSE)), "",VLOOKUP($N$3,ALL_LIST,17,FALSE))</f>
        <v>賴斐瓔 </v>
      </c>
      <c r="O5" s="174"/>
      <c r="P5" s="175"/>
      <c r="Q5" s="65"/>
      <c r="R5" s="27" t="s">
        <v>76</v>
      </c>
      <c r="S5" s="16">
        <f>IF(ISNA(VLOOKUP($N$3,ALL_LIST,12,FALSE)), " ",VLOOKUP($N$3,ALL_LIST,12,FALSE))</f>
        <v>2</v>
      </c>
    </row>
    <row r="6" spans="1:26">
      <c r="M6" s="38" t="s">
        <v>7</v>
      </c>
      <c r="N6" s="176" t="s">
        <v>219</v>
      </c>
      <c r="O6" s="177"/>
      <c r="P6" s="178"/>
      <c r="R6" s="27" t="s">
        <v>77</v>
      </c>
      <c r="S6" s="16">
        <f>IF(ISNA(VLOOKUP($N$3,ALL_LIST,14,FALSE)), "",VLOOKUP($N$3,ALL_LIST,14,FALSE))</f>
        <v>3</v>
      </c>
    </row>
    <row r="7" spans="1:26">
      <c r="M7" s="38" t="s">
        <v>8</v>
      </c>
      <c r="N7" s="179" t="s">
        <v>144</v>
      </c>
      <c r="O7" s="180"/>
      <c r="P7" s="181"/>
      <c r="Q7" s="65"/>
      <c r="R7" s="29" t="s">
        <v>12</v>
      </c>
      <c r="S7" s="21">
        <f>MAX(Y11:Y29)</f>
        <v>18</v>
      </c>
    </row>
    <row r="10" spans="1:26" s="18" customFormat="1" ht="16">
      <c r="A10" s="30" t="s">
        <v>13</v>
      </c>
      <c r="B10" s="30" t="s">
        <v>14</v>
      </c>
      <c r="C10" s="30" t="s">
        <v>15</v>
      </c>
      <c r="D10" s="30" t="s">
        <v>16</v>
      </c>
      <c r="E10" s="30" t="s">
        <v>3</v>
      </c>
      <c r="F10" s="30" t="s">
        <v>17</v>
      </c>
      <c r="G10" s="31" t="s">
        <v>18</v>
      </c>
      <c r="H10" s="31" t="s">
        <v>19</v>
      </c>
      <c r="I10" s="31" t="s">
        <v>20</v>
      </c>
      <c r="J10" s="31" t="s">
        <v>21</v>
      </c>
      <c r="K10" s="32" t="s">
        <v>22</v>
      </c>
      <c r="L10" s="33" t="s">
        <v>32</v>
      </c>
      <c r="M10" s="144" t="s">
        <v>23</v>
      </c>
      <c r="N10" s="145"/>
      <c r="O10" s="146"/>
      <c r="P10" s="144" t="s">
        <v>4</v>
      </c>
      <c r="Q10" s="145"/>
      <c r="R10" s="145"/>
      <c r="S10" s="146"/>
      <c r="T10" s="26" t="s">
        <v>24</v>
      </c>
      <c r="U10" s="26" t="s">
        <v>25</v>
      </c>
      <c r="V10" s="26" t="s">
        <v>26</v>
      </c>
      <c r="W10" s="26" t="s">
        <v>27</v>
      </c>
      <c r="X10" s="26" t="s">
        <v>26</v>
      </c>
      <c r="Y10" s="26" t="s">
        <v>28</v>
      </c>
      <c r="Z10" s="26" t="s">
        <v>29</v>
      </c>
    </row>
    <row r="11" spans="1:26" ht="46.5" customHeight="1">
      <c r="A11" s="54" t="str">
        <f>$N$3</f>
        <v>材1-1-HW-01</v>
      </c>
      <c r="B11" s="55">
        <f t="shared" ref="B11:B20" si="0">VLOOKUP($N$3,ALL_LIST,2,FALSE)</f>
        <v>0</v>
      </c>
      <c r="C11" s="55" t="str">
        <f t="shared" ref="C11:C20" si="1">VLOOKUP($N$3,ALL_LIST,3,FALSE)</f>
        <v>石油與天然氣輸儲查核與檢測雲端平台-WEB SERVER</v>
      </c>
      <c r="D11" s="55" t="str">
        <f t="shared" ref="D11:D20" si="2">VLOOKUP($N$3,ALL_LIST,4,FALSE)</f>
        <v>系統WEB存放空間，資訊處代管。</v>
      </c>
      <c r="E11" s="55">
        <f t="shared" ref="E11:E20" si="3">VLOOKUP($N$3,ALL_LIST,6,FALSE)</f>
        <v>1</v>
      </c>
      <c r="F11" s="55" t="str">
        <f t="shared" ref="F11:F20" si="4">VLOOKUP($N$3,ALL_LIST,7,FALSE)</f>
        <v>劉莉晶</v>
      </c>
      <c r="G11" s="55">
        <f t="shared" ref="G11:G20" si="5">VLOOKUP($N$3,ALL_LIST,8,FALSE)</f>
        <v>3</v>
      </c>
      <c r="H11" s="55">
        <f t="shared" ref="H11:H20" si="6">VLOOKUP($N$3,ALL_LIST,10,FALSE)</f>
        <v>2</v>
      </c>
      <c r="I11" s="55">
        <f t="shared" ref="I11:I20" si="7">VLOOKUP($N$3,ALL_LIST,12,FALSE)</f>
        <v>2</v>
      </c>
      <c r="J11" s="55">
        <f t="shared" ref="J11:J20" si="8">VLOOKUP($N$3,ALL_LIST,14,FALSE)</f>
        <v>3</v>
      </c>
      <c r="K11" s="56">
        <f t="shared" ref="K11:K20" si="9">VLOOKUP($N$3,ALL_LIST,16,FALSE)</f>
        <v>3</v>
      </c>
      <c r="L11" s="56">
        <f t="shared" ref="L11:L18" si="10">$S$7</f>
        <v>18</v>
      </c>
      <c r="M11" s="138" t="s">
        <v>80</v>
      </c>
      <c r="N11" s="139"/>
      <c r="O11" s="140"/>
      <c r="P11" s="141" t="s">
        <v>211</v>
      </c>
      <c r="Q11" s="142"/>
      <c r="R11" s="142"/>
      <c r="S11" s="133"/>
      <c r="T11" s="69" t="s">
        <v>119</v>
      </c>
      <c r="U11" s="69">
        <v>1</v>
      </c>
      <c r="V11" s="91" t="s">
        <v>175</v>
      </c>
      <c r="W11" s="69">
        <v>2</v>
      </c>
      <c r="X11" s="70" t="s">
        <v>176</v>
      </c>
      <c r="Y11" s="58">
        <f>IF((T11="N"),"不適用",IF(COUNTA(U11,W11)&lt;2,"評鑑中",$S$2*U11*W11))</f>
        <v>6</v>
      </c>
      <c r="Z11" s="41"/>
    </row>
    <row r="12" spans="1:26" ht="46.5">
      <c r="A12" s="54" t="str">
        <f t="shared" ref="A12:A20" si="11">$N$3</f>
        <v>材1-1-HW-01</v>
      </c>
      <c r="B12" s="55">
        <f t="shared" si="0"/>
        <v>0</v>
      </c>
      <c r="C12" s="55" t="str">
        <f t="shared" si="1"/>
        <v>石油與天然氣輸儲查核與檢測雲端平台-WEB SERVER</v>
      </c>
      <c r="D12" s="55" t="str">
        <f t="shared" si="2"/>
        <v>系統WEB存放空間，資訊處代管。</v>
      </c>
      <c r="E12" s="55">
        <f t="shared" si="3"/>
        <v>1</v>
      </c>
      <c r="F12" s="55" t="str">
        <f t="shared" si="4"/>
        <v>劉莉晶</v>
      </c>
      <c r="G12" s="55">
        <f t="shared" si="5"/>
        <v>3</v>
      </c>
      <c r="H12" s="55">
        <f t="shared" si="6"/>
        <v>2</v>
      </c>
      <c r="I12" s="55">
        <f t="shared" si="7"/>
        <v>2</v>
      </c>
      <c r="J12" s="55">
        <f t="shared" si="8"/>
        <v>3</v>
      </c>
      <c r="K12" s="56">
        <f t="shared" si="9"/>
        <v>3</v>
      </c>
      <c r="L12" s="56">
        <f t="shared" si="10"/>
        <v>18</v>
      </c>
      <c r="M12" s="135" t="s">
        <v>120</v>
      </c>
      <c r="N12" s="136"/>
      <c r="O12" s="137"/>
      <c r="P12" s="182" t="s">
        <v>121</v>
      </c>
      <c r="Q12" s="183"/>
      <c r="R12" s="183"/>
      <c r="S12" s="184"/>
      <c r="T12" s="69" t="s">
        <v>119</v>
      </c>
      <c r="U12" s="69">
        <v>1</v>
      </c>
      <c r="V12" s="92" t="s">
        <v>177</v>
      </c>
      <c r="W12" s="69">
        <v>2</v>
      </c>
      <c r="X12" s="70" t="s">
        <v>176</v>
      </c>
      <c r="Y12" s="58">
        <f t="shared" ref="Y12:Y28" si="12">IF((T12="N"),"不適用",IF(COUNTA(U12,W12)&lt;2,"評鑑中",$S$2*U12*W12))</f>
        <v>6</v>
      </c>
      <c r="Z12" s="41"/>
    </row>
    <row r="13" spans="1:26" ht="31">
      <c r="A13" s="54" t="str">
        <f t="shared" si="11"/>
        <v>材1-1-HW-01</v>
      </c>
      <c r="B13" s="55">
        <f t="shared" si="0"/>
        <v>0</v>
      </c>
      <c r="C13" s="55" t="str">
        <f t="shared" si="1"/>
        <v>石油與天然氣輸儲查核與檢測雲端平台-WEB SERVER</v>
      </c>
      <c r="D13" s="55" t="str">
        <f t="shared" si="2"/>
        <v>系統WEB存放空間，資訊處代管。</v>
      </c>
      <c r="E13" s="55">
        <f t="shared" si="3"/>
        <v>1</v>
      </c>
      <c r="F13" s="55" t="str">
        <f t="shared" si="4"/>
        <v>劉莉晶</v>
      </c>
      <c r="G13" s="55">
        <f t="shared" si="5"/>
        <v>3</v>
      </c>
      <c r="H13" s="55">
        <f t="shared" si="6"/>
        <v>2</v>
      </c>
      <c r="I13" s="55">
        <f t="shared" si="7"/>
        <v>2</v>
      </c>
      <c r="J13" s="55">
        <f t="shared" si="8"/>
        <v>3</v>
      </c>
      <c r="K13" s="56">
        <f t="shared" si="9"/>
        <v>3</v>
      </c>
      <c r="L13" s="56">
        <f t="shared" si="10"/>
        <v>18</v>
      </c>
      <c r="M13" s="135" t="s">
        <v>120</v>
      </c>
      <c r="N13" s="136"/>
      <c r="O13" s="137"/>
      <c r="P13" s="182" t="s">
        <v>122</v>
      </c>
      <c r="Q13" s="183"/>
      <c r="R13" s="183"/>
      <c r="S13" s="184"/>
      <c r="T13" s="69" t="s">
        <v>119</v>
      </c>
      <c r="U13" s="69">
        <v>3</v>
      </c>
      <c r="V13" s="92" t="s">
        <v>178</v>
      </c>
      <c r="W13" s="69">
        <v>2</v>
      </c>
      <c r="X13" s="70" t="s">
        <v>176</v>
      </c>
      <c r="Y13" s="58">
        <f>IF((T13="N"),"不適用",IF(COUNTA(U13,W13)&lt;2,"評鑑中",$S$2*U13*W13))</f>
        <v>18</v>
      </c>
      <c r="Z13" s="41"/>
    </row>
    <row r="14" spans="1:26" ht="46.5">
      <c r="A14" s="54" t="str">
        <f t="shared" si="11"/>
        <v>材1-1-HW-01</v>
      </c>
      <c r="B14" s="55">
        <f t="shared" si="0"/>
        <v>0</v>
      </c>
      <c r="C14" s="55" t="str">
        <f t="shared" si="1"/>
        <v>石油與天然氣輸儲查核與檢測雲端平台-WEB SERVER</v>
      </c>
      <c r="D14" s="55" t="str">
        <f t="shared" si="2"/>
        <v>系統WEB存放空間，資訊處代管。</v>
      </c>
      <c r="E14" s="55">
        <f t="shared" si="3"/>
        <v>1</v>
      </c>
      <c r="F14" s="55" t="str">
        <f t="shared" si="4"/>
        <v>劉莉晶</v>
      </c>
      <c r="G14" s="55">
        <f t="shared" si="5"/>
        <v>3</v>
      </c>
      <c r="H14" s="55">
        <f t="shared" si="6"/>
        <v>2</v>
      </c>
      <c r="I14" s="55">
        <f t="shared" si="7"/>
        <v>2</v>
      </c>
      <c r="J14" s="55">
        <f t="shared" si="8"/>
        <v>3</v>
      </c>
      <c r="K14" s="56">
        <f t="shared" si="9"/>
        <v>3</v>
      </c>
      <c r="L14" s="56">
        <f t="shared" si="10"/>
        <v>18</v>
      </c>
      <c r="M14" s="138" t="s">
        <v>82</v>
      </c>
      <c r="N14" s="139"/>
      <c r="O14" s="140"/>
      <c r="P14" s="141" t="s">
        <v>123</v>
      </c>
      <c r="Q14" s="142" t="s">
        <v>30</v>
      </c>
      <c r="R14" s="142" t="s">
        <v>30</v>
      </c>
      <c r="S14" s="133" t="s">
        <v>30</v>
      </c>
      <c r="T14" s="69" t="s">
        <v>119</v>
      </c>
      <c r="U14" s="69">
        <v>1</v>
      </c>
      <c r="V14" s="91" t="s">
        <v>179</v>
      </c>
      <c r="W14" s="69">
        <v>2</v>
      </c>
      <c r="X14" s="71" t="s">
        <v>180</v>
      </c>
      <c r="Y14" s="58">
        <f t="shared" si="12"/>
        <v>6</v>
      </c>
      <c r="Z14" s="41"/>
    </row>
    <row r="15" spans="1:26" ht="46.5">
      <c r="A15" s="54" t="str">
        <f t="shared" si="11"/>
        <v>材1-1-HW-01</v>
      </c>
      <c r="B15" s="55">
        <f t="shared" si="0"/>
        <v>0</v>
      </c>
      <c r="C15" s="55" t="str">
        <f t="shared" si="1"/>
        <v>石油與天然氣輸儲查核與檢測雲端平台-WEB SERVER</v>
      </c>
      <c r="D15" s="55" t="str">
        <f t="shared" si="2"/>
        <v>系統WEB存放空間，資訊處代管。</v>
      </c>
      <c r="E15" s="55">
        <f t="shared" si="3"/>
        <v>1</v>
      </c>
      <c r="F15" s="55" t="str">
        <f t="shared" si="4"/>
        <v>劉莉晶</v>
      </c>
      <c r="G15" s="55">
        <f t="shared" si="5"/>
        <v>3</v>
      </c>
      <c r="H15" s="55">
        <f t="shared" si="6"/>
        <v>2</v>
      </c>
      <c r="I15" s="55">
        <f t="shared" si="7"/>
        <v>2</v>
      </c>
      <c r="J15" s="55">
        <f t="shared" si="8"/>
        <v>3</v>
      </c>
      <c r="K15" s="56">
        <f t="shared" si="9"/>
        <v>3</v>
      </c>
      <c r="L15" s="56">
        <f t="shared" si="10"/>
        <v>18</v>
      </c>
      <c r="M15" s="135" t="s">
        <v>124</v>
      </c>
      <c r="N15" s="136"/>
      <c r="O15" s="137"/>
      <c r="P15" s="141" t="s">
        <v>125</v>
      </c>
      <c r="Q15" s="142" t="s">
        <v>125</v>
      </c>
      <c r="R15" s="142" t="s">
        <v>125</v>
      </c>
      <c r="S15" s="133" t="s">
        <v>125</v>
      </c>
      <c r="T15" s="69" t="s">
        <v>119</v>
      </c>
      <c r="U15" s="69">
        <v>1</v>
      </c>
      <c r="V15" s="91" t="s">
        <v>179</v>
      </c>
      <c r="W15" s="69">
        <v>2</v>
      </c>
      <c r="X15" s="71" t="s">
        <v>180</v>
      </c>
      <c r="Y15" s="58">
        <f t="shared" si="12"/>
        <v>6</v>
      </c>
      <c r="Z15" s="41"/>
    </row>
    <row r="16" spans="1:26" ht="31">
      <c r="A16" s="54" t="str">
        <f t="shared" si="11"/>
        <v>材1-1-HW-01</v>
      </c>
      <c r="B16" s="55">
        <f t="shared" si="0"/>
        <v>0</v>
      </c>
      <c r="C16" s="55" t="str">
        <f t="shared" si="1"/>
        <v>石油與天然氣輸儲查核與檢測雲端平台-WEB SERVER</v>
      </c>
      <c r="D16" s="55" t="str">
        <f t="shared" si="2"/>
        <v>系統WEB存放空間，資訊處代管。</v>
      </c>
      <c r="E16" s="55">
        <f t="shared" si="3"/>
        <v>1</v>
      </c>
      <c r="F16" s="55" t="str">
        <f t="shared" si="4"/>
        <v>劉莉晶</v>
      </c>
      <c r="G16" s="55">
        <f t="shared" si="5"/>
        <v>3</v>
      </c>
      <c r="H16" s="55">
        <f t="shared" si="6"/>
        <v>2</v>
      </c>
      <c r="I16" s="55">
        <f t="shared" si="7"/>
        <v>2</v>
      </c>
      <c r="J16" s="55">
        <f t="shared" si="8"/>
        <v>3</v>
      </c>
      <c r="K16" s="56">
        <f t="shared" si="9"/>
        <v>3</v>
      </c>
      <c r="L16" s="56">
        <f t="shared" si="10"/>
        <v>18</v>
      </c>
      <c r="M16" s="135" t="s">
        <v>124</v>
      </c>
      <c r="N16" s="136"/>
      <c r="O16" s="137"/>
      <c r="P16" s="141" t="s">
        <v>126</v>
      </c>
      <c r="Q16" s="142" t="s">
        <v>127</v>
      </c>
      <c r="R16" s="142" t="s">
        <v>127</v>
      </c>
      <c r="S16" s="133" t="s">
        <v>127</v>
      </c>
      <c r="T16" s="69" t="s">
        <v>119</v>
      </c>
      <c r="U16" s="69">
        <v>1</v>
      </c>
      <c r="V16" s="92" t="s">
        <v>181</v>
      </c>
      <c r="W16" s="69">
        <v>2</v>
      </c>
      <c r="X16" s="71" t="s">
        <v>180</v>
      </c>
      <c r="Y16" s="58">
        <f t="shared" si="12"/>
        <v>6</v>
      </c>
      <c r="Z16" s="41"/>
    </row>
    <row r="17" spans="1:26" ht="46.5">
      <c r="A17" s="54" t="str">
        <f t="shared" si="11"/>
        <v>材1-1-HW-01</v>
      </c>
      <c r="B17" s="55">
        <f t="shared" si="0"/>
        <v>0</v>
      </c>
      <c r="C17" s="55" t="str">
        <f t="shared" si="1"/>
        <v>石油與天然氣輸儲查核與檢測雲端平台-WEB SERVER</v>
      </c>
      <c r="D17" s="55" t="str">
        <f t="shared" si="2"/>
        <v>系統WEB存放空間，資訊處代管。</v>
      </c>
      <c r="E17" s="55">
        <f t="shared" si="3"/>
        <v>1</v>
      </c>
      <c r="F17" s="55" t="str">
        <f t="shared" si="4"/>
        <v>劉莉晶</v>
      </c>
      <c r="G17" s="55">
        <f t="shared" si="5"/>
        <v>3</v>
      </c>
      <c r="H17" s="55">
        <f t="shared" si="6"/>
        <v>2</v>
      </c>
      <c r="I17" s="55">
        <f t="shared" si="7"/>
        <v>2</v>
      </c>
      <c r="J17" s="55">
        <f t="shared" si="8"/>
        <v>3</v>
      </c>
      <c r="K17" s="56">
        <f t="shared" si="9"/>
        <v>3</v>
      </c>
      <c r="L17" s="56">
        <f t="shared" si="10"/>
        <v>18</v>
      </c>
      <c r="M17" s="135" t="s">
        <v>124</v>
      </c>
      <c r="N17" s="136"/>
      <c r="O17" s="137"/>
      <c r="P17" s="124" t="s">
        <v>128</v>
      </c>
      <c r="Q17" s="125" t="s">
        <v>129</v>
      </c>
      <c r="R17" s="125" t="s">
        <v>129</v>
      </c>
      <c r="S17" s="126" t="s">
        <v>129</v>
      </c>
      <c r="T17" s="69" t="s">
        <v>119</v>
      </c>
      <c r="U17" s="69">
        <v>1</v>
      </c>
      <c r="V17" s="92" t="s">
        <v>182</v>
      </c>
      <c r="W17" s="69">
        <v>2</v>
      </c>
      <c r="X17" s="71" t="s">
        <v>180</v>
      </c>
      <c r="Y17" s="58">
        <f t="shared" si="12"/>
        <v>6</v>
      </c>
      <c r="Z17" s="41"/>
    </row>
    <row r="18" spans="1:26" ht="31">
      <c r="A18" s="54" t="str">
        <f t="shared" si="11"/>
        <v>材1-1-HW-01</v>
      </c>
      <c r="B18" s="55">
        <f t="shared" si="0"/>
        <v>0</v>
      </c>
      <c r="C18" s="55" t="str">
        <f t="shared" si="1"/>
        <v>石油與天然氣輸儲查核與檢測雲端平台-WEB SERVER</v>
      </c>
      <c r="D18" s="55" t="str">
        <f t="shared" si="2"/>
        <v>系統WEB存放空間，資訊處代管。</v>
      </c>
      <c r="E18" s="55">
        <f t="shared" si="3"/>
        <v>1</v>
      </c>
      <c r="F18" s="55" t="str">
        <f t="shared" si="4"/>
        <v>劉莉晶</v>
      </c>
      <c r="G18" s="55">
        <f t="shared" si="5"/>
        <v>3</v>
      </c>
      <c r="H18" s="55">
        <f t="shared" si="6"/>
        <v>2</v>
      </c>
      <c r="I18" s="55">
        <f t="shared" si="7"/>
        <v>2</v>
      </c>
      <c r="J18" s="55">
        <f t="shared" si="8"/>
        <v>3</v>
      </c>
      <c r="K18" s="56">
        <f t="shared" si="9"/>
        <v>3</v>
      </c>
      <c r="L18" s="56">
        <f t="shared" si="10"/>
        <v>18</v>
      </c>
      <c r="M18" s="135" t="s">
        <v>124</v>
      </c>
      <c r="N18" s="136"/>
      <c r="O18" s="137"/>
      <c r="P18" s="124" t="s">
        <v>130</v>
      </c>
      <c r="Q18" s="125" t="s">
        <v>131</v>
      </c>
      <c r="R18" s="125" t="s">
        <v>131</v>
      </c>
      <c r="S18" s="126" t="s">
        <v>131</v>
      </c>
      <c r="T18" s="69" t="s">
        <v>119</v>
      </c>
      <c r="U18" s="69">
        <v>1</v>
      </c>
      <c r="V18" s="92" t="s">
        <v>183</v>
      </c>
      <c r="W18" s="69">
        <v>2</v>
      </c>
      <c r="X18" s="71" t="s">
        <v>180</v>
      </c>
      <c r="Y18" s="58">
        <f t="shared" si="12"/>
        <v>6</v>
      </c>
      <c r="Z18" s="41"/>
    </row>
    <row r="19" spans="1:26" ht="46.5">
      <c r="A19" s="54"/>
      <c r="B19" s="55"/>
      <c r="C19" s="55"/>
      <c r="D19" s="55"/>
      <c r="E19" s="55"/>
      <c r="F19" s="55"/>
      <c r="G19" s="55"/>
      <c r="H19" s="55"/>
      <c r="I19" s="55"/>
      <c r="J19" s="55"/>
      <c r="K19" s="56"/>
      <c r="L19" s="56"/>
      <c r="M19" s="135" t="s">
        <v>124</v>
      </c>
      <c r="N19" s="136"/>
      <c r="O19" s="137"/>
      <c r="P19" s="124" t="s">
        <v>132</v>
      </c>
      <c r="Q19" s="125"/>
      <c r="R19" s="125"/>
      <c r="S19" s="126"/>
      <c r="T19" s="69" t="s">
        <v>119</v>
      </c>
      <c r="U19" s="69">
        <v>1</v>
      </c>
      <c r="V19" s="92" t="s">
        <v>184</v>
      </c>
      <c r="W19" s="69">
        <v>2</v>
      </c>
      <c r="X19" s="71" t="s">
        <v>180</v>
      </c>
      <c r="Y19" s="58">
        <f t="shared" si="12"/>
        <v>6</v>
      </c>
      <c r="Z19" s="41"/>
    </row>
    <row r="20" spans="1:26" ht="46.5">
      <c r="A20" s="54" t="str">
        <f t="shared" si="11"/>
        <v>材1-1-HW-01</v>
      </c>
      <c r="B20" s="55">
        <f t="shared" si="0"/>
        <v>0</v>
      </c>
      <c r="C20" s="55" t="str">
        <f t="shared" si="1"/>
        <v>石油與天然氣輸儲查核與檢測雲端平台-WEB SERVER</v>
      </c>
      <c r="D20" s="55" t="str">
        <f t="shared" si="2"/>
        <v>系統WEB存放空間，資訊處代管。</v>
      </c>
      <c r="E20" s="55">
        <f t="shared" si="3"/>
        <v>1</v>
      </c>
      <c r="F20" s="55" t="str">
        <f t="shared" si="4"/>
        <v>劉莉晶</v>
      </c>
      <c r="G20" s="55">
        <f t="shared" si="5"/>
        <v>3</v>
      </c>
      <c r="H20" s="55">
        <f t="shared" si="6"/>
        <v>2</v>
      </c>
      <c r="I20" s="55">
        <f t="shared" si="7"/>
        <v>2</v>
      </c>
      <c r="J20" s="55">
        <f t="shared" si="8"/>
        <v>3</v>
      </c>
      <c r="K20" s="56">
        <f t="shared" si="9"/>
        <v>3</v>
      </c>
      <c r="L20" s="56">
        <f>$S$7</f>
        <v>18</v>
      </c>
      <c r="M20" s="138" t="s">
        <v>84</v>
      </c>
      <c r="N20" s="139"/>
      <c r="O20" s="140"/>
      <c r="P20" s="143" t="s">
        <v>133</v>
      </c>
      <c r="Q20" s="143" t="s">
        <v>134</v>
      </c>
      <c r="R20" s="143" t="s">
        <v>134</v>
      </c>
      <c r="S20" s="143" t="s">
        <v>134</v>
      </c>
      <c r="T20" s="69" t="s">
        <v>119</v>
      </c>
      <c r="U20" s="69">
        <v>1</v>
      </c>
      <c r="V20" s="72" t="s">
        <v>185</v>
      </c>
      <c r="W20" s="69">
        <v>1</v>
      </c>
      <c r="X20" s="72" t="s">
        <v>186</v>
      </c>
      <c r="Y20" s="58">
        <f t="shared" si="12"/>
        <v>3</v>
      </c>
      <c r="Z20" s="61"/>
    </row>
    <row r="21" spans="1:26" ht="35.25" customHeight="1">
      <c r="A21" s="59"/>
      <c r="B21" s="60"/>
      <c r="C21" s="60"/>
      <c r="D21" s="60"/>
      <c r="E21" s="60"/>
      <c r="F21" s="60"/>
      <c r="G21" s="60"/>
      <c r="H21" s="60"/>
      <c r="I21" s="60"/>
      <c r="J21" s="60"/>
      <c r="K21" s="60"/>
      <c r="L21" s="60"/>
      <c r="M21" s="138" t="s">
        <v>85</v>
      </c>
      <c r="N21" s="139"/>
      <c r="O21" s="140"/>
      <c r="P21" s="133" t="s">
        <v>135</v>
      </c>
      <c r="Q21" s="134"/>
      <c r="R21" s="134"/>
      <c r="S21" s="134"/>
      <c r="T21" s="69" t="s">
        <v>142</v>
      </c>
      <c r="U21" s="69"/>
      <c r="V21" s="72" t="s">
        <v>187</v>
      </c>
      <c r="W21" s="69"/>
      <c r="X21" s="72"/>
      <c r="Y21" s="58" t="str">
        <f t="shared" si="12"/>
        <v>不適用</v>
      </c>
      <c r="Z21" s="61"/>
    </row>
    <row r="22" spans="1:26">
      <c r="A22" s="59"/>
      <c r="B22" s="60"/>
      <c r="C22" s="60"/>
      <c r="D22" s="60"/>
      <c r="E22" s="60"/>
      <c r="F22" s="60"/>
      <c r="G22" s="60"/>
      <c r="H22" s="60"/>
      <c r="I22" s="60"/>
      <c r="J22" s="60"/>
      <c r="K22" s="60"/>
      <c r="L22" s="60"/>
      <c r="M22" s="158" t="s">
        <v>85</v>
      </c>
      <c r="N22" s="159"/>
      <c r="O22" s="160"/>
      <c r="P22" s="133" t="s">
        <v>136</v>
      </c>
      <c r="Q22" s="134"/>
      <c r="R22" s="134"/>
      <c r="S22" s="134"/>
      <c r="T22" s="69" t="s">
        <v>142</v>
      </c>
      <c r="U22" s="69"/>
      <c r="V22" s="72" t="s">
        <v>187</v>
      </c>
      <c r="W22" s="69"/>
      <c r="X22" s="72"/>
      <c r="Y22" s="58" t="str">
        <f t="shared" si="12"/>
        <v>不適用</v>
      </c>
      <c r="Z22" s="61"/>
    </row>
    <row r="23" spans="1:26" ht="36" customHeight="1">
      <c r="A23" s="59"/>
      <c r="B23" s="60"/>
      <c r="C23" s="60"/>
      <c r="D23" s="60"/>
      <c r="E23" s="60"/>
      <c r="F23" s="60"/>
      <c r="G23" s="60"/>
      <c r="H23" s="60"/>
      <c r="I23" s="60"/>
      <c r="J23" s="60"/>
      <c r="K23" s="60"/>
      <c r="L23" s="60"/>
      <c r="M23" s="138" t="s">
        <v>86</v>
      </c>
      <c r="N23" s="139"/>
      <c r="O23" s="140"/>
      <c r="P23" s="133" t="s">
        <v>137</v>
      </c>
      <c r="Q23" s="134"/>
      <c r="R23" s="134"/>
      <c r="S23" s="134"/>
      <c r="T23" s="69" t="s">
        <v>142</v>
      </c>
      <c r="U23" s="69"/>
      <c r="V23" s="72" t="s">
        <v>187</v>
      </c>
      <c r="W23" s="69"/>
      <c r="X23" s="72"/>
      <c r="Y23" s="58" t="str">
        <f t="shared" si="12"/>
        <v>不適用</v>
      </c>
      <c r="Z23" s="61"/>
    </row>
    <row r="24" spans="1:26">
      <c r="A24" s="59"/>
      <c r="B24" s="60"/>
      <c r="C24" s="60"/>
      <c r="D24" s="60"/>
      <c r="E24" s="60"/>
      <c r="F24" s="60"/>
      <c r="G24" s="60"/>
      <c r="H24" s="60"/>
      <c r="I24" s="60"/>
      <c r="J24" s="60"/>
      <c r="K24" s="60"/>
      <c r="L24" s="60"/>
      <c r="M24" s="158" t="s">
        <v>86</v>
      </c>
      <c r="N24" s="159"/>
      <c r="O24" s="160"/>
      <c r="P24" s="133" t="s">
        <v>138</v>
      </c>
      <c r="Q24" s="134"/>
      <c r="R24" s="134"/>
      <c r="S24" s="134"/>
      <c r="T24" s="69" t="s">
        <v>142</v>
      </c>
      <c r="U24" s="69"/>
      <c r="V24" s="72" t="s">
        <v>187</v>
      </c>
      <c r="W24" s="69"/>
      <c r="X24" s="72"/>
      <c r="Y24" s="58" t="str">
        <f t="shared" si="12"/>
        <v>不適用</v>
      </c>
      <c r="Z24" s="61"/>
    </row>
    <row r="25" spans="1:26">
      <c r="A25" s="59"/>
      <c r="B25" s="60"/>
      <c r="C25" s="60"/>
      <c r="D25" s="60"/>
      <c r="E25" s="60"/>
      <c r="F25" s="60"/>
      <c r="G25" s="60"/>
      <c r="H25" s="60"/>
      <c r="I25" s="60"/>
      <c r="J25" s="60"/>
      <c r="K25" s="60"/>
      <c r="L25" s="60"/>
      <c r="M25" s="130" t="s">
        <v>87</v>
      </c>
      <c r="N25" s="131"/>
      <c r="O25" s="132"/>
      <c r="P25" s="133" t="s">
        <v>139</v>
      </c>
      <c r="Q25" s="134"/>
      <c r="R25" s="134"/>
      <c r="S25" s="134"/>
      <c r="T25" s="69" t="s">
        <v>142</v>
      </c>
      <c r="U25" s="69"/>
      <c r="V25" s="72" t="s">
        <v>187</v>
      </c>
      <c r="W25" s="69"/>
      <c r="X25" s="72"/>
      <c r="Y25" s="58" t="str">
        <f t="shared" si="12"/>
        <v>不適用</v>
      </c>
      <c r="Z25" s="61"/>
    </row>
    <row r="26" spans="1:26" s="76" customFormat="1" ht="47" customHeight="1">
      <c r="A26" s="74"/>
      <c r="B26" s="74"/>
      <c r="C26" s="74"/>
      <c r="D26" s="74"/>
      <c r="E26" s="74"/>
      <c r="F26" s="74"/>
      <c r="G26" s="74"/>
      <c r="H26" s="74"/>
      <c r="I26" s="74"/>
      <c r="J26" s="74"/>
      <c r="K26" s="74"/>
      <c r="L26" s="74"/>
      <c r="M26" s="138" t="s">
        <v>198</v>
      </c>
      <c r="N26" s="139"/>
      <c r="O26" s="140"/>
      <c r="P26" s="127" t="s">
        <v>199</v>
      </c>
      <c r="Q26" s="127"/>
      <c r="R26" s="127"/>
      <c r="S26" s="128"/>
      <c r="T26" s="84" t="s">
        <v>119</v>
      </c>
      <c r="U26" s="84">
        <v>1</v>
      </c>
      <c r="V26" s="73" t="s">
        <v>200</v>
      </c>
      <c r="W26" s="84">
        <v>2</v>
      </c>
      <c r="X26" s="73" t="s">
        <v>201</v>
      </c>
      <c r="Y26" s="58">
        <f t="shared" si="12"/>
        <v>6</v>
      </c>
      <c r="Z26" s="75"/>
    </row>
    <row r="27" spans="1:26" s="76" customFormat="1" ht="51" customHeight="1">
      <c r="A27" s="74"/>
      <c r="B27" s="74"/>
      <c r="C27" s="74"/>
      <c r="D27" s="74"/>
      <c r="E27" s="74"/>
      <c r="F27" s="74"/>
      <c r="G27" s="74"/>
      <c r="H27" s="74"/>
      <c r="I27" s="74"/>
      <c r="J27" s="74"/>
      <c r="K27" s="74"/>
      <c r="L27" s="74"/>
      <c r="M27" s="161"/>
      <c r="N27" s="162"/>
      <c r="O27" s="163"/>
      <c r="P27" s="127" t="s">
        <v>212</v>
      </c>
      <c r="Q27" s="127"/>
      <c r="R27" s="127"/>
      <c r="S27" s="128"/>
      <c r="T27" s="85" t="s">
        <v>119</v>
      </c>
      <c r="U27" s="85">
        <v>1</v>
      </c>
      <c r="V27" s="73" t="s">
        <v>200</v>
      </c>
      <c r="W27" s="85">
        <v>2</v>
      </c>
      <c r="X27" s="73" t="s">
        <v>213</v>
      </c>
      <c r="Y27" s="58">
        <f t="shared" si="12"/>
        <v>6</v>
      </c>
      <c r="Z27" s="75"/>
    </row>
    <row r="28" spans="1:26" s="76" customFormat="1" ht="31" customHeight="1">
      <c r="A28" s="74"/>
      <c r="B28" s="74"/>
      <c r="C28" s="74"/>
      <c r="D28" s="74"/>
      <c r="E28" s="74"/>
      <c r="F28" s="74"/>
      <c r="G28" s="74"/>
      <c r="H28" s="74"/>
      <c r="I28" s="74"/>
      <c r="J28" s="74"/>
      <c r="K28" s="74"/>
      <c r="L28" s="74"/>
      <c r="M28" s="130"/>
      <c r="N28" s="131"/>
      <c r="O28" s="132"/>
      <c r="P28" s="127" t="s">
        <v>214</v>
      </c>
      <c r="Q28" s="127"/>
      <c r="R28" s="127"/>
      <c r="S28" s="128"/>
      <c r="T28" s="85" t="s">
        <v>119</v>
      </c>
      <c r="U28" s="85">
        <v>1</v>
      </c>
      <c r="V28" s="73" t="s">
        <v>200</v>
      </c>
      <c r="W28" s="85">
        <v>2</v>
      </c>
      <c r="X28" s="73" t="s">
        <v>213</v>
      </c>
      <c r="Y28" s="58">
        <f t="shared" si="12"/>
        <v>6</v>
      </c>
      <c r="Z28" s="75"/>
    </row>
    <row r="29" spans="1:26">
      <c r="A29" s="147"/>
      <c r="B29" s="148"/>
      <c r="C29" s="148"/>
      <c r="D29" s="149"/>
      <c r="E29" s="150" t="s">
        <v>140</v>
      </c>
      <c r="F29" s="151"/>
      <c r="G29" s="151"/>
      <c r="H29" s="151"/>
      <c r="I29" s="151"/>
      <c r="J29" s="151"/>
      <c r="K29" s="151"/>
      <c r="L29" s="151"/>
      <c r="M29" s="152" t="s">
        <v>88</v>
      </c>
      <c r="N29" s="153"/>
      <c r="O29" s="154"/>
      <c r="P29" s="155" t="s">
        <v>141</v>
      </c>
      <c r="Q29" s="156"/>
      <c r="R29" s="156"/>
      <c r="S29" s="157"/>
      <c r="T29" s="62" t="s">
        <v>142</v>
      </c>
      <c r="U29" s="62"/>
      <c r="V29" s="63"/>
      <c r="W29" s="62"/>
      <c r="X29" s="63"/>
      <c r="Y29" s="64" t="str">
        <f t="shared" ref="Y29" si="13">IF((T29="N"),"不適用",IF(COUNTA(U29,W29)&lt;2,"評鑑中",$S$2*U29*W29))</f>
        <v>不適用</v>
      </c>
      <c r="Z29" s="57"/>
    </row>
    <row r="34" spans="13:13">
      <c r="M34" s="7"/>
    </row>
  </sheetData>
  <sheetProtection formatCells="0" formatColumns="0" formatRows="0" insertColumns="0" insertRows="0" insertHyperlinks="0" deleteColumns="0" deleteRows="0" sort="0" autoFilter="0" pivotTables="0"/>
  <autoFilter ref="M10:Z10" xr:uid="{00000000-0009-0000-0000-000003000000}">
    <filterColumn colId="0" showButton="0"/>
    <filterColumn colId="1" showButton="0"/>
    <filterColumn colId="3" showButton="0"/>
    <filterColumn colId="4" showButton="0"/>
    <filterColumn colId="5" showButton="0"/>
  </autoFilter>
  <mergeCells count="49">
    <mergeCell ref="M13:O13"/>
    <mergeCell ref="P13:S13"/>
    <mergeCell ref="N7:P7"/>
    <mergeCell ref="M11:O11"/>
    <mergeCell ref="P11:S11"/>
    <mergeCell ref="M12:O12"/>
    <mergeCell ref="P12:S12"/>
    <mergeCell ref="N2:P2"/>
    <mergeCell ref="N3:P3"/>
    <mergeCell ref="N4:P4"/>
    <mergeCell ref="N5:P5"/>
    <mergeCell ref="N6:P6"/>
    <mergeCell ref="M27:O27"/>
    <mergeCell ref="M17:O17"/>
    <mergeCell ref="P17:S17"/>
    <mergeCell ref="M28:O28"/>
    <mergeCell ref="P28:S28"/>
    <mergeCell ref="M18:O18"/>
    <mergeCell ref="M14:O14"/>
    <mergeCell ref="M10:O10"/>
    <mergeCell ref="P10:S10"/>
    <mergeCell ref="A29:D29"/>
    <mergeCell ref="E29:L29"/>
    <mergeCell ref="M29:O29"/>
    <mergeCell ref="P29:S29"/>
    <mergeCell ref="M22:O22"/>
    <mergeCell ref="P22:S22"/>
    <mergeCell ref="M23:O23"/>
    <mergeCell ref="P23:S23"/>
    <mergeCell ref="M24:O24"/>
    <mergeCell ref="P24:S24"/>
    <mergeCell ref="M26:O26"/>
    <mergeCell ref="P26:S26"/>
    <mergeCell ref="P18:S18"/>
    <mergeCell ref="P27:S27"/>
    <mergeCell ref="M1:Z1"/>
    <mergeCell ref="M25:O25"/>
    <mergeCell ref="P25:S25"/>
    <mergeCell ref="M19:O19"/>
    <mergeCell ref="P19:S19"/>
    <mergeCell ref="M20:O20"/>
    <mergeCell ref="P14:S14"/>
    <mergeCell ref="M15:O15"/>
    <mergeCell ref="P15:S15"/>
    <mergeCell ref="P20:S20"/>
    <mergeCell ref="M21:O21"/>
    <mergeCell ref="P21:S21"/>
    <mergeCell ref="M16:O16"/>
    <mergeCell ref="P16:S16"/>
  </mergeCells>
  <phoneticPr fontId="1" type="noConversion"/>
  <dataValidations count="2">
    <dataValidation type="list" allowBlank="1" showInputMessage="1" showErrorMessage="1" sqref="WVX983045:WVX983068 JH5:JH7 TD5:TD7 ACZ5:ACZ7 AMV5:AMV7 AWR5:AWR7 BGN5:BGN7 BQJ5:BQJ7 CAF5:CAF7 CKB5:CKB7 CTX5:CTX7 DDT5:DDT7 DNP5:DNP7 DXL5:DXL7 EHH5:EHH7 ERD5:ERD7 FAZ5:FAZ7 FKV5:FKV7 FUR5:FUR7 GEN5:GEN7 GOJ5:GOJ7 GYF5:GYF7 HIB5:HIB7 HRX5:HRX7 IBT5:IBT7 ILP5:ILP7 IVL5:IVL7 JFH5:JFH7 JPD5:JPD7 JYZ5:JYZ7 KIV5:KIV7 KSR5:KSR7 LCN5:LCN7 LMJ5:LMJ7 LWF5:LWF7 MGB5:MGB7 MPX5:MPX7 MZT5:MZT7 NJP5:NJP7 NTL5:NTL7 ODH5:ODH7 OND5:OND7 OWZ5:OWZ7 PGV5:PGV7 PQR5:PQR7 QAN5:QAN7 QKJ5:QKJ7 QUF5:QUF7 REB5:REB7 RNX5:RNX7 RXT5:RXT7 SHP5:SHP7 SRL5:SRL7 TBH5:TBH7 TLD5:TLD7 TUZ5:TUZ7 UEV5:UEV7 UOR5:UOR7 UYN5:UYN7 VIJ5:VIJ7 VSF5:VSF7 WCB5:WCB7 WLX5:WLX7 WVT5:WVT7 S65535:S65537 JH65535:JH65537 TD65535:TD65537 ACZ65535:ACZ65537 AMV65535:AMV65537 AWR65535:AWR65537 BGN65535:BGN65537 BQJ65535:BQJ65537 CAF65535:CAF65537 CKB65535:CKB65537 CTX65535:CTX65537 DDT65535:DDT65537 DNP65535:DNP65537 DXL65535:DXL65537 EHH65535:EHH65537 ERD65535:ERD65537 FAZ65535:FAZ65537 FKV65535:FKV65537 FUR65535:FUR65537 GEN65535:GEN65537 GOJ65535:GOJ65537 GYF65535:GYF65537 HIB65535:HIB65537 HRX65535:HRX65537 IBT65535:IBT65537 ILP65535:ILP65537 IVL65535:IVL65537 JFH65535:JFH65537 JPD65535:JPD65537 JYZ65535:JYZ65537 KIV65535:KIV65537 KSR65535:KSR65537 LCN65535:LCN65537 LMJ65535:LMJ65537 LWF65535:LWF65537 MGB65535:MGB65537 MPX65535:MPX65537 MZT65535:MZT65537 NJP65535:NJP65537 NTL65535:NTL65537 ODH65535:ODH65537 OND65535:OND65537 OWZ65535:OWZ65537 PGV65535:PGV65537 PQR65535:PQR65537 QAN65535:QAN65537 QKJ65535:QKJ65537 QUF65535:QUF65537 REB65535:REB65537 RNX65535:RNX65537 RXT65535:RXT65537 SHP65535:SHP65537 SRL65535:SRL65537 TBH65535:TBH65537 TLD65535:TLD65537 TUZ65535:TUZ65537 UEV65535:UEV65537 UOR65535:UOR65537 UYN65535:UYN65537 VIJ65535:VIJ65537 VSF65535:VSF65537 WCB65535:WCB65537 WLX65535:WLX65537 WVT65535:WVT65537 S131071:S131073 JH131071:JH131073 TD131071:TD131073 ACZ131071:ACZ131073 AMV131071:AMV131073 AWR131071:AWR131073 BGN131071:BGN131073 BQJ131071:BQJ131073 CAF131071:CAF131073 CKB131071:CKB131073 CTX131071:CTX131073 DDT131071:DDT131073 DNP131071:DNP131073 DXL131071:DXL131073 EHH131071:EHH131073 ERD131071:ERD131073 FAZ131071:FAZ131073 FKV131071:FKV131073 FUR131071:FUR131073 GEN131071:GEN131073 GOJ131071:GOJ131073 GYF131071:GYF131073 HIB131071:HIB131073 HRX131071:HRX131073 IBT131071:IBT131073 ILP131071:ILP131073 IVL131071:IVL131073 JFH131071:JFH131073 JPD131071:JPD131073 JYZ131071:JYZ131073 KIV131071:KIV131073 KSR131071:KSR131073 LCN131071:LCN131073 LMJ131071:LMJ131073 LWF131071:LWF131073 MGB131071:MGB131073 MPX131071:MPX131073 MZT131071:MZT131073 NJP131071:NJP131073 NTL131071:NTL131073 ODH131071:ODH131073 OND131071:OND131073 OWZ131071:OWZ131073 PGV131071:PGV131073 PQR131071:PQR131073 QAN131071:QAN131073 QKJ131071:QKJ131073 QUF131071:QUF131073 REB131071:REB131073 RNX131071:RNX131073 RXT131071:RXT131073 SHP131071:SHP131073 SRL131071:SRL131073 TBH131071:TBH131073 TLD131071:TLD131073 TUZ131071:TUZ131073 UEV131071:UEV131073 UOR131071:UOR131073 UYN131071:UYN131073 VIJ131071:VIJ131073 VSF131071:VSF131073 WCB131071:WCB131073 WLX131071:WLX131073 WVT131071:WVT131073 S196607:S196609 JH196607:JH196609 TD196607:TD196609 ACZ196607:ACZ196609 AMV196607:AMV196609 AWR196607:AWR196609 BGN196607:BGN196609 BQJ196607:BQJ196609 CAF196607:CAF196609 CKB196607:CKB196609 CTX196607:CTX196609 DDT196607:DDT196609 DNP196607:DNP196609 DXL196607:DXL196609 EHH196607:EHH196609 ERD196607:ERD196609 FAZ196607:FAZ196609 FKV196607:FKV196609 FUR196607:FUR196609 GEN196607:GEN196609 GOJ196607:GOJ196609 GYF196607:GYF196609 HIB196607:HIB196609 HRX196607:HRX196609 IBT196607:IBT196609 ILP196607:ILP196609 IVL196607:IVL196609 JFH196607:JFH196609 JPD196607:JPD196609 JYZ196607:JYZ196609 KIV196607:KIV196609 KSR196607:KSR196609 LCN196607:LCN196609 LMJ196607:LMJ196609 LWF196607:LWF196609 MGB196607:MGB196609 MPX196607:MPX196609 MZT196607:MZT196609 NJP196607:NJP196609 NTL196607:NTL196609 ODH196607:ODH196609 OND196607:OND196609 OWZ196607:OWZ196609 PGV196607:PGV196609 PQR196607:PQR196609 QAN196607:QAN196609 QKJ196607:QKJ196609 QUF196607:QUF196609 REB196607:REB196609 RNX196607:RNX196609 RXT196607:RXT196609 SHP196607:SHP196609 SRL196607:SRL196609 TBH196607:TBH196609 TLD196607:TLD196609 TUZ196607:TUZ196609 UEV196607:UEV196609 UOR196607:UOR196609 UYN196607:UYN196609 VIJ196607:VIJ196609 VSF196607:VSF196609 WCB196607:WCB196609 WLX196607:WLX196609 WVT196607:WVT196609 S262143:S262145 JH262143:JH262145 TD262143:TD262145 ACZ262143:ACZ262145 AMV262143:AMV262145 AWR262143:AWR262145 BGN262143:BGN262145 BQJ262143:BQJ262145 CAF262143:CAF262145 CKB262143:CKB262145 CTX262143:CTX262145 DDT262143:DDT262145 DNP262143:DNP262145 DXL262143:DXL262145 EHH262143:EHH262145 ERD262143:ERD262145 FAZ262143:FAZ262145 FKV262143:FKV262145 FUR262143:FUR262145 GEN262143:GEN262145 GOJ262143:GOJ262145 GYF262143:GYF262145 HIB262143:HIB262145 HRX262143:HRX262145 IBT262143:IBT262145 ILP262143:ILP262145 IVL262143:IVL262145 JFH262143:JFH262145 JPD262143:JPD262145 JYZ262143:JYZ262145 KIV262143:KIV262145 KSR262143:KSR262145 LCN262143:LCN262145 LMJ262143:LMJ262145 LWF262143:LWF262145 MGB262143:MGB262145 MPX262143:MPX262145 MZT262143:MZT262145 NJP262143:NJP262145 NTL262143:NTL262145 ODH262143:ODH262145 OND262143:OND262145 OWZ262143:OWZ262145 PGV262143:PGV262145 PQR262143:PQR262145 QAN262143:QAN262145 QKJ262143:QKJ262145 QUF262143:QUF262145 REB262143:REB262145 RNX262143:RNX262145 RXT262143:RXT262145 SHP262143:SHP262145 SRL262143:SRL262145 TBH262143:TBH262145 TLD262143:TLD262145 TUZ262143:TUZ262145 UEV262143:UEV262145 UOR262143:UOR262145 UYN262143:UYN262145 VIJ262143:VIJ262145 VSF262143:VSF262145 WCB262143:WCB262145 WLX262143:WLX262145 WVT262143:WVT262145 S327679:S327681 JH327679:JH327681 TD327679:TD327681 ACZ327679:ACZ327681 AMV327679:AMV327681 AWR327679:AWR327681 BGN327679:BGN327681 BQJ327679:BQJ327681 CAF327679:CAF327681 CKB327679:CKB327681 CTX327679:CTX327681 DDT327679:DDT327681 DNP327679:DNP327681 DXL327679:DXL327681 EHH327679:EHH327681 ERD327679:ERD327681 FAZ327679:FAZ327681 FKV327679:FKV327681 FUR327679:FUR327681 GEN327679:GEN327681 GOJ327679:GOJ327681 GYF327679:GYF327681 HIB327679:HIB327681 HRX327679:HRX327681 IBT327679:IBT327681 ILP327679:ILP327681 IVL327679:IVL327681 JFH327679:JFH327681 JPD327679:JPD327681 JYZ327679:JYZ327681 KIV327679:KIV327681 KSR327679:KSR327681 LCN327679:LCN327681 LMJ327679:LMJ327681 LWF327679:LWF327681 MGB327679:MGB327681 MPX327679:MPX327681 MZT327679:MZT327681 NJP327679:NJP327681 NTL327679:NTL327681 ODH327679:ODH327681 OND327679:OND327681 OWZ327679:OWZ327681 PGV327679:PGV327681 PQR327679:PQR327681 QAN327679:QAN327681 QKJ327679:QKJ327681 QUF327679:QUF327681 REB327679:REB327681 RNX327679:RNX327681 RXT327679:RXT327681 SHP327679:SHP327681 SRL327679:SRL327681 TBH327679:TBH327681 TLD327679:TLD327681 TUZ327679:TUZ327681 UEV327679:UEV327681 UOR327679:UOR327681 UYN327679:UYN327681 VIJ327679:VIJ327681 VSF327679:VSF327681 WCB327679:WCB327681 WLX327679:WLX327681 WVT327679:WVT327681 S393215:S393217 JH393215:JH393217 TD393215:TD393217 ACZ393215:ACZ393217 AMV393215:AMV393217 AWR393215:AWR393217 BGN393215:BGN393217 BQJ393215:BQJ393217 CAF393215:CAF393217 CKB393215:CKB393217 CTX393215:CTX393217 DDT393215:DDT393217 DNP393215:DNP393217 DXL393215:DXL393217 EHH393215:EHH393217 ERD393215:ERD393217 FAZ393215:FAZ393217 FKV393215:FKV393217 FUR393215:FUR393217 GEN393215:GEN393217 GOJ393215:GOJ393217 GYF393215:GYF393217 HIB393215:HIB393217 HRX393215:HRX393217 IBT393215:IBT393217 ILP393215:ILP393217 IVL393215:IVL393217 JFH393215:JFH393217 JPD393215:JPD393217 JYZ393215:JYZ393217 KIV393215:KIV393217 KSR393215:KSR393217 LCN393215:LCN393217 LMJ393215:LMJ393217 LWF393215:LWF393217 MGB393215:MGB393217 MPX393215:MPX393217 MZT393215:MZT393217 NJP393215:NJP393217 NTL393215:NTL393217 ODH393215:ODH393217 OND393215:OND393217 OWZ393215:OWZ393217 PGV393215:PGV393217 PQR393215:PQR393217 QAN393215:QAN393217 QKJ393215:QKJ393217 QUF393215:QUF393217 REB393215:REB393217 RNX393215:RNX393217 RXT393215:RXT393217 SHP393215:SHP393217 SRL393215:SRL393217 TBH393215:TBH393217 TLD393215:TLD393217 TUZ393215:TUZ393217 UEV393215:UEV393217 UOR393215:UOR393217 UYN393215:UYN393217 VIJ393215:VIJ393217 VSF393215:VSF393217 WCB393215:WCB393217 WLX393215:WLX393217 WVT393215:WVT393217 S458751:S458753 JH458751:JH458753 TD458751:TD458753 ACZ458751:ACZ458753 AMV458751:AMV458753 AWR458751:AWR458753 BGN458751:BGN458753 BQJ458751:BQJ458753 CAF458751:CAF458753 CKB458751:CKB458753 CTX458751:CTX458753 DDT458751:DDT458753 DNP458751:DNP458753 DXL458751:DXL458753 EHH458751:EHH458753 ERD458751:ERD458753 FAZ458751:FAZ458753 FKV458751:FKV458753 FUR458751:FUR458753 GEN458751:GEN458753 GOJ458751:GOJ458753 GYF458751:GYF458753 HIB458751:HIB458753 HRX458751:HRX458753 IBT458751:IBT458753 ILP458751:ILP458753 IVL458751:IVL458753 JFH458751:JFH458753 JPD458751:JPD458753 JYZ458751:JYZ458753 KIV458751:KIV458753 KSR458751:KSR458753 LCN458751:LCN458753 LMJ458751:LMJ458753 LWF458751:LWF458753 MGB458751:MGB458753 MPX458751:MPX458753 MZT458751:MZT458753 NJP458751:NJP458753 NTL458751:NTL458753 ODH458751:ODH458753 OND458751:OND458753 OWZ458751:OWZ458753 PGV458751:PGV458753 PQR458751:PQR458753 QAN458751:QAN458753 QKJ458751:QKJ458753 QUF458751:QUF458753 REB458751:REB458753 RNX458751:RNX458753 RXT458751:RXT458753 SHP458751:SHP458753 SRL458751:SRL458753 TBH458751:TBH458753 TLD458751:TLD458753 TUZ458751:TUZ458753 UEV458751:UEV458753 UOR458751:UOR458753 UYN458751:UYN458753 VIJ458751:VIJ458753 VSF458751:VSF458753 WCB458751:WCB458753 WLX458751:WLX458753 WVT458751:WVT458753 S524287:S524289 JH524287:JH524289 TD524287:TD524289 ACZ524287:ACZ524289 AMV524287:AMV524289 AWR524287:AWR524289 BGN524287:BGN524289 BQJ524287:BQJ524289 CAF524287:CAF524289 CKB524287:CKB524289 CTX524287:CTX524289 DDT524287:DDT524289 DNP524287:DNP524289 DXL524287:DXL524289 EHH524287:EHH524289 ERD524287:ERD524289 FAZ524287:FAZ524289 FKV524287:FKV524289 FUR524287:FUR524289 GEN524287:GEN524289 GOJ524287:GOJ524289 GYF524287:GYF524289 HIB524287:HIB524289 HRX524287:HRX524289 IBT524287:IBT524289 ILP524287:ILP524289 IVL524287:IVL524289 JFH524287:JFH524289 JPD524287:JPD524289 JYZ524287:JYZ524289 KIV524287:KIV524289 KSR524287:KSR524289 LCN524287:LCN524289 LMJ524287:LMJ524289 LWF524287:LWF524289 MGB524287:MGB524289 MPX524287:MPX524289 MZT524287:MZT524289 NJP524287:NJP524289 NTL524287:NTL524289 ODH524287:ODH524289 OND524287:OND524289 OWZ524287:OWZ524289 PGV524287:PGV524289 PQR524287:PQR524289 QAN524287:QAN524289 QKJ524287:QKJ524289 QUF524287:QUF524289 REB524287:REB524289 RNX524287:RNX524289 RXT524287:RXT524289 SHP524287:SHP524289 SRL524287:SRL524289 TBH524287:TBH524289 TLD524287:TLD524289 TUZ524287:TUZ524289 UEV524287:UEV524289 UOR524287:UOR524289 UYN524287:UYN524289 VIJ524287:VIJ524289 VSF524287:VSF524289 WCB524287:WCB524289 WLX524287:WLX524289 WVT524287:WVT524289 S589823:S589825 JH589823:JH589825 TD589823:TD589825 ACZ589823:ACZ589825 AMV589823:AMV589825 AWR589823:AWR589825 BGN589823:BGN589825 BQJ589823:BQJ589825 CAF589823:CAF589825 CKB589823:CKB589825 CTX589823:CTX589825 DDT589823:DDT589825 DNP589823:DNP589825 DXL589823:DXL589825 EHH589823:EHH589825 ERD589823:ERD589825 FAZ589823:FAZ589825 FKV589823:FKV589825 FUR589823:FUR589825 GEN589823:GEN589825 GOJ589823:GOJ589825 GYF589823:GYF589825 HIB589823:HIB589825 HRX589823:HRX589825 IBT589823:IBT589825 ILP589823:ILP589825 IVL589823:IVL589825 JFH589823:JFH589825 JPD589823:JPD589825 JYZ589823:JYZ589825 KIV589823:KIV589825 KSR589823:KSR589825 LCN589823:LCN589825 LMJ589823:LMJ589825 LWF589823:LWF589825 MGB589823:MGB589825 MPX589823:MPX589825 MZT589823:MZT589825 NJP589823:NJP589825 NTL589823:NTL589825 ODH589823:ODH589825 OND589823:OND589825 OWZ589823:OWZ589825 PGV589823:PGV589825 PQR589823:PQR589825 QAN589823:QAN589825 QKJ589823:QKJ589825 QUF589823:QUF589825 REB589823:REB589825 RNX589823:RNX589825 RXT589823:RXT589825 SHP589823:SHP589825 SRL589823:SRL589825 TBH589823:TBH589825 TLD589823:TLD589825 TUZ589823:TUZ589825 UEV589823:UEV589825 UOR589823:UOR589825 UYN589823:UYN589825 VIJ589823:VIJ589825 VSF589823:VSF589825 WCB589823:WCB589825 WLX589823:WLX589825 WVT589823:WVT589825 S655359:S655361 JH655359:JH655361 TD655359:TD655361 ACZ655359:ACZ655361 AMV655359:AMV655361 AWR655359:AWR655361 BGN655359:BGN655361 BQJ655359:BQJ655361 CAF655359:CAF655361 CKB655359:CKB655361 CTX655359:CTX655361 DDT655359:DDT655361 DNP655359:DNP655361 DXL655359:DXL655361 EHH655359:EHH655361 ERD655359:ERD655361 FAZ655359:FAZ655361 FKV655359:FKV655361 FUR655359:FUR655361 GEN655359:GEN655361 GOJ655359:GOJ655361 GYF655359:GYF655361 HIB655359:HIB655361 HRX655359:HRX655361 IBT655359:IBT655361 ILP655359:ILP655361 IVL655359:IVL655361 JFH655359:JFH655361 JPD655359:JPD655361 JYZ655359:JYZ655361 KIV655359:KIV655361 KSR655359:KSR655361 LCN655359:LCN655361 LMJ655359:LMJ655361 LWF655359:LWF655361 MGB655359:MGB655361 MPX655359:MPX655361 MZT655359:MZT655361 NJP655359:NJP655361 NTL655359:NTL655361 ODH655359:ODH655361 OND655359:OND655361 OWZ655359:OWZ655361 PGV655359:PGV655361 PQR655359:PQR655361 QAN655359:QAN655361 QKJ655359:QKJ655361 QUF655359:QUF655361 REB655359:REB655361 RNX655359:RNX655361 RXT655359:RXT655361 SHP655359:SHP655361 SRL655359:SRL655361 TBH655359:TBH655361 TLD655359:TLD655361 TUZ655359:TUZ655361 UEV655359:UEV655361 UOR655359:UOR655361 UYN655359:UYN655361 VIJ655359:VIJ655361 VSF655359:VSF655361 WCB655359:WCB655361 WLX655359:WLX655361 WVT655359:WVT655361 S720895:S720897 JH720895:JH720897 TD720895:TD720897 ACZ720895:ACZ720897 AMV720895:AMV720897 AWR720895:AWR720897 BGN720895:BGN720897 BQJ720895:BQJ720897 CAF720895:CAF720897 CKB720895:CKB720897 CTX720895:CTX720897 DDT720895:DDT720897 DNP720895:DNP720897 DXL720895:DXL720897 EHH720895:EHH720897 ERD720895:ERD720897 FAZ720895:FAZ720897 FKV720895:FKV720897 FUR720895:FUR720897 GEN720895:GEN720897 GOJ720895:GOJ720897 GYF720895:GYF720897 HIB720895:HIB720897 HRX720895:HRX720897 IBT720895:IBT720897 ILP720895:ILP720897 IVL720895:IVL720897 JFH720895:JFH720897 JPD720895:JPD720897 JYZ720895:JYZ720897 KIV720895:KIV720897 KSR720895:KSR720897 LCN720895:LCN720897 LMJ720895:LMJ720897 LWF720895:LWF720897 MGB720895:MGB720897 MPX720895:MPX720897 MZT720895:MZT720897 NJP720895:NJP720897 NTL720895:NTL720897 ODH720895:ODH720897 OND720895:OND720897 OWZ720895:OWZ720897 PGV720895:PGV720897 PQR720895:PQR720897 QAN720895:QAN720897 QKJ720895:QKJ720897 QUF720895:QUF720897 REB720895:REB720897 RNX720895:RNX720897 RXT720895:RXT720897 SHP720895:SHP720897 SRL720895:SRL720897 TBH720895:TBH720897 TLD720895:TLD720897 TUZ720895:TUZ720897 UEV720895:UEV720897 UOR720895:UOR720897 UYN720895:UYN720897 VIJ720895:VIJ720897 VSF720895:VSF720897 WCB720895:WCB720897 WLX720895:WLX720897 WVT720895:WVT720897 S786431:S786433 JH786431:JH786433 TD786431:TD786433 ACZ786431:ACZ786433 AMV786431:AMV786433 AWR786431:AWR786433 BGN786431:BGN786433 BQJ786431:BQJ786433 CAF786431:CAF786433 CKB786431:CKB786433 CTX786431:CTX786433 DDT786431:DDT786433 DNP786431:DNP786433 DXL786431:DXL786433 EHH786431:EHH786433 ERD786431:ERD786433 FAZ786431:FAZ786433 FKV786431:FKV786433 FUR786431:FUR786433 GEN786431:GEN786433 GOJ786431:GOJ786433 GYF786431:GYF786433 HIB786431:HIB786433 HRX786431:HRX786433 IBT786431:IBT786433 ILP786431:ILP786433 IVL786431:IVL786433 JFH786431:JFH786433 JPD786431:JPD786433 JYZ786431:JYZ786433 KIV786431:KIV786433 KSR786431:KSR786433 LCN786431:LCN786433 LMJ786431:LMJ786433 LWF786431:LWF786433 MGB786431:MGB786433 MPX786431:MPX786433 MZT786431:MZT786433 NJP786431:NJP786433 NTL786431:NTL786433 ODH786431:ODH786433 OND786431:OND786433 OWZ786431:OWZ786433 PGV786431:PGV786433 PQR786431:PQR786433 QAN786431:QAN786433 QKJ786431:QKJ786433 QUF786431:QUF786433 REB786431:REB786433 RNX786431:RNX786433 RXT786431:RXT786433 SHP786431:SHP786433 SRL786431:SRL786433 TBH786431:TBH786433 TLD786431:TLD786433 TUZ786431:TUZ786433 UEV786431:UEV786433 UOR786431:UOR786433 UYN786431:UYN786433 VIJ786431:VIJ786433 VSF786431:VSF786433 WCB786431:WCB786433 WLX786431:WLX786433 WVT786431:WVT786433 S851967:S851969 JH851967:JH851969 TD851967:TD851969 ACZ851967:ACZ851969 AMV851967:AMV851969 AWR851967:AWR851969 BGN851967:BGN851969 BQJ851967:BQJ851969 CAF851967:CAF851969 CKB851967:CKB851969 CTX851967:CTX851969 DDT851967:DDT851969 DNP851967:DNP851969 DXL851967:DXL851969 EHH851967:EHH851969 ERD851967:ERD851969 FAZ851967:FAZ851969 FKV851967:FKV851969 FUR851967:FUR851969 GEN851967:GEN851969 GOJ851967:GOJ851969 GYF851967:GYF851969 HIB851967:HIB851969 HRX851967:HRX851969 IBT851967:IBT851969 ILP851967:ILP851969 IVL851967:IVL851969 JFH851967:JFH851969 JPD851967:JPD851969 JYZ851967:JYZ851969 KIV851967:KIV851969 KSR851967:KSR851969 LCN851967:LCN851969 LMJ851967:LMJ851969 LWF851967:LWF851969 MGB851967:MGB851969 MPX851967:MPX851969 MZT851967:MZT851969 NJP851967:NJP851969 NTL851967:NTL851969 ODH851967:ODH851969 OND851967:OND851969 OWZ851967:OWZ851969 PGV851967:PGV851969 PQR851967:PQR851969 QAN851967:QAN851969 QKJ851967:QKJ851969 QUF851967:QUF851969 REB851967:REB851969 RNX851967:RNX851969 RXT851967:RXT851969 SHP851967:SHP851969 SRL851967:SRL851969 TBH851967:TBH851969 TLD851967:TLD851969 TUZ851967:TUZ851969 UEV851967:UEV851969 UOR851967:UOR851969 UYN851967:UYN851969 VIJ851967:VIJ851969 VSF851967:VSF851969 WCB851967:WCB851969 WLX851967:WLX851969 WVT851967:WVT851969 S917503:S917505 JH917503:JH917505 TD917503:TD917505 ACZ917503:ACZ917505 AMV917503:AMV917505 AWR917503:AWR917505 BGN917503:BGN917505 BQJ917503:BQJ917505 CAF917503:CAF917505 CKB917503:CKB917505 CTX917503:CTX917505 DDT917503:DDT917505 DNP917503:DNP917505 DXL917503:DXL917505 EHH917503:EHH917505 ERD917503:ERD917505 FAZ917503:FAZ917505 FKV917503:FKV917505 FUR917503:FUR917505 GEN917503:GEN917505 GOJ917503:GOJ917505 GYF917503:GYF917505 HIB917503:HIB917505 HRX917503:HRX917505 IBT917503:IBT917505 ILP917503:ILP917505 IVL917503:IVL917505 JFH917503:JFH917505 JPD917503:JPD917505 JYZ917503:JYZ917505 KIV917503:KIV917505 KSR917503:KSR917505 LCN917503:LCN917505 LMJ917503:LMJ917505 LWF917503:LWF917505 MGB917503:MGB917505 MPX917503:MPX917505 MZT917503:MZT917505 NJP917503:NJP917505 NTL917503:NTL917505 ODH917503:ODH917505 OND917503:OND917505 OWZ917503:OWZ917505 PGV917503:PGV917505 PQR917503:PQR917505 QAN917503:QAN917505 QKJ917503:QKJ917505 QUF917503:QUF917505 REB917503:REB917505 RNX917503:RNX917505 RXT917503:RXT917505 SHP917503:SHP917505 SRL917503:SRL917505 TBH917503:TBH917505 TLD917503:TLD917505 TUZ917503:TUZ917505 UEV917503:UEV917505 UOR917503:UOR917505 UYN917503:UYN917505 VIJ917503:VIJ917505 VSF917503:VSF917505 WCB917503:WCB917505 WLX917503:WLX917505 WVT917503:WVT917505 S983039:S983041 JH983039:JH983041 TD983039:TD983041 ACZ983039:ACZ983041 AMV983039:AMV983041 AWR983039:AWR983041 BGN983039:BGN983041 BQJ983039:BQJ983041 CAF983039:CAF983041 CKB983039:CKB983041 CTX983039:CTX983041 DDT983039:DDT983041 DNP983039:DNP983041 DXL983039:DXL983041 EHH983039:EHH983041 ERD983039:ERD983041 FAZ983039:FAZ983041 FKV983039:FKV983041 FUR983039:FUR983041 GEN983039:GEN983041 GOJ983039:GOJ983041 GYF983039:GYF983041 HIB983039:HIB983041 HRX983039:HRX983041 IBT983039:IBT983041 ILP983039:ILP983041 IVL983039:IVL983041 JFH983039:JFH983041 JPD983039:JPD983041 JYZ983039:JYZ983041 KIV983039:KIV983041 KSR983039:KSR983041 LCN983039:LCN983041 LMJ983039:LMJ983041 LWF983039:LWF983041 MGB983039:MGB983041 MPX983039:MPX983041 MZT983039:MZT983041 NJP983039:NJP983041 NTL983039:NTL983041 ODH983039:ODH983041 OND983039:OND983041 OWZ983039:OWZ983041 PGV983039:PGV983041 PQR983039:PQR983041 QAN983039:QAN983041 QKJ983039:QKJ983041 QUF983039:QUF983041 REB983039:REB983041 RNX983039:RNX983041 RXT983039:RXT983041 SHP983039:SHP983041 SRL983039:SRL983041 TBH983039:TBH983041 TLD983039:TLD983041 TUZ983039:TUZ983041 UEV983039:UEV983041 UOR983039:UOR983041 UYN983039:UYN983041 VIJ983039:VIJ983041 VSF983039:VSF983041 WCB983039:WCB983041 WLX983039:WLX983041 WVT983039:WVT983041 U65541:U65564 JJ65541:JJ65564 TF65541:TF65564 ADB65541:ADB65564 AMX65541:AMX65564 AWT65541:AWT65564 BGP65541:BGP65564 BQL65541:BQL65564 CAH65541:CAH65564 CKD65541:CKD65564 CTZ65541:CTZ65564 DDV65541:DDV65564 DNR65541:DNR65564 DXN65541:DXN65564 EHJ65541:EHJ65564 ERF65541:ERF65564 FBB65541:FBB65564 FKX65541:FKX65564 FUT65541:FUT65564 GEP65541:GEP65564 GOL65541:GOL65564 GYH65541:GYH65564 HID65541:HID65564 HRZ65541:HRZ65564 IBV65541:IBV65564 ILR65541:ILR65564 IVN65541:IVN65564 JFJ65541:JFJ65564 JPF65541:JPF65564 JZB65541:JZB65564 KIX65541:KIX65564 KST65541:KST65564 LCP65541:LCP65564 LML65541:LML65564 LWH65541:LWH65564 MGD65541:MGD65564 MPZ65541:MPZ65564 MZV65541:MZV65564 NJR65541:NJR65564 NTN65541:NTN65564 ODJ65541:ODJ65564 ONF65541:ONF65564 OXB65541:OXB65564 PGX65541:PGX65564 PQT65541:PQT65564 QAP65541:QAP65564 QKL65541:QKL65564 QUH65541:QUH65564 RED65541:RED65564 RNZ65541:RNZ65564 RXV65541:RXV65564 SHR65541:SHR65564 SRN65541:SRN65564 TBJ65541:TBJ65564 TLF65541:TLF65564 TVB65541:TVB65564 UEX65541:UEX65564 UOT65541:UOT65564 UYP65541:UYP65564 VIL65541:VIL65564 VSH65541:VSH65564 WCD65541:WCD65564 WLZ65541:WLZ65564 WVV65541:WVV65564 U131077:U131100 JJ131077:JJ131100 TF131077:TF131100 ADB131077:ADB131100 AMX131077:AMX131100 AWT131077:AWT131100 BGP131077:BGP131100 BQL131077:BQL131100 CAH131077:CAH131100 CKD131077:CKD131100 CTZ131077:CTZ131100 DDV131077:DDV131100 DNR131077:DNR131100 DXN131077:DXN131100 EHJ131077:EHJ131100 ERF131077:ERF131100 FBB131077:FBB131100 FKX131077:FKX131100 FUT131077:FUT131100 GEP131077:GEP131100 GOL131077:GOL131100 GYH131077:GYH131100 HID131077:HID131100 HRZ131077:HRZ131100 IBV131077:IBV131100 ILR131077:ILR131100 IVN131077:IVN131100 JFJ131077:JFJ131100 JPF131077:JPF131100 JZB131077:JZB131100 KIX131077:KIX131100 KST131077:KST131100 LCP131077:LCP131100 LML131077:LML131100 LWH131077:LWH131100 MGD131077:MGD131100 MPZ131077:MPZ131100 MZV131077:MZV131100 NJR131077:NJR131100 NTN131077:NTN131100 ODJ131077:ODJ131100 ONF131077:ONF131100 OXB131077:OXB131100 PGX131077:PGX131100 PQT131077:PQT131100 QAP131077:QAP131100 QKL131077:QKL131100 QUH131077:QUH131100 RED131077:RED131100 RNZ131077:RNZ131100 RXV131077:RXV131100 SHR131077:SHR131100 SRN131077:SRN131100 TBJ131077:TBJ131100 TLF131077:TLF131100 TVB131077:TVB131100 UEX131077:UEX131100 UOT131077:UOT131100 UYP131077:UYP131100 VIL131077:VIL131100 VSH131077:VSH131100 WCD131077:WCD131100 WLZ131077:WLZ131100 WVV131077:WVV131100 U196613:U196636 JJ196613:JJ196636 TF196613:TF196636 ADB196613:ADB196636 AMX196613:AMX196636 AWT196613:AWT196636 BGP196613:BGP196636 BQL196613:BQL196636 CAH196613:CAH196636 CKD196613:CKD196636 CTZ196613:CTZ196636 DDV196613:DDV196636 DNR196613:DNR196636 DXN196613:DXN196636 EHJ196613:EHJ196636 ERF196613:ERF196636 FBB196613:FBB196636 FKX196613:FKX196636 FUT196613:FUT196636 GEP196613:GEP196636 GOL196613:GOL196636 GYH196613:GYH196636 HID196613:HID196636 HRZ196613:HRZ196636 IBV196613:IBV196636 ILR196613:ILR196636 IVN196613:IVN196636 JFJ196613:JFJ196636 JPF196613:JPF196636 JZB196613:JZB196636 KIX196613:KIX196636 KST196613:KST196636 LCP196613:LCP196636 LML196613:LML196636 LWH196613:LWH196636 MGD196613:MGD196636 MPZ196613:MPZ196636 MZV196613:MZV196636 NJR196613:NJR196636 NTN196613:NTN196636 ODJ196613:ODJ196636 ONF196613:ONF196636 OXB196613:OXB196636 PGX196613:PGX196636 PQT196613:PQT196636 QAP196613:QAP196636 QKL196613:QKL196636 QUH196613:QUH196636 RED196613:RED196636 RNZ196613:RNZ196636 RXV196613:RXV196636 SHR196613:SHR196636 SRN196613:SRN196636 TBJ196613:TBJ196636 TLF196613:TLF196636 TVB196613:TVB196636 UEX196613:UEX196636 UOT196613:UOT196636 UYP196613:UYP196636 VIL196613:VIL196636 VSH196613:VSH196636 WCD196613:WCD196636 WLZ196613:WLZ196636 WVV196613:WVV196636 U262149:U262172 JJ262149:JJ262172 TF262149:TF262172 ADB262149:ADB262172 AMX262149:AMX262172 AWT262149:AWT262172 BGP262149:BGP262172 BQL262149:BQL262172 CAH262149:CAH262172 CKD262149:CKD262172 CTZ262149:CTZ262172 DDV262149:DDV262172 DNR262149:DNR262172 DXN262149:DXN262172 EHJ262149:EHJ262172 ERF262149:ERF262172 FBB262149:FBB262172 FKX262149:FKX262172 FUT262149:FUT262172 GEP262149:GEP262172 GOL262149:GOL262172 GYH262149:GYH262172 HID262149:HID262172 HRZ262149:HRZ262172 IBV262149:IBV262172 ILR262149:ILR262172 IVN262149:IVN262172 JFJ262149:JFJ262172 JPF262149:JPF262172 JZB262149:JZB262172 KIX262149:KIX262172 KST262149:KST262172 LCP262149:LCP262172 LML262149:LML262172 LWH262149:LWH262172 MGD262149:MGD262172 MPZ262149:MPZ262172 MZV262149:MZV262172 NJR262149:NJR262172 NTN262149:NTN262172 ODJ262149:ODJ262172 ONF262149:ONF262172 OXB262149:OXB262172 PGX262149:PGX262172 PQT262149:PQT262172 QAP262149:QAP262172 QKL262149:QKL262172 QUH262149:QUH262172 RED262149:RED262172 RNZ262149:RNZ262172 RXV262149:RXV262172 SHR262149:SHR262172 SRN262149:SRN262172 TBJ262149:TBJ262172 TLF262149:TLF262172 TVB262149:TVB262172 UEX262149:UEX262172 UOT262149:UOT262172 UYP262149:UYP262172 VIL262149:VIL262172 VSH262149:VSH262172 WCD262149:WCD262172 WLZ262149:WLZ262172 WVV262149:WVV262172 U327685:U327708 JJ327685:JJ327708 TF327685:TF327708 ADB327685:ADB327708 AMX327685:AMX327708 AWT327685:AWT327708 BGP327685:BGP327708 BQL327685:BQL327708 CAH327685:CAH327708 CKD327685:CKD327708 CTZ327685:CTZ327708 DDV327685:DDV327708 DNR327685:DNR327708 DXN327685:DXN327708 EHJ327685:EHJ327708 ERF327685:ERF327708 FBB327685:FBB327708 FKX327685:FKX327708 FUT327685:FUT327708 GEP327685:GEP327708 GOL327685:GOL327708 GYH327685:GYH327708 HID327685:HID327708 HRZ327685:HRZ327708 IBV327685:IBV327708 ILR327685:ILR327708 IVN327685:IVN327708 JFJ327685:JFJ327708 JPF327685:JPF327708 JZB327685:JZB327708 KIX327685:KIX327708 KST327685:KST327708 LCP327685:LCP327708 LML327685:LML327708 LWH327685:LWH327708 MGD327685:MGD327708 MPZ327685:MPZ327708 MZV327685:MZV327708 NJR327685:NJR327708 NTN327685:NTN327708 ODJ327685:ODJ327708 ONF327685:ONF327708 OXB327685:OXB327708 PGX327685:PGX327708 PQT327685:PQT327708 QAP327685:QAP327708 QKL327685:QKL327708 QUH327685:QUH327708 RED327685:RED327708 RNZ327685:RNZ327708 RXV327685:RXV327708 SHR327685:SHR327708 SRN327685:SRN327708 TBJ327685:TBJ327708 TLF327685:TLF327708 TVB327685:TVB327708 UEX327685:UEX327708 UOT327685:UOT327708 UYP327685:UYP327708 VIL327685:VIL327708 VSH327685:VSH327708 WCD327685:WCD327708 WLZ327685:WLZ327708 WVV327685:WVV327708 U393221:U393244 JJ393221:JJ393244 TF393221:TF393244 ADB393221:ADB393244 AMX393221:AMX393244 AWT393221:AWT393244 BGP393221:BGP393244 BQL393221:BQL393244 CAH393221:CAH393244 CKD393221:CKD393244 CTZ393221:CTZ393244 DDV393221:DDV393244 DNR393221:DNR393244 DXN393221:DXN393244 EHJ393221:EHJ393244 ERF393221:ERF393244 FBB393221:FBB393244 FKX393221:FKX393244 FUT393221:FUT393244 GEP393221:GEP393244 GOL393221:GOL393244 GYH393221:GYH393244 HID393221:HID393244 HRZ393221:HRZ393244 IBV393221:IBV393244 ILR393221:ILR393244 IVN393221:IVN393244 JFJ393221:JFJ393244 JPF393221:JPF393244 JZB393221:JZB393244 KIX393221:KIX393244 KST393221:KST393244 LCP393221:LCP393244 LML393221:LML393244 LWH393221:LWH393244 MGD393221:MGD393244 MPZ393221:MPZ393244 MZV393221:MZV393244 NJR393221:NJR393244 NTN393221:NTN393244 ODJ393221:ODJ393244 ONF393221:ONF393244 OXB393221:OXB393244 PGX393221:PGX393244 PQT393221:PQT393244 QAP393221:QAP393244 QKL393221:QKL393244 QUH393221:QUH393244 RED393221:RED393244 RNZ393221:RNZ393244 RXV393221:RXV393244 SHR393221:SHR393244 SRN393221:SRN393244 TBJ393221:TBJ393244 TLF393221:TLF393244 TVB393221:TVB393244 UEX393221:UEX393244 UOT393221:UOT393244 UYP393221:UYP393244 VIL393221:VIL393244 VSH393221:VSH393244 WCD393221:WCD393244 WLZ393221:WLZ393244 WVV393221:WVV393244 U458757:U458780 JJ458757:JJ458780 TF458757:TF458780 ADB458757:ADB458780 AMX458757:AMX458780 AWT458757:AWT458780 BGP458757:BGP458780 BQL458757:BQL458780 CAH458757:CAH458780 CKD458757:CKD458780 CTZ458757:CTZ458780 DDV458757:DDV458780 DNR458757:DNR458780 DXN458757:DXN458780 EHJ458757:EHJ458780 ERF458757:ERF458780 FBB458757:FBB458780 FKX458757:FKX458780 FUT458757:FUT458780 GEP458757:GEP458780 GOL458757:GOL458780 GYH458757:GYH458780 HID458757:HID458780 HRZ458757:HRZ458780 IBV458757:IBV458780 ILR458757:ILR458780 IVN458757:IVN458780 JFJ458757:JFJ458780 JPF458757:JPF458780 JZB458757:JZB458780 KIX458757:KIX458780 KST458757:KST458780 LCP458757:LCP458780 LML458757:LML458780 LWH458757:LWH458780 MGD458757:MGD458780 MPZ458757:MPZ458780 MZV458757:MZV458780 NJR458757:NJR458780 NTN458757:NTN458780 ODJ458757:ODJ458780 ONF458757:ONF458780 OXB458757:OXB458780 PGX458757:PGX458780 PQT458757:PQT458780 QAP458757:QAP458780 QKL458757:QKL458780 QUH458757:QUH458780 RED458757:RED458780 RNZ458757:RNZ458780 RXV458757:RXV458780 SHR458757:SHR458780 SRN458757:SRN458780 TBJ458757:TBJ458780 TLF458757:TLF458780 TVB458757:TVB458780 UEX458757:UEX458780 UOT458757:UOT458780 UYP458757:UYP458780 VIL458757:VIL458780 VSH458757:VSH458780 WCD458757:WCD458780 WLZ458757:WLZ458780 WVV458757:WVV458780 U524293:U524316 JJ524293:JJ524316 TF524293:TF524316 ADB524293:ADB524316 AMX524293:AMX524316 AWT524293:AWT524316 BGP524293:BGP524316 BQL524293:BQL524316 CAH524293:CAH524316 CKD524293:CKD524316 CTZ524293:CTZ524316 DDV524293:DDV524316 DNR524293:DNR524316 DXN524293:DXN524316 EHJ524293:EHJ524316 ERF524293:ERF524316 FBB524293:FBB524316 FKX524293:FKX524316 FUT524293:FUT524316 GEP524293:GEP524316 GOL524293:GOL524316 GYH524293:GYH524316 HID524293:HID524316 HRZ524293:HRZ524316 IBV524293:IBV524316 ILR524293:ILR524316 IVN524293:IVN524316 JFJ524293:JFJ524316 JPF524293:JPF524316 JZB524293:JZB524316 KIX524293:KIX524316 KST524293:KST524316 LCP524293:LCP524316 LML524293:LML524316 LWH524293:LWH524316 MGD524293:MGD524316 MPZ524293:MPZ524316 MZV524293:MZV524316 NJR524293:NJR524316 NTN524293:NTN524316 ODJ524293:ODJ524316 ONF524293:ONF524316 OXB524293:OXB524316 PGX524293:PGX524316 PQT524293:PQT524316 QAP524293:QAP524316 QKL524293:QKL524316 QUH524293:QUH524316 RED524293:RED524316 RNZ524293:RNZ524316 RXV524293:RXV524316 SHR524293:SHR524316 SRN524293:SRN524316 TBJ524293:TBJ524316 TLF524293:TLF524316 TVB524293:TVB524316 UEX524293:UEX524316 UOT524293:UOT524316 UYP524293:UYP524316 VIL524293:VIL524316 VSH524293:VSH524316 WCD524293:WCD524316 WLZ524293:WLZ524316 WVV524293:WVV524316 U589829:U589852 JJ589829:JJ589852 TF589829:TF589852 ADB589829:ADB589852 AMX589829:AMX589852 AWT589829:AWT589852 BGP589829:BGP589852 BQL589829:BQL589852 CAH589829:CAH589852 CKD589829:CKD589852 CTZ589829:CTZ589852 DDV589829:DDV589852 DNR589829:DNR589852 DXN589829:DXN589852 EHJ589829:EHJ589852 ERF589829:ERF589852 FBB589829:FBB589852 FKX589829:FKX589852 FUT589829:FUT589852 GEP589829:GEP589852 GOL589829:GOL589852 GYH589829:GYH589852 HID589829:HID589852 HRZ589829:HRZ589852 IBV589829:IBV589852 ILR589829:ILR589852 IVN589829:IVN589852 JFJ589829:JFJ589852 JPF589829:JPF589852 JZB589829:JZB589852 KIX589829:KIX589852 KST589829:KST589852 LCP589829:LCP589852 LML589829:LML589852 LWH589829:LWH589852 MGD589829:MGD589852 MPZ589829:MPZ589852 MZV589829:MZV589852 NJR589829:NJR589852 NTN589829:NTN589852 ODJ589829:ODJ589852 ONF589829:ONF589852 OXB589829:OXB589852 PGX589829:PGX589852 PQT589829:PQT589852 QAP589829:QAP589852 QKL589829:QKL589852 QUH589829:QUH589852 RED589829:RED589852 RNZ589829:RNZ589852 RXV589829:RXV589852 SHR589829:SHR589852 SRN589829:SRN589852 TBJ589829:TBJ589852 TLF589829:TLF589852 TVB589829:TVB589852 UEX589829:UEX589852 UOT589829:UOT589852 UYP589829:UYP589852 VIL589829:VIL589852 VSH589829:VSH589852 WCD589829:WCD589852 WLZ589829:WLZ589852 WVV589829:WVV589852 U655365:U655388 JJ655365:JJ655388 TF655365:TF655388 ADB655365:ADB655388 AMX655365:AMX655388 AWT655365:AWT655388 BGP655365:BGP655388 BQL655365:BQL655388 CAH655365:CAH655388 CKD655365:CKD655388 CTZ655365:CTZ655388 DDV655365:DDV655388 DNR655365:DNR655388 DXN655365:DXN655388 EHJ655365:EHJ655388 ERF655365:ERF655388 FBB655365:FBB655388 FKX655365:FKX655388 FUT655365:FUT655388 GEP655365:GEP655388 GOL655365:GOL655388 GYH655365:GYH655388 HID655365:HID655388 HRZ655365:HRZ655388 IBV655365:IBV655388 ILR655365:ILR655388 IVN655365:IVN655388 JFJ655365:JFJ655388 JPF655365:JPF655388 JZB655365:JZB655388 KIX655365:KIX655388 KST655365:KST655388 LCP655365:LCP655388 LML655365:LML655388 LWH655365:LWH655388 MGD655365:MGD655388 MPZ655365:MPZ655388 MZV655365:MZV655388 NJR655365:NJR655388 NTN655365:NTN655388 ODJ655365:ODJ655388 ONF655365:ONF655388 OXB655365:OXB655388 PGX655365:PGX655388 PQT655365:PQT655388 QAP655365:QAP655388 QKL655365:QKL655388 QUH655365:QUH655388 RED655365:RED655388 RNZ655365:RNZ655388 RXV655365:RXV655388 SHR655365:SHR655388 SRN655365:SRN655388 TBJ655365:TBJ655388 TLF655365:TLF655388 TVB655365:TVB655388 UEX655365:UEX655388 UOT655365:UOT655388 UYP655365:UYP655388 VIL655365:VIL655388 VSH655365:VSH655388 WCD655365:WCD655388 WLZ655365:WLZ655388 WVV655365:WVV655388 U720901:U720924 JJ720901:JJ720924 TF720901:TF720924 ADB720901:ADB720924 AMX720901:AMX720924 AWT720901:AWT720924 BGP720901:BGP720924 BQL720901:BQL720924 CAH720901:CAH720924 CKD720901:CKD720924 CTZ720901:CTZ720924 DDV720901:DDV720924 DNR720901:DNR720924 DXN720901:DXN720924 EHJ720901:EHJ720924 ERF720901:ERF720924 FBB720901:FBB720924 FKX720901:FKX720924 FUT720901:FUT720924 GEP720901:GEP720924 GOL720901:GOL720924 GYH720901:GYH720924 HID720901:HID720924 HRZ720901:HRZ720924 IBV720901:IBV720924 ILR720901:ILR720924 IVN720901:IVN720924 JFJ720901:JFJ720924 JPF720901:JPF720924 JZB720901:JZB720924 KIX720901:KIX720924 KST720901:KST720924 LCP720901:LCP720924 LML720901:LML720924 LWH720901:LWH720924 MGD720901:MGD720924 MPZ720901:MPZ720924 MZV720901:MZV720924 NJR720901:NJR720924 NTN720901:NTN720924 ODJ720901:ODJ720924 ONF720901:ONF720924 OXB720901:OXB720924 PGX720901:PGX720924 PQT720901:PQT720924 QAP720901:QAP720924 QKL720901:QKL720924 QUH720901:QUH720924 RED720901:RED720924 RNZ720901:RNZ720924 RXV720901:RXV720924 SHR720901:SHR720924 SRN720901:SRN720924 TBJ720901:TBJ720924 TLF720901:TLF720924 TVB720901:TVB720924 UEX720901:UEX720924 UOT720901:UOT720924 UYP720901:UYP720924 VIL720901:VIL720924 VSH720901:VSH720924 WCD720901:WCD720924 WLZ720901:WLZ720924 WVV720901:WVV720924 U786437:U786460 JJ786437:JJ786460 TF786437:TF786460 ADB786437:ADB786460 AMX786437:AMX786460 AWT786437:AWT786460 BGP786437:BGP786460 BQL786437:BQL786460 CAH786437:CAH786460 CKD786437:CKD786460 CTZ786437:CTZ786460 DDV786437:DDV786460 DNR786437:DNR786460 DXN786437:DXN786460 EHJ786437:EHJ786460 ERF786437:ERF786460 FBB786437:FBB786460 FKX786437:FKX786460 FUT786437:FUT786460 GEP786437:GEP786460 GOL786437:GOL786460 GYH786437:GYH786460 HID786437:HID786460 HRZ786437:HRZ786460 IBV786437:IBV786460 ILR786437:ILR786460 IVN786437:IVN786460 JFJ786437:JFJ786460 JPF786437:JPF786460 JZB786437:JZB786460 KIX786437:KIX786460 KST786437:KST786460 LCP786437:LCP786460 LML786437:LML786460 LWH786437:LWH786460 MGD786437:MGD786460 MPZ786437:MPZ786460 MZV786437:MZV786460 NJR786437:NJR786460 NTN786437:NTN786460 ODJ786437:ODJ786460 ONF786437:ONF786460 OXB786437:OXB786460 PGX786437:PGX786460 PQT786437:PQT786460 QAP786437:QAP786460 QKL786437:QKL786460 QUH786437:QUH786460 RED786437:RED786460 RNZ786437:RNZ786460 RXV786437:RXV786460 SHR786437:SHR786460 SRN786437:SRN786460 TBJ786437:TBJ786460 TLF786437:TLF786460 TVB786437:TVB786460 UEX786437:UEX786460 UOT786437:UOT786460 UYP786437:UYP786460 VIL786437:VIL786460 VSH786437:VSH786460 WCD786437:WCD786460 WLZ786437:WLZ786460 WVV786437:WVV786460 U851973:U851996 JJ851973:JJ851996 TF851973:TF851996 ADB851973:ADB851996 AMX851973:AMX851996 AWT851973:AWT851996 BGP851973:BGP851996 BQL851973:BQL851996 CAH851973:CAH851996 CKD851973:CKD851996 CTZ851973:CTZ851996 DDV851973:DDV851996 DNR851973:DNR851996 DXN851973:DXN851996 EHJ851973:EHJ851996 ERF851973:ERF851996 FBB851973:FBB851996 FKX851973:FKX851996 FUT851973:FUT851996 GEP851973:GEP851996 GOL851973:GOL851996 GYH851973:GYH851996 HID851973:HID851996 HRZ851973:HRZ851996 IBV851973:IBV851996 ILR851973:ILR851996 IVN851973:IVN851996 JFJ851973:JFJ851996 JPF851973:JPF851996 JZB851973:JZB851996 KIX851973:KIX851996 KST851973:KST851996 LCP851973:LCP851996 LML851973:LML851996 LWH851973:LWH851996 MGD851973:MGD851996 MPZ851973:MPZ851996 MZV851973:MZV851996 NJR851973:NJR851996 NTN851973:NTN851996 ODJ851973:ODJ851996 ONF851973:ONF851996 OXB851973:OXB851996 PGX851973:PGX851996 PQT851973:PQT851996 QAP851973:QAP851996 QKL851973:QKL851996 QUH851973:QUH851996 RED851973:RED851996 RNZ851973:RNZ851996 RXV851973:RXV851996 SHR851973:SHR851996 SRN851973:SRN851996 TBJ851973:TBJ851996 TLF851973:TLF851996 TVB851973:TVB851996 UEX851973:UEX851996 UOT851973:UOT851996 UYP851973:UYP851996 VIL851973:VIL851996 VSH851973:VSH851996 WCD851973:WCD851996 WLZ851973:WLZ851996 WVV851973:WVV851996 U917509:U917532 JJ917509:JJ917532 TF917509:TF917532 ADB917509:ADB917532 AMX917509:AMX917532 AWT917509:AWT917532 BGP917509:BGP917532 BQL917509:BQL917532 CAH917509:CAH917532 CKD917509:CKD917532 CTZ917509:CTZ917532 DDV917509:DDV917532 DNR917509:DNR917532 DXN917509:DXN917532 EHJ917509:EHJ917532 ERF917509:ERF917532 FBB917509:FBB917532 FKX917509:FKX917532 FUT917509:FUT917532 GEP917509:GEP917532 GOL917509:GOL917532 GYH917509:GYH917532 HID917509:HID917532 HRZ917509:HRZ917532 IBV917509:IBV917532 ILR917509:ILR917532 IVN917509:IVN917532 JFJ917509:JFJ917532 JPF917509:JPF917532 JZB917509:JZB917532 KIX917509:KIX917532 KST917509:KST917532 LCP917509:LCP917532 LML917509:LML917532 LWH917509:LWH917532 MGD917509:MGD917532 MPZ917509:MPZ917532 MZV917509:MZV917532 NJR917509:NJR917532 NTN917509:NTN917532 ODJ917509:ODJ917532 ONF917509:ONF917532 OXB917509:OXB917532 PGX917509:PGX917532 PQT917509:PQT917532 QAP917509:QAP917532 QKL917509:QKL917532 QUH917509:QUH917532 RED917509:RED917532 RNZ917509:RNZ917532 RXV917509:RXV917532 SHR917509:SHR917532 SRN917509:SRN917532 TBJ917509:TBJ917532 TLF917509:TLF917532 TVB917509:TVB917532 UEX917509:UEX917532 UOT917509:UOT917532 UYP917509:UYP917532 VIL917509:VIL917532 VSH917509:VSH917532 WCD917509:WCD917532 WLZ917509:WLZ917532 WVV917509:WVV917532 U983045:U983068 JJ983045:JJ983068 TF983045:TF983068 ADB983045:ADB983068 AMX983045:AMX983068 AWT983045:AWT983068 BGP983045:BGP983068 BQL983045:BQL983068 CAH983045:CAH983068 CKD983045:CKD983068 CTZ983045:CTZ983068 DDV983045:DDV983068 DNR983045:DNR983068 DXN983045:DXN983068 EHJ983045:EHJ983068 ERF983045:ERF983068 FBB983045:FBB983068 FKX983045:FKX983068 FUT983045:FUT983068 GEP983045:GEP983068 GOL983045:GOL983068 GYH983045:GYH983068 HID983045:HID983068 HRZ983045:HRZ983068 IBV983045:IBV983068 ILR983045:ILR983068 IVN983045:IVN983068 JFJ983045:JFJ983068 JPF983045:JPF983068 JZB983045:JZB983068 KIX983045:KIX983068 KST983045:KST983068 LCP983045:LCP983068 LML983045:LML983068 LWH983045:LWH983068 MGD983045:MGD983068 MPZ983045:MPZ983068 MZV983045:MZV983068 NJR983045:NJR983068 NTN983045:NTN983068 ODJ983045:ODJ983068 ONF983045:ONF983068 OXB983045:OXB983068 PGX983045:PGX983068 PQT983045:PQT983068 QAP983045:QAP983068 QKL983045:QKL983068 QUH983045:QUH983068 RED983045:RED983068 RNZ983045:RNZ983068 RXV983045:RXV983068 SHR983045:SHR983068 SRN983045:SRN983068 TBJ983045:TBJ983068 TLF983045:TLF983068 TVB983045:TVB983068 UEX983045:UEX983068 UOT983045:UOT983068 UYP983045:UYP983068 VIL983045:VIL983068 VSH983045:VSH983068 WCD983045:WCD983068 WLZ983045:WLZ983068 WVV983045:WVV983068 JL65541:JL65564 TH65541:TH65564 ADD65541:ADD65564 AMZ65541:AMZ65564 AWV65541:AWV65564 BGR65541:BGR65564 BQN65541:BQN65564 CAJ65541:CAJ65564 CKF65541:CKF65564 CUB65541:CUB65564 DDX65541:DDX65564 DNT65541:DNT65564 DXP65541:DXP65564 EHL65541:EHL65564 ERH65541:ERH65564 FBD65541:FBD65564 FKZ65541:FKZ65564 FUV65541:FUV65564 GER65541:GER65564 GON65541:GON65564 GYJ65541:GYJ65564 HIF65541:HIF65564 HSB65541:HSB65564 IBX65541:IBX65564 ILT65541:ILT65564 IVP65541:IVP65564 JFL65541:JFL65564 JPH65541:JPH65564 JZD65541:JZD65564 KIZ65541:KIZ65564 KSV65541:KSV65564 LCR65541:LCR65564 LMN65541:LMN65564 LWJ65541:LWJ65564 MGF65541:MGF65564 MQB65541:MQB65564 MZX65541:MZX65564 NJT65541:NJT65564 NTP65541:NTP65564 ODL65541:ODL65564 ONH65541:ONH65564 OXD65541:OXD65564 PGZ65541:PGZ65564 PQV65541:PQV65564 QAR65541:QAR65564 QKN65541:QKN65564 QUJ65541:QUJ65564 REF65541:REF65564 ROB65541:ROB65564 RXX65541:RXX65564 SHT65541:SHT65564 SRP65541:SRP65564 TBL65541:TBL65564 TLH65541:TLH65564 TVD65541:TVD65564 UEZ65541:UEZ65564 UOV65541:UOV65564 UYR65541:UYR65564 VIN65541:VIN65564 VSJ65541:VSJ65564 WCF65541:WCF65564 WMB65541:WMB65564 WVX65541:WVX65564 JL131077:JL131100 TH131077:TH131100 ADD131077:ADD131100 AMZ131077:AMZ131100 AWV131077:AWV131100 BGR131077:BGR131100 BQN131077:BQN131100 CAJ131077:CAJ131100 CKF131077:CKF131100 CUB131077:CUB131100 DDX131077:DDX131100 DNT131077:DNT131100 DXP131077:DXP131100 EHL131077:EHL131100 ERH131077:ERH131100 FBD131077:FBD131100 FKZ131077:FKZ131100 FUV131077:FUV131100 GER131077:GER131100 GON131077:GON131100 GYJ131077:GYJ131100 HIF131077:HIF131100 HSB131077:HSB131100 IBX131077:IBX131100 ILT131077:ILT131100 IVP131077:IVP131100 JFL131077:JFL131100 JPH131077:JPH131100 JZD131077:JZD131100 KIZ131077:KIZ131100 KSV131077:KSV131100 LCR131077:LCR131100 LMN131077:LMN131100 LWJ131077:LWJ131100 MGF131077:MGF131100 MQB131077:MQB131100 MZX131077:MZX131100 NJT131077:NJT131100 NTP131077:NTP131100 ODL131077:ODL131100 ONH131077:ONH131100 OXD131077:OXD131100 PGZ131077:PGZ131100 PQV131077:PQV131100 QAR131077:QAR131100 QKN131077:QKN131100 QUJ131077:QUJ131100 REF131077:REF131100 ROB131077:ROB131100 RXX131077:RXX131100 SHT131077:SHT131100 SRP131077:SRP131100 TBL131077:TBL131100 TLH131077:TLH131100 TVD131077:TVD131100 UEZ131077:UEZ131100 UOV131077:UOV131100 UYR131077:UYR131100 VIN131077:VIN131100 VSJ131077:VSJ131100 WCF131077:WCF131100 WMB131077:WMB131100 WVX131077:WVX131100 JL196613:JL196636 TH196613:TH196636 ADD196613:ADD196636 AMZ196613:AMZ196636 AWV196613:AWV196636 BGR196613:BGR196636 BQN196613:BQN196636 CAJ196613:CAJ196636 CKF196613:CKF196636 CUB196613:CUB196636 DDX196613:DDX196636 DNT196613:DNT196636 DXP196613:DXP196636 EHL196613:EHL196636 ERH196613:ERH196636 FBD196613:FBD196636 FKZ196613:FKZ196636 FUV196613:FUV196636 GER196613:GER196636 GON196613:GON196636 GYJ196613:GYJ196636 HIF196613:HIF196636 HSB196613:HSB196636 IBX196613:IBX196636 ILT196613:ILT196636 IVP196613:IVP196636 JFL196613:JFL196636 JPH196613:JPH196636 JZD196613:JZD196636 KIZ196613:KIZ196636 KSV196613:KSV196636 LCR196613:LCR196636 LMN196613:LMN196636 LWJ196613:LWJ196636 MGF196613:MGF196636 MQB196613:MQB196636 MZX196613:MZX196636 NJT196613:NJT196636 NTP196613:NTP196636 ODL196613:ODL196636 ONH196613:ONH196636 OXD196613:OXD196636 PGZ196613:PGZ196636 PQV196613:PQV196636 QAR196613:QAR196636 QKN196613:QKN196636 QUJ196613:QUJ196636 REF196613:REF196636 ROB196613:ROB196636 RXX196613:RXX196636 SHT196613:SHT196636 SRP196613:SRP196636 TBL196613:TBL196636 TLH196613:TLH196636 TVD196613:TVD196636 UEZ196613:UEZ196636 UOV196613:UOV196636 UYR196613:UYR196636 VIN196613:VIN196636 VSJ196613:VSJ196636 WCF196613:WCF196636 WMB196613:WMB196636 WVX196613:WVX196636 JL262149:JL262172 TH262149:TH262172 ADD262149:ADD262172 AMZ262149:AMZ262172 AWV262149:AWV262172 BGR262149:BGR262172 BQN262149:BQN262172 CAJ262149:CAJ262172 CKF262149:CKF262172 CUB262149:CUB262172 DDX262149:DDX262172 DNT262149:DNT262172 DXP262149:DXP262172 EHL262149:EHL262172 ERH262149:ERH262172 FBD262149:FBD262172 FKZ262149:FKZ262172 FUV262149:FUV262172 GER262149:GER262172 GON262149:GON262172 GYJ262149:GYJ262172 HIF262149:HIF262172 HSB262149:HSB262172 IBX262149:IBX262172 ILT262149:ILT262172 IVP262149:IVP262172 JFL262149:JFL262172 JPH262149:JPH262172 JZD262149:JZD262172 KIZ262149:KIZ262172 KSV262149:KSV262172 LCR262149:LCR262172 LMN262149:LMN262172 LWJ262149:LWJ262172 MGF262149:MGF262172 MQB262149:MQB262172 MZX262149:MZX262172 NJT262149:NJT262172 NTP262149:NTP262172 ODL262149:ODL262172 ONH262149:ONH262172 OXD262149:OXD262172 PGZ262149:PGZ262172 PQV262149:PQV262172 QAR262149:QAR262172 QKN262149:QKN262172 QUJ262149:QUJ262172 REF262149:REF262172 ROB262149:ROB262172 RXX262149:RXX262172 SHT262149:SHT262172 SRP262149:SRP262172 TBL262149:TBL262172 TLH262149:TLH262172 TVD262149:TVD262172 UEZ262149:UEZ262172 UOV262149:UOV262172 UYR262149:UYR262172 VIN262149:VIN262172 VSJ262149:VSJ262172 WCF262149:WCF262172 WMB262149:WMB262172 WVX262149:WVX262172 JL327685:JL327708 TH327685:TH327708 ADD327685:ADD327708 AMZ327685:AMZ327708 AWV327685:AWV327708 BGR327685:BGR327708 BQN327685:BQN327708 CAJ327685:CAJ327708 CKF327685:CKF327708 CUB327685:CUB327708 DDX327685:DDX327708 DNT327685:DNT327708 DXP327685:DXP327708 EHL327685:EHL327708 ERH327685:ERH327708 FBD327685:FBD327708 FKZ327685:FKZ327708 FUV327685:FUV327708 GER327685:GER327708 GON327685:GON327708 GYJ327685:GYJ327708 HIF327685:HIF327708 HSB327685:HSB327708 IBX327685:IBX327708 ILT327685:ILT327708 IVP327685:IVP327708 JFL327685:JFL327708 JPH327685:JPH327708 JZD327685:JZD327708 KIZ327685:KIZ327708 KSV327685:KSV327708 LCR327685:LCR327708 LMN327685:LMN327708 LWJ327685:LWJ327708 MGF327685:MGF327708 MQB327685:MQB327708 MZX327685:MZX327708 NJT327685:NJT327708 NTP327685:NTP327708 ODL327685:ODL327708 ONH327685:ONH327708 OXD327685:OXD327708 PGZ327685:PGZ327708 PQV327685:PQV327708 QAR327685:QAR327708 QKN327685:QKN327708 QUJ327685:QUJ327708 REF327685:REF327708 ROB327685:ROB327708 RXX327685:RXX327708 SHT327685:SHT327708 SRP327685:SRP327708 TBL327685:TBL327708 TLH327685:TLH327708 TVD327685:TVD327708 UEZ327685:UEZ327708 UOV327685:UOV327708 UYR327685:UYR327708 VIN327685:VIN327708 VSJ327685:VSJ327708 WCF327685:WCF327708 WMB327685:WMB327708 WVX327685:WVX327708 JL393221:JL393244 TH393221:TH393244 ADD393221:ADD393244 AMZ393221:AMZ393244 AWV393221:AWV393244 BGR393221:BGR393244 BQN393221:BQN393244 CAJ393221:CAJ393244 CKF393221:CKF393244 CUB393221:CUB393244 DDX393221:DDX393244 DNT393221:DNT393244 DXP393221:DXP393244 EHL393221:EHL393244 ERH393221:ERH393244 FBD393221:FBD393244 FKZ393221:FKZ393244 FUV393221:FUV393244 GER393221:GER393244 GON393221:GON393244 GYJ393221:GYJ393244 HIF393221:HIF393244 HSB393221:HSB393244 IBX393221:IBX393244 ILT393221:ILT393244 IVP393221:IVP393244 JFL393221:JFL393244 JPH393221:JPH393244 JZD393221:JZD393244 KIZ393221:KIZ393244 KSV393221:KSV393244 LCR393221:LCR393244 LMN393221:LMN393244 LWJ393221:LWJ393244 MGF393221:MGF393244 MQB393221:MQB393244 MZX393221:MZX393244 NJT393221:NJT393244 NTP393221:NTP393244 ODL393221:ODL393244 ONH393221:ONH393244 OXD393221:OXD393244 PGZ393221:PGZ393244 PQV393221:PQV393244 QAR393221:QAR393244 QKN393221:QKN393244 QUJ393221:QUJ393244 REF393221:REF393244 ROB393221:ROB393244 RXX393221:RXX393244 SHT393221:SHT393244 SRP393221:SRP393244 TBL393221:TBL393244 TLH393221:TLH393244 TVD393221:TVD393244 UEZ393221:UEZ393244 UOV393221:UOV393244 UYR393221:UYR393244 VIN393221:VIN393244 VSJ393221:VSJ393244 WCF393221:WCF393244 WMB393221:WMB393244 WVX393221:WVX393244 JL458757:JL458780 TH458757:TH458780 ADD458757:ADD458780 AMZ458757:AMZ458780 AWV458757:AWV458780 BGR458757:BGR458780 BQN458757:BQN458780 CAJ458757:CAJ458780 CKF458757:CKF458780 CUB458757:CUB458780 DDX458757:DDX458780 DNT458757:DNT458780 DXP458757:DXP458780 EHL458757:EHL458780 ERH458757:ERH458780 FBD458757:FBD458780 FKZ458757:FKZ458780 FUV458757:FUV458780 GER458757:GER458780 GON458757:GON458780 GYJ458757:GYJ458780 HIF458757:HIF458780 HSB458757:HSB458780 IBX458757:IBX458780 ILT458757:ILT458780 IVP458757:IVP458780 JFL458757:JFL458780 JPH458757:JPH458780 JZD458757:JZD458780 KIZ458757:KIZ458780 KSV458757:KSV458780 LCR458757:LCR458780 LMN458757:LMN458780 LWJ458757:LWJ458780 MGF458757:MGF458780 MQB458757:MQB458780 MZX458757:MZX458780 NJT458757:NJT458780 NTP458757:NTP458780 ODL458757:ODL458780 ONH458757:ONH458780 OXD458757:OXD458780 PGZ458757:PGZ458780 PQV458757:PQV458780 QAR458757:QAR458780 QKN458757:QKN458780 QUJ458757:QUJ458780 REF458757:REF458780 ROB458757:ROB458780 RXX458757:RXX458780 SHT458757:SHT458780 SRP458757:SRP458780 TBL458757:TBL458780 TLH458757:TLH458780 TVD458757:TVD458780 UEZ458757:UEZ458780 UOV458757:UOV458780 UYR458757:UYR458780 VIN458757:VIN458780 VSJ458757:VSJ458780 WCF458757:WCF458780 WMB458757:WMB458780 WVX458757:WVX458780 JL524293:JL524316 TH524293:TH524316 ADD524293:ADD524316 AMZ524293:AMZ524316 AWV524293:AWV524316 BGR524293:BGR524316 BQN524293:BQN524316 CAJ524293:CAJ524316 CKF524293:CKF524316 CUB524293:CUB524316 DDX524293:DDX524316 DNT524293:DNT524316 DXP524293:DXP524316 EHL524293:EHL524316 ERH524293:ERH524316 FBD524293:FBD524316 FKZ524293:FKZ524316 FUV524293:FUV524316 GER524293:GER524316 GON524293:GON524316 GYJ524293:GYJ524316 HIF524293:HIF524316 HSB524293:HSB524316 IBX524293:IBX524316 ILT524293:ILT524316 IVP524293:IVP524316 JFL524293:JFL524316 JPH524293:JPH524316 JZD524293:JZD524316 KIZ524293:KIZ524316 KSV524293:KSV524316 LCR524293:LCR524316 LMN524293:LMN524316 LWJ524293:LWJ524316 MGF524293:MGF524316 MQB524293:MQB524316 MZX524293:MZX524316 NJT524293:NJT524316 NTP524293:NTP524316 ODL524293:ODL524316 ONH524293:ONH524316 OXD524293:OXD524316 PGZ524293:PGZ524316 PQV524293:PQV524316 QAR524293:QAR524316 QKN524293:QKN524316 QUJ524293:QUJ524316 REF524293:REF524316 ROB524293:ROB524316 RXX524293:RXX524316 SHT524293:SHT524316 SRP524293:SRP524316 TBL524293:TBL524316 TLH524293:TLH524316 TVD524293:TVD524316 UEZ524293:UEZ524316 UOV524293:UOV524316 UYR524293:UYR524316 VIN524293:VIN524316 VSJ524293:VSJ524316 WCF524293:WCF524316 WMB524293:WMB524316 WVX524293:WVX524316 JL589829:JL589852 TH589829:TH589852 ADD589829:ADD589852 AMZ589829:AMZ589852 AWV589829:AWV589852 BGR589829:BGR589852 BQN589829:BQN589852 CAJ589829:CAJ589852 CKF589829:CKF589852 CUB589829:CUB589852 DDX589829:DDX589852 DNT589829:DNT589852 DXP589829:DXP589852 EHL589829:EHL589852 ERH589829:ERH589852 FBD589829:FBD589852 FKZ589829:FKZ589852 FUV589829:FUV589852 GER589829:GER589852 GON589829:GON589852 GYJ589829:GYJ589852 HIF589829:HIF589852 HSB589829:HSB589852 IBX589829:IBX589852 ILT589829:ILT589852 IVP589829:IVP589852 JFL589829:JFL589852 JPH589829:JPH589852 JZD589829:JZD589852 KIZ589829:KIZ589852 KSV589829:KSV589852 LCR589829:LCR589852 LMN589829:LMN589852 LWJ589829:LWJ589852 MGF589829:MGF589852 MQB589829:MQB589852 MZX589829:MZX589852 NJT589829:NJT589852 NTP589829:NTP589852 ODL589829:ODL589852 ONH589829:ONH589852 OXD589829:OXD589852 PGZ589829:PGZ589852 PQV589829:PQV589852 QAR589829:QAR589852 QKN589829:QKN589852 QUJ589829:QUJ589852 REF589829:REF589852 ROB589829:ROB589852 RXX589829:RXX589852 SHT589829:SHT589852 SRP589829:SRP589852 TBL589829:TBL589852 TLH589829:TLH589852 TVD589829:TVD589852 UEZ589829:UEZ589852 UOV589829:UOV589852 UYR589829:UYR589852 VIN589829:VIN589852 VSJ589829:VSJ589852 WCF589829:WCF589852 WMB589829:WMB589852 WVX589829:WVX589852 JL655365:JL655388 TH655365:TH655388 ADD655365:ADD655388 AMZ655365:AMZ655388 AWV655365:AWV655388 BGR655365:BGR655388 BQN655365:BQN655388 CAJ655365:CAJ655388 CKF655365:CKF655388 CUB655365:CUB655388 DDX655365:DDX655388 DNT655365:DNT655388 DXP655365:DXP655388 EHL655365:EHL655388 ERH655365:ERH655388 FBD655365:FBD655388 FKZ655365:FKZ655388 FUV655365:FUV655388 GER655365:GER655388 GON655365:GON655388 GYJ655365:GYJ655388 HIF655365:HIF655388 HSB655365:HSB655388 IBX655365:IBX655388 ILT655365:ILT655388 IVP655365:IVP655388 JFL655365:JFL655388 JPH655365:JPH655388 JZD655365:JZD655388 KIZ655365:KIZ655388 KSV655365:KSV655388 LCR655365:LCR655388 LMN655365:LMN655388 LWJ655365:LWJ655388 MGF655365:MGF655388 MQB655365:MQB655388 MZX655365:MZX655388 NJT655365:NJT655388 NTP655365:NTP655388 ODL655365:ODL655388 ONH655365:ONH655388 OXD655365:OXD655388 PGZ655365:PGZ655388 PQV655365:PQV655388 QAR655365:QAR655388 QKN655365:QKN655388 QUJ655365:QUJ655388 REF655365:REF655388 ROB655365:ROB655388 RXX655365:RXX655388 SHT655365:SHT655388 SRP655365:SRP655388 TBL655365:TBL655388 TLH655365:TLH655388 TVD655365:TVD655388 UEZ655365:UEZ655388 UOV655365:UOV655388 UYR655365:UYR655388 VIN655365:VIN655388 VSJ655365:VSJ655388 WCF655365:WCF655388 WMB655365:WMB655388 WVX655365:WVX655388 JL720901:JL720924 TH720901:TH720924 ADD720901:ADD720924 AMZ720901:AMZ720924 AWV720901:AWV720924 BGR720901:BGR720924 BQN720901:BQN720924 CAJ720901:CAJ720924 CKF720901:CKF720924 CUB720901:CUB720924 DDX720901:DDX720924 DNT720901:DNT720924 DXP720901:DXP720924 EHL720901:EHL720924 ERH720901:ERH720924 FBD720901:FBD720924 FKZ720901:FKZ720924 FUV720901:FUV720924 GER720901:GER720924 GON720901:GON720924 GYJ720901:GYJ720924 HIF720901:HIF720924 HSB720901:HSB720924 IBX720901:IBX720924 ILT720901:ILT720924 IVP720901:IVP720924 JFL720901:JFL720924 JPH720901:JPH720924 JZD720901:JZD720924 KIZ720901:KIZ720924 KSV720901:KSV720924 LCR720901:LCR720924 LMN720901:LMN720924 LWJ720901:LWJ720924 MGF720901:MGF720924 MQB720901:MQB720924 MZX720901:MZX720924 NJT720901:NJT720924 NTP720901:NTP720924 ODL720901:ODL720924 ONH720901:ONH720924 OXD720901:OXD720924 PGZ720901:PGZ720924 PQV720901:PQV720924 QAR720901:QAR720924 QKN720901:QKN720924 QUJ720901:QUJ720924 REF720901:REF720924 ROB720901:ROB720924 RXX720901:RXX720924 SHT720901:SHT720924 SRP720901:SRP720924 TBL720901:TBL720924 TLH720901:TLH720924 TVD720901:TVD720924 UEZ720901:UEZ720924 UOV720901:UOV720924 UYR720901:UYR720924 VIN720901:VIN720924 VSJ720901:VSJ720924 WCF720901:WCF720924 WMB720901:WMB720924 WVX720901:WVX720924 JL786437:JL786460 TH786437:TH786460 ADD786437:ADD786460 AMZ786437:AMZ786460 AWV786437:AWV786460 BGR786437:BGR786460 BQN786437:BQN786460 CAJ786437:CAJ786460 CKF786437:CKF786460 CUB786437:CUB786460 DDX786437:DDX786460 DNT786437:DNT786460 DXP786437:DXP786460 EHL786437:EHL786460 ERH786437:ERH786460 FBD786437:FBD786460 FKZ786437:FKZ786460 FUV786437:FUV786460 GER786437:GER786460 GON786437:GON786460 GYJ786437:GYJ786460 HIF786437:HIF786460 HSB786437:HSB786460 IBX786437:IBX786460 ILT786437:ILT786460 IVP786437:IVP786460 JFL786437:JFL786460 JPH786437:JPH786460 JZD786437:JZD786460 KIZ786437:KIZ786460 KSV786437:KSV786460 LCR786437:LCR786460 LMN786437:LMN786460 LWJ786437:LWJ786460 MGF786437:MGF786460 MQB786437:MQB786460 MZX786437:MZX786460 NJT786437:NJT786460 NTP786437:NTP786460 ODL786437:ODL786460 ONH786437:ONH786460 OXD786437:OXD786460 PGZ786437:PGZ786460 PQV786437:PQV786460 QAR786437:QAR786460 QKN786437:QKN786460 QUJ786437:QUJ786460 REF786437:REF786460 ROB786437:ROB786460 RXX786437:RXX786460 SHT786437:SHT786460 SRP786437:SRP786460 TBL786437:TBL786460 TLH786437:TLH786460 TVD786437:TVD786460 UEZ786437:UEZ786460 UOV786437:UOV786460 UYR786437:UYR786460 VIN786437:VIN786460 VSJ786437:VSJ786460 WCF786437:WCF786460 WMB786437:WMB786460 WVX786437:WVX786460 JL851973:JL851996 TH851973:TH851996 ADD851973:ADD851996 AMZ851973:AMZ851996 AWV851973:AWV851996 BGR851973:BGR851996 BQN851973:BQN851996 CAJ851973:CAJ851996 CKF851973:CKF851996 CUB851973:CUB851996 DDX851973:DDX851996 DNT851973:DNT851996 DXP851973:DXP851996 EHL851973:EHL851996 ERH851973:ERH851996 FBD851973:FBD851996 FKZ851973:FKZ851996 FUV851973:FUV851996 GER851973:GER851996 GON851973:GON851996 GYJ851973:GYJ851996 HIF851973:HIF851996 HSB851973:HSB851996 IBX851973:IBX851996 ILT851973:ILT851996 IVP851973:IVP851996 JFL851973:JFL851996 JPH851973:JPH851996 JZD851973:JZD851996 KIZ851973:KIZ851996 KSV851973:KSV851996 LCR851973:LCR851996 LMN851973:LMN851996 LWJ851973:LWJ851996 MGF851973:MGF851996 MQB851973:MQB851996 MZX851973:MZX851996 NJT851973:NJT851996 NTP851973:NTP851996 ODL851973:ODL851996 ONH851973:ONH851996 OXD851973:OXD851996 PGZ851973:PGZ851996 PQV851973:PQV851996 QAR851973:QAR851996 QKN851973:QKN851996 QUJ851973:QUJ851996 REF851973:REF851996 ROB851973:ROB851996 RXX851973:RXX851996 SHT851973:SHT851996 SRP851973:SRP851996 TBL851973:TBL851996 TLH851973:TLH851996 TVD851973:TVD851996 UEZ851973:UEZ851996 UOV851973:UOV851996 UYR851973:UYR851996 VIN851973:VIN851996 VSJ851973:VSJ851996 WCF851973:WCF851996 WMB851973:WMB851996 WVX851973:WVX851996 JL917509:JL917532 TH917509:TH917532 ADD917509:ADD917532 AMZ917509:AMZ917532 AWV917509:AWV917532 BGR917509:BGR917532 BQN917509:BQN917532 CAJ917509:CAJ917532 CKF917509:CKF917532 CUB917509:CUB917532 DDX917509:DDX917532 DNT917509:DNT917532 DXP917509:DXP917532 EHL917509:EHL917532 ERH917509:ERH917532 FBD917509:FBD917532 FKZ917509:FKZ917532 FUV917509:FUV917532 GER917509:GER917532 GON917509:GON917532 GYJ917509:GYJ917532 HIF917509:HIF917532 HSB917509:HSB917532 IBX917509:IBX917532 ILT917509:ILT917532 IVP917509:IVP917532 JFL917509:JFL917532 JPH917509:JPH917532 JZD917509:JZD917532 KIZ917509:KIZ917532 KSV917509:KSV917532 LCR917509:LCR917532 LMN917509:LMN917532 LWJ917509:LWJ917532 MGF917509:MGF917532 MQB917509:MQB917532 MZX917509:MZX917532 NJT917509:NJT917532 NTP917509:NTP917532 ODL917509:ODL917532 ONH917509:ONH917532 OXD917509:OXD917532 PGZ917509:PGZ917532 PQV917509:PQV917532 QAR917509:QAR917532 QKN917509:QKN917532 QUJ917509:QUJ917532 REF917509:REF917532 ROB917509:ROB917532 RXX917509:RXX917532 SHT917509:SHT917532 SRP917509:SRP917532 TBL917509:TBL917532 TLH917509:TLH917532 TVD917509:TVD917532 UEZ917509:UEZ917532 UOV917509:UOV917532 UYR917509:UYR917532 VIN917509:VIN917532 VSJ917509:VSJ917532 WCF917509:WCF917532 WMB917509:WMB917532 WVX917509:WVX917532 JL983045:JL983068 TH983045:TH983068 ADD983045:ADD983068 AMZ983045:AMZ983068 AWV983045:AWV983068 BGR983045:BGR983068 BQN983045:BQN983068 CAJ983045:CAJ983068 CKF983045:CKF983068 CUB983045:CUB983068 DDX983045:DDX983068 DNT983045:DNT983068 DXP983045:DXP983068 EHL983045:EHL983068 ERH983045:ERH983068 FBD983045:FBD983068 FKZ983045:FKZ983068 FUV983045:FUV983068 GER983045:GER983068 GON983045:GON983068 GYJ983045:GYJ983068 HIF983045:HIF983068 HSB983045:HSB983068 IBX983045:IBX983068 ILT983045:ILT983068 IVP983045:IVP983068 JFL983045:JFL983068 JPH983045:JPH983068 JZD983045:JZD983068 KIZ983045:KIZ983068 KSV983045:KSV983068 LCR983045:LCR983068 LMN983045:LMN983068 LWJ983045:LWJ983068 MGF983045:MGF983068 MQB983045:MQB983068 MZX983045:MZX983068 NJT983045:NJT983068 NTP983045:NTP983068 ODL983045:ODL983068 ONH983045:ONH983068 OXD983045:OXD983068 PGZ983045:PGZ983068 PQV983045:PQV983068 QAR983045:QAR983068 QKN983045:QKN983068 QUJ983045:QUJ983068 REF983045:REF983068 ROB983045:ROB983068 RXX983045:RXX983068 SHT983045:SHT983068 SRP983045:SRP983068 TBL983045:TBL983068 TLH983045:TLH983068 TVD983045:TVD983068 UEZ983045:UEZ983068 UOV983045:UOV983068 UYR983045:UYR983068 VIN983045:VIN983068 VSJ983045:VSJ983068 WCF983045:WCF983068 WMB983045:WMB983068 WVI11:WVI25 WLM11:WLM25 WBQ11:WBQ25 VRU11:VRU25 VHY11:VHY25 UYC11:UYC25 UOG11:UOG25 UEK11:UEK25 TUO11:TUO25 TKS11:TKS25 TAW11:TAW25 SRA11:SRA25 SHE11:SHE25 RXI11:RXI25 RNM11:RNM25 RDQ11:RDQ25 QTU11:QTU25 QJY11:QJY25 QAC11:QAC25 PQG11:PQG25 PGK11:PGK25 OWO11:OWO25 OMS11:OMS25 OCW11:OCW25 NTA11:NTA25 NJE11:NJE25 MZI11:MZI25 MPM11:MPM25 MFQ11:MFQ25 LVU11:LVU25 LLY11:LLY25 LCC11:LCC25 KSG11:KSG25 KIK11:KIK25 JYO11:JYO25 JOS11:JOS25 JEW11:JEW25 IVA11:IVA25 ILE11:ILE25 IBI11:IBI25 HRM11:HRM25 HHQ11:HHQ25 GXU11:GXU25 GNY11:GNY25 GEC11:GEC25 FUG11:FUG25 FKK11:FKK25 FAO11:FAO25 EQS11:EQS25 EGW11:EGW25 DXA11:DXA25 DNE11:DNE25 DDI11:DDI25 CTM11:CTM25 CJQ11:CJQ25 BZU11:BZU25 BPY11:BPY25 BGC11:BGC25 AWG11:AWG25 AMK11:AMK25 ACO11:ACO25 SS11:SS25 IW11:IW25 WVG11:WVG25 WLK11:WLK25 WBO11:WBO25 VRS11:VRS25 VHW11:VHW25 UYA11:UYA25 UOE11:UOE25 UEI11:UEI25 TUM11:TUM25 TKQ11:TKQ25 TAU11:TAU25 SQY11:SQY25 SHC11:SHC25 RXG11:RXG25 RNK11:RNK25 RDO11:RDO25 QTS11:QTS25 QJW11:QJW25 QAA11:QAA25 PQE11:PQE25 PGI11:PGI25 OWM11:OWM25 OMQ11:OMQ25 OCU11:OCU25 NSY11:NSY25 NJC11:NJC25 MZG11:MZG25 MPK11:MPK25 MFO11:MFO25 LVS11:LVS25 LLW11:LLW25 LCA11:LCA25 KSE11:KSE25 KII11:KII25 JYM11:JYM25 JOQ11:JOQ25 JEU11:JEU25 IUY11:IUY25 ILC11:ILC25 IBG11:IBG25 HRK11:HRK25 HHO11:HHO25 GXS11:GXS25 GNW11:GNW25 GEA11:GEA25 FUE11:FUE25 FKI11:FKI25 FAM11:FAM25 EQQ11:EQQ25 EGU11:EGU25 DWY11:DWY25 DNC11:DNC25 DDG11:DDG25 CTK11:CTK25 CJO11:CJO25 BZS11:BZS25 BPW11:BPW25 BGA11:BGA25 AWE11:AWE25 AMI11:AMI25 ACM11:ACM25 SQ11:SQ25 IU11:IU25 W11:W29 U11:U29" xr:uid="{00000000-0002-0000-0300-000000000000}">
      <formula1>"1,2,3,4"</formula1>
    </dataValidation>
    <dataValidation type="list" allowBlank="1" showInputMessage="1" showErrorMessage="1" sqref="T65541:T65564 JI65541:JI65564 TE65541:TE65564 ADA65541:ADA65564 AMW65541:AMW65564 AWS65541:AWS65564 BGO65541:BGO65564 BQK65541:BQK65564 CAG65541:CAG65564 CKC65541:CKC65564 CTY65541:CTY65564 DDU65541:DDU65564 DNQ65541:DNQ65564 DXM65541:DXM65564 EHI65541:EHI65564 ERE65541:ERE65564 FBA65541:FBA65564 FKW65541:FKW65564 FUS65541:FUS65564 GEO65541:GEO65564 GOK65541:GOK65564 GYG65541:GYG65564 HIC65541:HIC65564 HRY65541:HRY65564 IBU65541:IBU65564 ILQ65541:ILQ65564 IVM65541:IVM65564 JFI65541:JFI65564 JPE65541:JPE65564 JZA65541:JZA65564 KIW65541:KIW65564 KSS65541:KSS65564 LCO65541:LCO65564 LMK65541:LMK65564 LWG65541:LWG65564 MGC65541:MGC65564 MPY65541:MPY65564 MZU65541:MZU65564 NJQ65541:NJQ65564 NTM65541:NTM65564 ODI65541:ODI65564 ONE65541:ONE65564 OXA65541:OXA65564 PGW65541:PGW65564 PQS65541:PQS65564 QAO65541:QAO65564 QKK65541:QKK65564 QUG65541:QUG65564 REC65541:REC65564 RNY65541:RNY65564 RXU65541:RXU65564 SHQ65541:SHQ65564 SRM65541:SRM65564 TBI65541:TBI65564 TLE65541:TLE65564 TVA65541:TVA65564 UEW65541:UEW65564 UOS65541:UOS65564 UYO65541:UYO65564 VIK65541:VIK65564 VSG65541:VSG65564 WCC65541:WCC65564 WLY65541:WLY65564 WVU65541:WVU65564 T131077:T131100 JI131077:JI131100 TE131077:TE131100 ADA131077:ADA131100 AMW131077:AMW131100 AWS131077:AWS131100 BGO131077:BGO131100 BQK131077:BQK131100 CAG131077:CAG131100 CKC131077:CKC131100 CTY131077:CTY131100 DDU131077:DDU131100 DNQ131077:DNQ131100 DXM131077:DXM131100 EHI131077:EHI131100 ERE131077:ERE131100 FBA131077:FBA131100 FKW131077:FKW131100 FUS131077:FUS131100 GEO131077:GEO131100 GOK131077:GOK131100 GYG131077:GYG131100 HIC131077:HIC131100 HRY131077:HRY131100 IBU131077:IBU131100 ILQ131077:ILQ131100 IVM131077:IVM131100 JFI131077:JFI131100 JPE131077:JPE131100 JZA131077:JZA131100 KIW131077:KIW131100 KSS131077:KSS131100 LCO131077:LCO131100 LMK131077:LMK131100 LWG131077:LWG131100 MGC131077:MGC131100 MPY131077:MPY131100 MZU131077:MZU131100 NJQ131077:NJQ131100 NTM131077:NTM131100 ODI131077:ODI131100 ONE131077:ONE131100 OXA131077:OXA131100 PGW131077:PGW131100 PQS131077:PQS131100 QAO131077:QAO131100 QKK131077:QKK131100 QUG131077:QUG131100 REC131077:REC131100 RNY131077:RNY131100 RXU131077:RXU131100 SHQ131077:SHQ131100 SRM131077:SRM131100 TBI131077:TBI131100 TLE131077:TLE131100 TVA131077:TVA131100 UEW131077:UEW131100 UOS131077:UOS131100 UYO131077:UYO131100 VIK131077:VIK131100 VSG131077:VSG131100 WCC131077:WCC131100 WLY131077:WLY131100 WVU131077:WVU131100 T196613:T196636 JI196613:JI196636 TE196613:TE196636 ADA196613:ADA196636 AMW196613:AMW196636 AWS196613:AWS196636 BGO196613:BGO196636 BQK196613:BQK196636 CAG196613:CAG196636 CKC196613:CKC196636 CTY196613:CTY196636 DDU196613:DDU196636 DNQ196613:DNQ196636 DXM196613:DXM196636 EHI196613:EHI196636 ERE196613:ERE196636 FBA196613:FBA196636 FKW196613:FKW196636 FUS196613:FUS196636 GEO196613:GEO196636 GOK196613:GOK196636 GYG196613:GYG196636 HIC196613:HIC196636 HRY196613:HRY196636 IBU196613:IBU196636 ILQ196613:ILQ196636 IVM196613:IVM196636 JFI196613:JFI196636 JPE196613:JPE196636 JZA196613:JZA196636 KIW196613:KIW196636 KSS196613:KSS196636 LCO196613:LCO196636 LMK196613:LMK196636 LWG196613:LWG196636 MGC196613:MGC196636 MPY196613:MPY196636 MZU196613:MZU196636 NJQ196613:NJQ196636 NTM196613:NTM196636 ODI196613:ODI196636 ONE196613:ONE196636 OXA196613:OXA196636 PGW196613:PGW196636 PQS196613:PQS196636 QAO196613:QAO196636 QKK196613:QKK196636 QUG196613:QUG196636 REC196613:REC196636 RNY196613:RNY196636 RXU196613:RXU196636 SHQ196613:SHQ196636 SRM196613:SRM196636 TBI196613:TBI196636 TLE196613:TLE196636 TVA196613:TVA196636 UEW196613:UEW196636 UOS196613:UOS196636 UYO196613:UYO196636 VIK196613:VIK196636 VSG196613:VSG196636 WCC196613:WCC196636 WLY196613:WLY196636 WVU196613:WVU196636 T262149:T262172 JI262149:JI262172 TE262149:TE262172 ADA262149:ADA262172 AMW262149:AMW262172 AWS262149:AWS262172 BGO262149:BGO262172 BQK262149:BQK262172 CAG262149:CAG262172 CKC262149:CKC262172 CTY262149:CTY262172 DDU262149:DDU262172 DNQ262149:DNQ262172 DXM262149:DXM262172 EHI262149:EHI262172 ERE262149:ERE262172 FBA262149:FBA262172 FKW262149:FKW262172 FUS262149:FUS262172 GEO262149:GEO262172 GOK262149:GOK262172 GYG262149:GYG262172 HIC262149:HIC262172 HRY262149:HRY262172 IBU262149:IBU262172 ILQ262149:ILQ262172 IVM262149:IVM262172 JFI262149:JFI262172 JPE262149:JPE262172 JZA262149:JZA262172 KIW262149:KIW262172 KSS262149:KSS262172 LCO262149:LCO262172 LMK262149:LMK262172 LWG262149:LWG262172 MGC262149:MGC262172 MPY262149:MPY262172 MZU262149:MZU262172 NJQ262149:NJQ262172 NTM262149:NTM262172 ODI262149:ODI262172 ONE262149:ONE262172 OXA262149:OXA262172 PGW262149:PGW262172 PQS262149:PQS262172 QAO262149:QAO262172 QKK262149:QKK262172 QUG262149:QUG262172 REC262149:REC262172 RNY262149:RNY262172 RXU262149:RXU262172 SHQ262149:SHQ262172 SRM262149:SRM262172 TBI262149:TBI262172 TLE262149:TLE262172 TVA262149:TVA262172 UEW262149:UEW262172 UOS262149:UOS262172 UYO262149:UYO262172 VIK262149:VIK262172 VSG262149:VSG262172 WCC262149:WCC262172 WLY262149:WLY262172 WVU262149:WVU262172 T327685:T327708 JI327685:JI327708 TE327685:TE327708 ADA327685:ADA327708 AMW327685:AMW327708 AWS327685:AWS327708 BGO327685:BGO327708 BQK327685:BQK327708 CAG327685:CAG327708 CKC327685:CKC327708 CTY327685:CTY327708 DDU327685:DDU327708 DNQ327685:DNQ327708 DXM327685:DXM327708 EHI327685:EHI327708 ERE327685:ERE327708 FBA327685:FBA327708 FKW327685:FKW327708 FUS327685:FUS327708 GEO327685:GEO327708 GOK327685:GOK327708 GYG327685:GYG327708 HIC327685:HIC327708 HRY327685:HRY327708 IBU327685:IBU327708 ILQ327685:ILQ327708 IVM327685:IVM327708 JFI327685:JFI327708 JPE327685:JPE327708 JZA327685:JZA327708 KIW327685:KIW327708 KSS327685:KSS327708 LCO327685:LCO327708 LMK327685:LMK327708 LWG327685:LWG327708 MGC327685:MGC327708 MPY327685:MPY327708 MZU327685:MZU327708 NJQ327685:NJQ327708 NTM327685:NTM327708 ODI327685:ODI327708 ONE327685:ONE327708 OXA327685:OXA327708 PGW327685:PGW327708 PQS327685:PQS327708 QAO327685:QAO327708 QKK327685:QKK327708 QUG327685:QUG327708 REC327685:REC327708 RNY327685:RNY327708 RXU327685:RXU327708 SHQ327685:SHQ327708 SRM327685:SRM327708 TBI327685:TBI327708 TLE327685:TLE327708 TVA327685:TVA327708 UEW327685:UEW327708 UOS327685:UOS327708 UYO327685:UYO327708 VIK327685:VIK327708 VSG327685:VSG327708 WCC327685:WCC327708 WLY327685:WLY327708 WVU327685:WVU327708 T393221:T393244 JI393221:JI393244 TE393221:TE393244 ADA393221:ADA393244 AMW393221:AMW393244 AWS393221:AWS393244 BGO393221:BGO393244 BQK393221:BQK393244 CAG393221:CAG393244 CKC393221:CKC393244 CTY393221:CTY393244 DDU393221:DDU393244 DNQ393221:DNQ393244 DXM393221:DXM393244 EHI393221:EHI393244 ERE393221:ERE393244 FBA393221:FBA393244 FKW393221:FKW393244 FUS393221:FUS393244 GEO393221:GEO393244 GOK393221:GOK393244 GYG393221:GYG393244 HIC393221:HIC393244 HRY393221:HRY393244 IBU393221:IBU393244 ILQ393221:ILQ393244 IVM393221:IVM393244 JFI393221:JFI393244 JPE393221:JPE393244 JZA393221:JZA393244 KIW393221:KIW393244 KSS393221:KSS393244 LCO393221:LCO393244 LMK393221:LMK393244 LWG393221:LWG393244 MGC393221:MGC393244 MPY393221:MPY393244 MZU393221:MZU393244 NJQ393221:NJQ393244 NTM393221:NTM393244 ODI393221:ODI393244 ONE393221:ONE393244 OXA393221:OXA393244 PGW393221:PGW393244 PQS393221:PQS393244 QAO393221:QAO393244 QKK393221:QKK393244 QUG393221:QUG393244 REC393221:REC393244 RNY393221:RNY393244 RXU393221:RXU393244 SHQ393221:SHQ393244 SRM393221:SRM393244 TBI393221:TBI393244 TLE393221:TLE393244 TVA393221:TVA393244 UEW393221:UEW393244 UOS393221:UOS393244 UYO393221:UYO393244 VIK393221:VIK393244 VSG393221:VSG393244 WCC393221:WCC393244 WLY393221:WLY393244 WVU393221:WVU393244 T458757:T458780 JI458757:JI458780 TE458757:TE458780 ADA458757:ADA458780 AMW458757:AMW458780 AWS458757:AWS458780 BGO458757:BGO458780 BQK458757:BQK458780 CAG458757:CAG458780 CKC458757:CKC458780 CTY458757:CTY458780 DDU458757:DDU458780 DNQ458757:DNQ458780 DXM458757:DXM458780 EHI458757:EHI458780 ERE458757:ERE458780 FBA458757:FBA458780 FKW458757:FKW458780 FUS458757:FUS458780 GEO458757:GEO458780 GOK458757:GOK458780 GYG458757:GYG458780 HIC458757:HIC458780 HRY458757:HRY458780 IBU458757:IBU458780 ILQ458757:ILQ458780 IVM458757:IVM458780 JFI458757:JFI458780 JPE458757:JPE458780 JZA458757:JZA458780 KIW458757:KIW458780 KSS458757:KSS458780 LCO458757:LCO458780 LMK458757:LMK458780 LWG458757:LWG458780 MGC458757:MGC458780 MPY458757:MPY458780 MZU458757:MZU458780 NJQ458757:NJQ458780 NTM458757:NTM458780 ODI458757:ODI458780 ONE458757:ONE458780 OXA458757:OXA458780 PGW458757:PGW458780 PQS458757:PQS458780 QAO458757:QAO458780 QKK458757:QKK458780 QUG458757:QUG458780 REC458757:REC458780 RNY458757:RNY458780 RXU458757:RXU458780 SHQ458757:SHQ458780 SRM458757:SRM458780 TBI458757:TBI458780 TLE458757:TLE458780 TVA458757:TVA458780 UEW458757:UEW458780 UOS458757:UOS458780 UYO458757:UYO458780 VIK458757:VIK458780 VSG458757:VSG458780 WCC458757:WCC458780 WLY458757:WLY458780 WVU458757:WVU458780 T524293:T524316 JI524293:JI524316 TE524293:TE524316 ADA524293:ADA524316 AMW524293:AMW524316 AWS524293:AWS524316 BGO524293:BGO524316 BQK524293:BQK524316 CAG524293:CAG524316 CKC524293:CKC524316 CTY524293:CTY524316 DDU524293:DDU524316 DNQ524293:DNQ524316 DXM524293:DXM524316 EHI524293:EHI524316 ERE524293:ERE524316 FBA524293:FBA524316 FKW524293:FKW524316 FUS524293:FUS524316 GEO524293:GEO524316 GOK524293:GOK524316 GYG524293:GYG524316 HIC524293:HIC524316 HRY524293:HRY524316 IBU524293:IBU524316 ILQ524293:ILQ524316 IVM524293:IVM524316 JFI524293:JFI524316 JPE524293:JPE524316 JZA524293:JZA524316 KIW524293:KIW524316 KSS524293:KSS524316 LCO524293:LCO524316 LMK524293:LMK524316 LWG524293:LWG524316 MGC524293:MGC524316 MPY524293:MPY524316 MZU524293:MZU524316 NJQ524293:NJQ524316 NTM524293:NTM524316 ODI524293:ODI524316 ONE524293:ONE524316 OXA524293:OXA524316 PGW524293:PGW524316 PQS524293:PQS524316 QAO524293:QAO524316 QKK524293:QKK524316 QUG524293:QUG524316 REC524293:REC524316 RNY524293:RNY524316 RXU524293:RXU524316 SHQ524293:SHQ524316 SRM524293:SRM524316 TBI524293:TBI524316 TLE524293:TLE524316 TVA524293:TVA524316 UEW524293:UEW524316 UOS524293:UOS524316 UYO524293:UYO524316 VIK524293:VIK524316 VSG524293:VSG524316 WCC524293:WCC524316 WLY524293:WLY524316 WVU524293:WVU524316 T589829:T589852 JI589829:JI589852 TE589829:TE589852 ADA589829:ADA589852 AMW589829:AMW589852 AWS589829:AWS589852 BGO589829:BGO589852 BQK589829:BQK589852 CAG589829:CAG589852 CKC589829:CKC589852 CTY589829:CTY589852 DDU589829:DDU589852 DNQ589829:DNQ589852 DXM589829:DXM589852 EHI589829:EHI589852 ERE589829:ERE589852 FBA589829:FBA589852 FKW589829:FKW589852 FUS589829:FUS589852 GEO589829:GEO589852 GOK589829:GOK589852 GYG589829:GYG589852 HIC589829:HIC589852 HRY589829:HRY589852 IBU589829:IBU589852 ILQ589829:ILQ589852 IVM589829:IVM589852 JFI589829:JFI589852 JPE589829:JPE589852 JZA589829:JZA589852 KIW589829:KIW589852 KSS589829:KSS589852 LCO589829:LCO589852 LMK589829:LMK589852 LWG589829:LWG589852 MGC589829:MGC589852 MPY589829:MPY589852 MZU589829:MZU589852 NJQ589829:NJQ589852 NTM589829:NTM589852 ODI589829:ODI589852 ONE589829:ONE589852 OXA589829:OXA589852 PGW589829:PGW589852 PQS589829:PQS589852 QAO589829:QAO589852 QKK589829:QKK589852 QUG589829:QUG589852 REC589829:REC589852 RNY589829:RNY589852 RXU589829:RXU589852 SHQ589829:SHQ589852 SRM589829:SRM589852 TBI589829:TBI589852 TLE589829:TLE589852 TVA589829:TVA589852 UEW589829:UEW589852 UOS589829:UOS589852 UYO589829:UYO589852 VIK589829:VIK589852 VSG589829:VSG589852 WCC589829:WCC589852 WLY589829:WLY589852 WVU589829:WVU589852 T655365:T655388 JI655365:JI655388 TE655365:TE655388 ADA655365:ADA655388 AMW655365:AMW655388 AWS655365:AWS655388 BGO655365:BGO655388 BQK655365:BQK655388 CAG655365:CAG655388 CKC655365:CKC655388 CTY655365:CTY655388 DDU655365:DDU655388 DNQ655365:DNQ655388 DXM655365:DXM655388 EHI655365:EHI655388 ERE655365:ERE655388 FBA655365:FBA655388 FKW655365:FKW655388 FUS655365:FUS655388 GEO655365:GEO655388 GOK655365:GOK655388 GYG655365:GYG655388 HIC655365:HIC655388 HRY655365:HRY655388 IBU655365:IBU655388 ILQ655365:ILQ655388 IVM655365:IVM655388 JFI655365:JFI655388 JPE655365:JPE655388 JZA655365:JZA655388 KIW655365:KIW655388 KSS655365:KSS655388 LCO655365:LCO655388 LMK655365:LMK655388 LWG655365:LWG655388 MGC655365:MGC655388 MPY655365:MPY655388 MZU655365:MZU655388 NJQ655365:NJQ655388 NTM655365:NTM655388 ODI655365:ODI655388 ONE655365:ONE655388 OXA655365:OXA655388 PGW655365:PGW655388 PQS655365:PQS655388 QAO655365:QAO655388 QKK655365:QKK655388 QUG655365:QUG655388 REC655365:REC655388 RNY655365:RNY655388 RXU655365:RXU655388 SHQ655365:SHQ655388 SRM655365:SRM655388 TBI655365:TBI655388 TLE655365:TLE655388 TVA655365:TVA655388 UEW655365:UEW655388 UOS655365:UOS655388 UYO655365:UYO655388 VIK655365:VIK655388 VSG655365:VSG655388 WCC655365:WCC655388 WLY655365:WLY655388 WVU655365:WVU655388 T720901:T720924 JI720901:JI720924 TE720901:TE720924 ADA720901:ADA720924 AMW720901:AMW720924 AWS720901:AWS720924 BGO720901:BGO720924 BQK720901:BQK720924 CAG720901:CAG720924 CKC720901:CKC720924 CTY720901:CTY720924 DDU720901:DDU720924 DNQ720901:DNQ720924 DXM720901:DXM720924 EHI720901:EHI720924 ERE720901:ERE720924 FBA720901:FBA720924 FKW720901:FKW720924 FUS720901:FUS720924 GEO720901:GEO720924 GOK720901:GOK720924 GYG720901:GYG720924 HIC720901:HIC720924 HRY720901:HRY720924 IBU720901:IBU720924 ILQ720901:ILQ720924 IVM720901:IVM720924 JFI720901:JFI720924 JPE720901:JPE720924 JZA720901:JZA720924 KIW720901:KIW720924 KSS720901:KSS720924 LCO720901:LCO720924 LMK720901:LMK720924 LWG720901:LWG720924 MGC720901:MGC720924 MPY720901:MPY720924 MZU720901:MZU720924 NJQ720901:NJQ720924 NTM720901:NTM720924 ODI720901:ODI720924 ONE720901:ONE720924 OXA720901:OXA720924 PGW720901:PGW720924 PQS720901:PQS720924 QAO720901:QAO720924 QKK720901:QKK720924 QUG720901:QUG720924 REC720901:REC720924 RNY720901:RNY720924 RXU720901:RXU720924 SHQ720901:SHQ720924 SRM720901:SRM720924 TBI720901:TBI720924 TLE720901:TLE720924 TVA720901:TVA720924 UEW720901:UEW720924 UOS720901:UOS720924 UYO720901:UYO720924 VIK720901:VIK720924 VSG720901:VSG720924 WCC720901:WCC720924 WLY720901:WLY720924 WVU720901:WVU720924 T786437:T786460 JI786437:JI786460 TE786437:TE786460 ADA786437:ADA786460 AMW786437:AMW786460 AWS786437:AWS786460 BGO786437:BGO786460 BQK786437:BQK786460 CAG786437:CAG786460 CKC786437:CKC786460 CTY786437:CTY786460 DDU786437:DDU786460 DNQ786437:DNQ786460 DXM786437:DXM786460 EHI786437:EHI786460 ERE786437:ERE786460 FBA786437:FBA786460 FKW786437:FKW786460 FUS786437:FUS786460 GEO786437:GEO786460 GOK786437:GOK786460 GYG786437:GYG786460 HIC786437:HIC786460 HRY786437:HRY786460 IBU786437:IBU786460 ILQ786437:ILQ786460 IVM786437:IVM786460 JFI786437:JFI786460 JPE786437:JPE786460 JZA786437:JZA786460 KIW786437:KIW786460 KSS786437:KSS786460 LCO786437:LCO786460 LMK786437:LMK786460 LWG786437:LWG786460 MGC786437:MGC786460 MPY786437:MPY786460 MZU786437:MZU786460 NJQ786437:NJQ786460 NTM786437:NTM786460 ODI786437:ODI786460 ONE786437:ONE786460 OXA786437:OXA786460 PGW786437:PGW786460 PQS786437:PQS786460 QAO786437:QAO786460 QKK786437:QKK786460 QUG786437:QUG786460 REC786437:REC786460 RNY786437:RNY786460 RXU786437:RXU786460 SHQ786437:SHQ786460 SRM786437:SRM786460 TBI786437:TBI786460 TLE786437:TLE786460 TVA786437:TVA786460 UEW786437:UEW786460 UOS786437:UOS786460 UYO786437:UYO786460 VIK786437:VIK786460 VSG786437:VSG786460 WCC786437:WCC786460 WLY786437:WLY786460 WVU786437:WVU786460 T851973:T851996 JI851973:JI851996 TE851973:TE851996 ADA851973:ADA851996 AMW851973:AMW851996 AWS851973:AWS851996 BGO851973:BGO851996 BQK851973:BQK851996 CAG851973:CAG851996 CKC851973:CKC851996 CTY851973:CTY851996 DDU851973:DDU851996 DNQ851973:DNQ851996 DXM851973:DXM851996 EHI851973:EHI851996 ERE851973:ERE851996 FBA851973:FBA851996 FKW851973:FKW851996 FUS851973:FUS851996 GEO851973:GEO851996 GOK851973:GOK851996 GYG851973:GYG851996 HIC851973:HIC851996 HRY851973:HRY851996 IBU851973:IBU851996 ILQ851973:ILQ851996 IVM851973:IVM851996 JFI851973:JFI851996 JPE851973:JPE851996 JZA851973:JZA851996 KIW851973:KIW851996 KSS851973:KSS851996 LCO851973:LCO851996 LMK851973:LMK851996 LWG851973:LWG851996 MGC851973:MGC851996 MPY851973:MPY851996 MZU851973:MZU851996 NJQ851973:NJQ851996 NTM851973:NTM851996 ODI851973:ODI851996 ONE851973:ONE851996 OXA851973:OXA851996 PGW851973:PGW851996 PQS851973:PQS851996 QAO851973:QAO851996 QKK851973:QKK851996 QUG851973:QUG851996 REC851973:REC851996 RNY851973:RNY851996 RXU851973:RXU851996 SHQ851973:SHQ851996 SRM851973:SRM851996 TBI851973:TBI851996 TLE851973:TLE851996 TVA851973:TVA851996 UEW851973:UEW851996 UOS851973:UOS851996 UYO851973:UYO851996 VIK851973:VIK851996 VSG851973:VSG851996 WCC851973:WCC851996 WLY851973:WLY851996 WVU851973:WVU851996 T917509:T917532 JI917509:JI917532 TE917509:TE917532 ADA917509:ADA917532 AMW917509:AMW917532 AWS917509:AWS917532 BGO917509:BGO917532 BQK917509:BQK917532 CAG917509:CAG917532 CKC917509:CKC917532 CTY917509:CTY917532 DDU917509:DDU917532 DNQ917509:DNQ917532 DXM917509:DXM917532 EHI917509:EHI917532 ERE917509:ERE917532 FBA917509:FBA917532 FKW917509:FKW917532 FUS917509:FUS917532 GEO917509:GEO917532 GOK917509:GOK917532 GYG917509:GYG917532 HIC917509:HIC917532 HRY917509:HRY917532 IBU917509:IBU917532 ILQ917509:ILQ917532 IVM917509:IVM917532 JFI917509:JFI917532 JPE917509:JPE917532 JZA917509:JZA917532 KIW917509:KIW917532 KSS917509:KSS917532 LCO917509:LCO917532 LMK917509:LMK917532 LWG917509:LWG917532 MGC917509:MGC917532 MPY917509:MPY917532 MZU917509:MZU917532 NJQ917509:NJQ917532 NTM917509:NTM917532 ODI917509:ODI917532 ONE917509:ONE917532 OXA917509:OXA917532 PGW917509:PGW917532 PQS917509:PQS917532 QAO917509:QAO917532 QKK917509:QKK917532 QUG917509:QUG917532 REC917509:REC917532 RNY917509:RNY917532 RXU917509:RXU917532 SHQ917509:SHQ917532 SRM917509:SRM917532 TBI917509:TBI917532 TLE917509:TLE917532 TVA917509:TVA917532 UEW917509:UEW917532 UOS917509:UOS917532 UYO917509:UYO917532 VIK917509:VIK917532 VSG917509:VSG917532 WCC917509:WCC917532 WLY917509:WLY917532 WVU917509:WVU917532 T983045:T983068 JI983045:JI983068 TE983045:TE983068 ADA983045:ADA983068 AMW983045:AMW983068 AWS983045:AWS983068 BGO983045:BGO983068 BQK983045:BQK983068 CAG983045:CAG983068 CKC983045:CKC983068 CTY983045:CTY983068 DDU983045:DDU983068 DNQ983045:DNQ983068 DXM983045:DXM983068 EHI983045:EHI983068 ERE983045:ERE983068 FBA983045:FBA983068 FKW983045:FKW983068 FUS983045:FUS983068 GEO983045:GEO983068 GOK983045:GOK983068 GYG983045:GYG983068 HIC983045:HIC983068 HRY983045:HRY983068 IBU983045:IBU983068 ILQ983045:ILQ983068 IVM983045:IVM983068 JFI983045:JFI983068 JPE983045:JPE983068 JZA983045:JZA983068 KIW983045:KIW983068 KSS983045:KSS983068 LCO983045:LCO983068 LMK983045:LMK983068 LWG983045:LWG983068 MGC983045:MGC983068 MPY983045:MPY983068 MZU983045:MZU983068 NJQ983045:NJQ983068 NTM983045:NTM983068 ODI983045:ODI983068 ONE983045:ONE983068 OXA983045:OXA983068 PGW983045:PGW983068 PQS983045:PQS983068 QAO983045:QAO983068 QKK983045:QKK983068 QUG983045:QUG983068 REC983045:REC983068 RNY983045:RNY983068 RXU983045:RXU983068 SHQ983045:SHQ983068 SRM983045:SRM983068 TBI983045:TBI983068 TLE983045:TLE983068 TVA983045:TVA983068 UEW983045:UEW983068 UOS983045:UOS983068 UYO983045:UYO983068 VIK983045:VIK983068 VSG983045:VSG983068 WCC983045:WCC983068 WLY983045:WLY983068 WVU983045:WVU983068 WVF11:WVF25 WLJ11:WLJ25 WBN11:WBN25 VRR11:VRR25 VHV11:VHV25 UXZ11:UXZ25 UOD11:UOD25 UEH11:UEH25 TUL11:TUL25 TKP11:TKP25 TAT11:TAT25 SQX11:SQX25 SHB11:SHB25 RXF11:RXF25 RNJ11:RNJ25 RDN11:RDN25 QTR11:QTR25 QJV11:QJV25 PZZ11:PZZ25 PQD11:PQD25 PGH11:PGH25 OWL11:OWL25 OMP11:OMP25 OCT11:OCT25 NSX11:NSX25 NJB11:NJB25 MZF11:MZF25 MPJ11:MPJ25 MFN11:MFN25 LVR11:LVR25 LLV11:LLV25 LBZ11:LBZ25 KSD11:KSD25 KIH11:KIH25 JYL11:JYL25 JOP11:JOP25 JET11:JET25 IUX11:IUX25 ILB11:ILB25 IBF11:IBF25 HRJ11:HRJ25 HHN11:HHN25 GXR11:GXR25 GNV11:GNV25 GDZ11:GDZ25 FUD11:FUD25 FKH11:FKH25 FAL11:FAL25 EQP11:EQP25 EGT11:EGT25 DWX11:DWX25 DNB11:DNB25 DDF11:DDF25 CTJ11:CTJ25 CJN11:CJN25 BZR11:BZR25 BPV11:BPV25 BFZ11:BFZ25 AWD11:AWD25 AMH11:AMH25 ACL11:ACL25 SP11:SP25 IT11:IT25 T11:T29" xr:uid="{00000000-0002-0000-0300-000001000000}">
      <formula1>"Y,N"</formula1>
    </dataValidation>
  </dataValidations>
  <pageMargins left="0" right="0" top="0.39370078740157483" bottom="0.59055118110236227" header="0.51181102362204722" footer="0.39370078740157483"/>
  <pageSetup paperSize="9" scale="82" fitToHeight="0" orientation="landscape" r:id="rId1"/>
  <headerFooter alignWithMargins="0">
    <oddFooter>第 &amp;P 頁，共 &amp;N 頁</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5">
    <tabColor rgb="FFFF0000"/>
    <pageSetUpPr fitToPage="1"/>
  </sheetPr>
  <dimension ref="A1:Z34"/>
  <sheetViews>
    <sheetView topLeftCell="M24" zoomScale="97" zoomScaleNormal="97" workbookViewId="0">
      <selection activeCell="V11" sqref="V11:V19"/>
    </sheetView>
  </sheetViews>
  <sheetFormatPr defaultRowHeight="15.5"/>
  <cols>
    <col min="1" max="1" width="7.90625" style="34" hidden="1" customWidth="1"/>
    <col min="2" max="2" width="11.90625" style="34" hidden="1" customWidth="1"/>
    <col min="3" max="4" width="9.90625" style="34" hidden="1" customWidth="1"/>
    <col min="5" max="5" width="5.90625" style="34" hidden="1" customWidth="1"/>
    <col min="6" max="6" width="7.90625" style="34" hidden="1" customWidth="1"/>
    <col min="7" max="7" width="3.08984375" style="34" hidden="1" customWidth="1"/>
    <col min="8" max="8" width="2.36328125" style="34" hidden="1" customWidth="1"/>
    <col min="9" max="9" width="3.08984375" style="34" hidden="1" customWidth="1"/>
    <col min="10" max="10" width="5.36328125" style="34" hidden="1" customWidth="1"/>
    <col min="11" max="11" width="9.90625" style="34" hidden="1" customWidth="1"/>
    <col min="12" max="12" width="5.90625" style="34" hidden="1" customWidth="1"/>
    <col min="13" max="13" width="21.08984375" style="6" customWidth="1"/>
    <col min="14" max="14" width="8.90625" style="6" customWidth="1"/>
    <col min="15" max="15" width="11.453125" style="6" customWidth="1"/>
    <col min="16" max="16" width="8.90625" style="6" customWidth="1"/>
    <col min="17" max="17" width="8.90625" style="35" customWidth="1"/>
    <col min="18" max="18" width="16.90625" style="6" customWidth="1"/>
    <col min="19" max="19" width="16.90625" style="35" customWidth="1"/>
    <col min="20" max="20" width="10" style="6" customWidth="1"/>
    <col min="21" max="21" width="10" style="35" customWidth="1"/>
    <col min="22" max="22" width="17.6328125" style="6" customWidth="1"/>
    <col min="23" max="23" width="10" style="6" customWidth="1"/>
    <col min="24" max="24" width="17.6328125" style="6" customWidth="1"/>
    <col min="25" max="25" width="10" style="6" customWidth="1"/>
    <col min="26" max="26" width="5.90625" style="6" customWidth="1"/>
    <col min="27" max="261" width="9" style="6"/>
    <col min="262" max="262" width="16.36328125" style="6" customWidth="1"/>
    <col min="263" max="263" width="9" style="6"/>
    <col min="264" max="264" width="11.453125" style="6" customWidth="1"/>
    <col min="265" max="266" width="9" style="6"/>
    <col min="267" max="267" width="23" style="6" bestFit="1" customWidth="1"/>
    <col min="268" max="268" width="10" style="6" customWidth="1"/>
    <col min="269" max="269" width="6.36328125" style="6" bestFit="1" customWidth="1"/>
    <col min="270" max="270" width="7.36328125" style="6" bestFit="1" customWidth="1"/>
    <col min="271" max="271" width="16.6328125" style="6" customWidth="1"/>
    <col min="272" max="272" width="7.36328125" style="6" bestFit="1" customWidth="1"/>
    <col min="273" max="273" width="16.6328125" style="6" customWidth="1"/>
    <col min="274" max="517" width="9" style="6"/>
    <col min="518" max="518" width="16.36328125" style="6" customWidth="1"/>
    <col min="519" max="519" width="9" style="6"/>
    <col min="520" max="520" width="11.453125" style="6" customWidth="1"/>
    <col min="521" max="522" width="9" style="6"/>
    <col min="523" max="523" width="23" style="6" bestFit="1" customWidth="1"/>
    <col min="524" max="524" width="10" style="6" customWidth="1"/>
    <col min="525" max="525" width="6.36328125" style="6" bestFit="1" customWidth="1"/>
    <col min="526" max="526" width="7.36328125" style="6" bestFit="1" customWidth="1"/>
    <col min="527" max="527" width="16.6328125" style="6" customWidth="1"/>
    <col min="528" max="528" width="7.36328125" style="6" bestFit="1" customWidth="1"/>
    <col min="529" max="529" width="16.6328125" style="6" customWidth="1"/>
    <col min="530" max="773" width="9" style="6"/>
    <col min="774" max="774" width="16.36328125" style="6" customWidth="1"/>
    <col min="775" max="775" width="9" style="6"/>
    <col min="776" max="776" width="11.453125" style="6" customWidth="1"/>
    <col min="777" max="778" width="9" style="6"/>
    <col min="779" max="779" width="23" style="6" bestFit="1" customWidth="1"/>
    <col min="780" max="780" width="10" style="6" customWidth="1"/>
    <col min="781" max="781" width="6.36328125" style="6" bestFit="1" customWidth="1"/>
    <col min="782" max="782" width="7.36328125" style="6" bestFit="1" customWidth="1"/>
    <col min="783" max="783" width="16.6328125" style="6" customWidth="1"/>
    <col min="784" max="784" width="7.36328125" style="6" bestFit="1" customWidth="1"/>
    <col min="785" max="785" width="16.6328125" style="6" customWidth="1"/>
    <col min="786" max="1029" width="9" style="6"/>
    <col min="1030" max="1030" width="16.36328125" style="6" customWidth="1"/>
    <col min="1031" max="1031" width="9" style="6"/>
    <col min="1032" max="1032" width="11.453125" style="6" customWidth="1"/>
    <col min="1033" max="1034" width="9" style="6"/>
    <col min="1035" max="1035" width="23" style="6" bestFit="1" customWidth="1"/>
    <col min="1036" max="1036" width="10" style="6" customWidth="1"/>
    <col min="1037" max="1037" width="6.36328125" style="6" bestFit="1" customWidth="1"/>
    <col min="1038" max="1038" width="7.36328125" style="6" bestFit="1" customWidth="1"/>
    <col min="1039" max="1039" width="16.6328125" style="6" customWidth="1"/>
    <col min="1040" max="1040" width="7.36328125" style="6" bestFit="1" customWidth="1"/>
    <col min="1041" max="1041" width="16.6328125" style="6" customWidth="1"/>
    <col min="1042" max="1285" width="9" style="6"/>
    <col min="1286" max="1286" width="16.36328125" style="6" customWidth="1"/>
    <col min="1287" max="1287" width="9" style="6"/>
    <col min="1288" max="1288" width="11.453125" style="6" customWidth="1"/>
    <col min="1289" max="1290" width="9" style="6"/>
    <col min="1291" max="1291" width="23" style="6" bestFit="1" customWidth="1"/>
    <col min="1292" max="1292" width="10" style="6" customWidth="1"/>
    <col min="1293" max="1293" width="6.36328125" style="6" bestFit="1" customWidth="1"/>
    <col min="1294" max="1294" width="7.36328125" style="6" bestFit="1" customWidth="1"/>
    <col min="1295" max="1295" width="16.6328125" style="6" customWidth="1"/>
    <col min="1296" max="1296" width="7.36328125" style="6" bestFit="1" customWidth="1"/>
    <col min="1297" max="1297" width="16.6328125" style="6" customWidth="1"/>
    <col min="1298" max="1541" width="9" style="6"/>
    <col min="1542" max="1542" width="16.36328125" style="6" customWidth="1"/>
    <col min="1543" max="1543" width="9" style="6"/>
    <col min="1544" max="1544" width="11.453125" style="6" customWidth="1"/>
    <col min="1545" max="1546" width="9" style="6"/>
    <col min="1547" max="1547" width="23" style="6" bestFit="1" customWidth="1"/>
    <col min="1548" max="1548" width="10" style="6" customWidth="1"/>
    <col min="1549" max="1549" width="6.36328125" style="6" bestFit="1" customWidth="1"/>
    <col min="1550" max="1550" width="7.36328125" style="6" bestFit="1" customWidth="1"/>
    <col min="1551" max="1551" width="16.6328125" style="6" customWidth="1"/>
    <col min="1552" max="1552" width="7.36328125" style="6" bestFit="1" customWidth="1"/>
    <col min="1553" max="1553" width="16.6328125" style="6" customWidth="1"/>
    <col min="1554" max="1797" width="9" style="6"/>
    <col min="1798" max="1798" width="16.36328125" style="6" customWidth="1"/>
    <col min="1799" max="1799" width="9" style="6"/>
    <col min="1800" max="1800" width="11.453125" style="6" customWidth="1"/>
    <col min="1801" max="1802" width="9" style="6"/>
    <col min="1803" max="1803" width="23" style="6" bestFit="1" customWidth="1"/>
    <col min="1804" max="1804" width="10" style="6" customWidth="1"/>
    <col min="1805" max="1805" width="6.36328125" style="6" bestFit="1" customWidth="1"/>
    <col min="1806" max="1806" width="7.36328125" style="6" bestFit="1" customWidth="1"/>
    <col min="1807" max="1807" width="16.6328125" style="6" customWidth="1"/>
    <col min="1808" max="1808" width="7.36328125" style="6" bestFit="1" customWidth="1"/>
    <col min="1809" max="1809" width="16.6328125" style="6" customWidth="1"/>
    <col min="1810" max="2053" width="9" style="6"/>
    <col min="2054" max="2054" width="16.36328125" style="6" customWidth="1"/>
    <col min="2055" max="2055" width="9" style="6"/>
    <col min="2056" max="2056" width="11.453125" style="6" customWidth="1"/>
    <col min="2057" max="2058" width="9" style="6"/>
    <col min="2059" max="2059" width="23" style="6" bestFit="1" customWidth="1"/>
    <col min="2060" max="2060" width="10" style="6" customWidth="1"/>
    <col min="2061" max="2061" width="6.36328125" style="6" bestFit="1" customWidth="1"/>
    <col min="2062" max="2062" width="7.36328125" style="6" bestFit="1" customWidth="1"/>
    <col min="2063" max="2063" width="16.6328125" style="6" customWidth="1"/>
    <col min="2064" max="2064" width="7.36328125" style="6" bestFit="1" customWidth="1"/>
    <col min="2065" max="2065" width="16.6328125" style="6" customWidth="1"/>
    <col min="2066" max="2309" width="9" style="6"/>
    <col min="2310" max="2310" width="16.36328125" style="6" customWidth="1"/>
    <col min="2311" max="2311" width="9" style="6"/>
    <col min="2312" max="2312" width="11.453125" style="6" customWidth="1"/>
    <col min="2313" max="2314" width="9" style="6"/>
    <col min="2315" max="2315" width="23" style="6" bestFit="1" customWidth="1"/>
    <col min="2316" max="2316" width="10" style="6" customWidth="1"/>
    <col min="2317" max="2317" width="6.36328125" style="6" bestFit="1" customWidth="1"/>
    <col min="2318" max="2318" width="7.36328125" style="6" bestFit="1" customWidth="1"/>
    <col min="2319" max="2319" width="16.6328125" style="6" customWidth="1"/>
    <col min="2320" max="2320" width="7.36328125" style="6" bestFit="1" customWidth="1"/>
    <col min="2321" max="2321" width="16.6328125" style="6" customWidth="1"/>
    <col min="2322" max="2565" width="9" style="6"/>
    <col min="2566" max="2566" width="16.36328125" style="6" customWidth="1"/>
    <col min="2567" max="2567" width="9" style="6"/>
    <col min="2568" max="2568" width="11.453125" style="6" customWidth="1"/>
    <col min="2569" max="2570" width="9" style="6"/>
    <col min="2571" max="2571" width="23" style="6" bestFit="1" customWidth="1"/>
    <col min="2572" max="2572" width="10" style="6" customWidth="1"/>
    <col min="2573" max="2573" width="6.36328125" style="6" bestFit="1" customWidth="1"/>
    <col min="2574" max="2574" width="7.36328125" style="6" bestFit="1" customWidth="1"/>
    <col min="2575" max="2575" width="16.6328125" style="6" customWidth="1"/>
    <col min="2576" max="2576" width="7.36328125" style="6" bestFit="1" customWidth="1"/>
    <col min="2577" max="2577" width="16.6328125" style="6" customWidth="1"/>
    <col min="2578" max="2821" width="9" style="6"/>
    <col min="2822" max="2822" width="16.36328125" style="6" customWidth="1"/>
    <col min="2823" max="2823" width="9" style="6"/>
    <col min="2824" max="2824" width="11.453125" style="6" customWidth="1"/>
    <col min="2825" max="2826" width="9" style="6"/>
    <col min="2827" max="2827" width="23" style="6" bestFit="1" customWidth="1"/>
    <col min="2828" max="2828" width="10" style="6" customWidth="1"/>
    <col min="2829" max="2829" width="6.36328125" style="6" bestFit="1" customWidth="1"/>
    <col min="2830" max="2830" width="7.36328125" style="6" bestFit="1" customWidth="1"/>
    <col min="2831" max="2831" width="16.6328125" style="6" customWidth="1"/>
    <col min="2832" max="2832" width="7.36328125" style="6" bestFit="1" customWidth="1"/>
    <col min="2833" max="2833" width="16.6328125" style="6" customWidth="1"/>
    <col min="2834" max="3077" width="9" style="6"/>
    <col min="3078" max="3078" width="16.36328125" style="6" customWidth="1"/>
    <col min="3079" max="3079" width="9" style="6"/>
    <col min="3080" max="3080" width="11.453125" style="6" customWidth="1"/>
    <col min="3081" max="3082" width="9" style="6"/>
    <col min="3083" max="3083" width="23" style="6" bestFit="1" customWidth="1"/>
    <col min="3084" max="3084" width="10" style="6" customWidth="1"/>
    <col min="3085" max="3085" width="6.36328125" style="6" bestFit="1" customWidth="1"/>
    <col min="3086" max="3086" width="7.36328125" style="6" bestFit="1" customWidth="1"/>
    <col min="3087" max="3087" width="16.6328125" style="6" customWidth="1"/>
    <col min="3088" max="3088" width="7.36328125" style="6" bestFit="1" customWidth="1"/>
    <col min="3089" max="3089" width="16.6328125" style="6" customWidth="1"/>
    <col min="3090" max="3333" width="9" style="6"/>
    <col min="3334" max="3334" width="16.36328125" style="6" customWidth="1"/>
    <col min="3335" max="3335" width="9" style="6"/>
    <col min="3336" max="3336" width="11.453125" style="6" customWidth="1"/>
    <col min="3337" max="3338" width="9" style="6"/>
    <col min="3339" max="3339" width="23" style="6" bestFit="1" customWidth="1"/>
    <col min="3340" max="3340" width="10" style="6" customWidth="1"/>
    <col min="3341" max="3341" width="6.36328125" style="6" bestFit="1" customWidth="1"/>
    <col min="3342" max="3342" width="7.36328125" style="6" bestFit="1" customWidth="1"/>
    <col min="3343" max="3343" width="16.6328125" style="6" customWidth="1"/>
    <col min="3344" max="3344" width="7.36328125" style="6" bestFit="1" customWidth="1"/>
    <col min="3345" max="3345" width="16.6328125" style="6" customWidth="1"/>
    <col min="3346" max="3589" width="9" style="6"/>
    <col min="3590" max="3590" width="16.36328125" style="6" customWidth="1"/>
    <col min="3591" max="3591" width="9" style="6"/>
    <col min="3592" max="3592" width="11.453125" style="6" customWidth="1"/>
    <col min="3593" max="3594" width="9" style="6"/>
    <col min="3595" max="3595" width="23" style="6" bestFit="1" customWidth="1"/>
    <col min="3596" max="3596" width="10" style="6" customWidth="1"/>
    <col min="3597" max="3597" width="6.36328125" style="6" bestFit="1" customWidth="1"/>
    <col min="3598" max="3598" width="7.36328125" style="6" bestFit="1" customWidth="1"/>
    <col min="3599" max="3599" width="16.6328125" style="6" customWidth="1"/>
    <col min="3600" max="3600" width="7.36328125" style="6" bestFit="1" customWidth="1"/>
    <col min="3601" max="3601" width="16.6328125" style="6" customWidth="1"/>
    <col min="3602" max="3845" width="9" style="6"/>
    <col min="3846" max="3846" width="16.36328125" style="6" customWidth="1"/>
    <col min="3847" max="3847" width="9" style="6"/>
    <col min="3848" max="3848" width="11.453125" style="6" customWidth="1"/>
    <col min="3849" max="3850" width="9" style="6"/>
    <col min="3851" max="3851" width="23" style="6" bestFit="1" customWidth="1"/>
    <col min="3852" max="3852" width="10" style="6" customWidth="1"/>
    <col min="3853" max="3853" width="6.36328125" style="6" bestFit="1" customWidth="1"/>
    <col min="3854" max="3854" width="7.36328125" style="6" bestFit="1" customWidth="1"/>
    <col min="3855" max="3855" width="16.6328125" style="6" customWidth="1"/>
    <col min="3856" max="3856" width="7.36328125" style="6" bestFit="1" customWidth="1"/>
    <col min="3857" max="3857" width="16.6328125" style="6" customWidth="1"/>
    <col min="3858" max="4101" width="9" style="6"/>
    <col min="4102" max="4102" width="16.36328125" style="6" customWidth="1"/>
    <col min="4103" max="4103" width="9" style="6"/>
    <col min="4104" max="4104" width="11.453125" style="6" customWidth="1"/>
    <col min="4105" max="4106" width="9" style="6"/>
    <col min="4107" max="4107" width="23" style="6" bestFit="1" customWidth="1"/>
    <col min="4108" max="4108" width="10" style="6" customWidth="1"/>
    <col min="4109" max="4109" width="6.36328125" style="6" bestFit="1" customWidth="1"/>
    <col min="4110" max="4110" width="7.36328125" style="6" bestFit="1" customWidth="1"/>
    <col min="4111" max="4111" width="16.6328125" style="6" customWidth="1"/>
    <col min="4112" max="4112" width="7.36328125" style="6" bestFit="1" customWidth="1"/>
    <col min="4113" max="4113" width="16.6328125" style="6" customWidth="1"/>
    <col min="4114" max="4357" width="9" style="6"/>
    <col min="4358" max="4358" width="16.36328125" style="6" customWidth="1"/>
    <col min="4359" max="4359" width="9" style="6"/>
    <col min="4360" max="4360" width="11.453125" style="6" customWidth="1"/>
    <col min="4361" max="4362" width="9" style="6"/>
    <col min="4363" max="4363" width="23" style="6" bestFit="1" customWidth="1"/>
    <col min="4364" max="4364" width="10" style="6" customWidth="1"/>
    <col min="4365" max="4365" width="6.36328125" style="6" bestFit="1" customWidth="1"/>
    <col min="4366" max="4366" width="7.36328125" style="6" bestFit="1" customWidth="1"/>
    <col min="4367" max="4367" width="16.6328125" style="6" customWidth="1"/>
    <col min="4368" max="4368" width="7.36328125" style="6" bestFit="1" customWidth="1"/>
    <col min="4369" max="4369" width="16.6328125" style="6" customWidth="1"/>
    <col min="4370" max="4613" width="9" style="6"/>
    <col min="4614" max="4614" width="16.36328125" style="6" customWidth="1"/>
    <col min="4615" max="4615" width="9" style="6"/>
    <col min="4616" max="4616" width="11.453125" style="6" customWidth="1"/>
    <col min="4617" max="4618" width="9" style="6"/>
    <col min="4619" max="4619" width="23" style="6" bestFit="1" customWidth="1"/>
    <col min="4620" max="4620" width="10" style="6" customWidth="1"/>
    <col min="4621" max="4621" width="6.36328125" style="6" bestFit="1" customWidth="1"/>
    <col min="4622" max="4622" width="7.36328125" style="6" bestFit="1" customWidth="1"/>
    <col min="4623" max="4623" width="16.6328125" style="6" customWidth="1"/>
    <col min="4624" max="4624" width="7.36328125" style="6" bestFit="1" customWidth="1"/>
    <col min="4625" max="4625" width="16.6328125" style="6" customWidth="1"/>
    <col min="4626" max="4869" width="9" style="6"/>
    <col min="4870" max="4870" width="16.36328125" style="6" customWidth="1"/>
    <col min="4871" max="4871" width="9" style="6"/>
    <col min="4872" max="4872" width="11.453125" style="6" customWidth="1"/>
    <col min="4873" max="4874" width="9" style="6"/>
    <col min="4875" max="4875" width="23" style="6" bestFit="1" customWidth="1"/>
    <col min="4876" max="4876" width="10" style="6" customWidth="1"/>
    <col min="4877" max="4877" width="6.36328125" style="6" bestFit="1" customWidth="1"/>
    <col min="4878" max="4878" width="7.36328125" style="6" bestFit="1" customWidth="1"/>
    <col min="4879" max="4879" width="16.6328125" style="6" customWidth="1"/>
    <col min="4880" max="4880" width="7.36328125" style="6" bestFit="1" customWidth="1"/>
    <col min="4881" max="4881" width="16.6328125" style="6" customWidth="1"/>
    <col min="4882" max="5125" width="9" style="6"/>
    <col min="5126" max="5126" width="16.36328125" style="6" customWidth="1"/>
    <col min="5127" max="5127" width="9" style="6"/>
    <col min="5128" max="5128" width="11.453125" style="6" customWidth="1"/>
    <col min="5129" max="5130" width="9" style="6"/>
    <col min="5131" max="5131" width="23" style="6" bestFit="1" customWidth="1"/>
    <col min="5132" max="5132" width="10" style="6" customWidth="1"/>
    <col min="5133" max="5133" width="6.36328125" style="6" bestFit="1" customWidth="1"/>
    <col min="5134" max="5134" width="7.36328125" style="6" bestFit="1" customWidth="1"/>
    <col min="5135" max="5135" width="16.6328125" style="6" customWidth="1"/>
    <col min="5136" max="5136" width="7.36328125" style="6" bestFit="1" customWidth="1"/>
    <col min="5137" max="5137" width="16.6328125" style="6" customWidth="1"/>
    <col min="5138" max="5381" width="9" style="6"/>
    <col min="5382" max="5382" width="16.36328125" style="6" customWidth="1"/>
    <col min="5383" max="5383" width="9" style="6"/>
    <col min="5384" max="5384" width="11.453125" style="6" customWidth="1"/>
    <col min="5385" max="5386" width="9" style="6"/>
    <col min="5387" max="5387" width="23" style="6" bestFit="1" customWidth="1"/>
    <col min="5388" max="5388" width="10" style="6" customWidth="1"/>
    <col min="5389" max="5389" width="6.36328125" style="6" bestFit="1" customWidth="1"/>
    <col min="5390" max="5390" width="7.36328125" style="6" bestFit="1" customWidth="1"/>
    <col min="5391" max="5391" width="16.6328125" style="6" customWidth="1"/>
    <col min="5392" max="5392" width="7.36328125" style="6" bestFit="1" customWidth="1"/>
    <col min="5393" max="5393" width="16.6328125" style="6" customWidth="1"/>
    <col min="5394" max="5637" width="9" style="6"/>
    <col min="5638" max="5638" width="16.36328125" style="6" customWidth="1"/>
    <col min="5639" max="5639" width="9" style="6"/>
    <col min="5640" max="5640" width="11.453125" style="6" customWidth="1"/>
    <col min="5641" max="5642" width="9" style="6"/>
    <col min="5643" max="5643" width="23" style="6" bestFit="1" customWidth="1"/>
    <col min="5644" max="5644" width="10" style="6" customWidth="1"/>
    <col min="5645" max="5645" width="6.36328125" style="6" bestFit="1" customWidth="1"/>
    <col min="5646" max="5646" width="7.36328125" style="6" bestFit="1" customWidth="1"/>
    <col min="5647" max="5647" width="16.6328125" style="6" customWidth="1"/>
    <col min="5648" max="5648" width="7.36328125" style="6" bestFit="1" customWidth="1"/>
    <col min="5649" max="5649" width="16.6328125" style="6" customWidth="1"/>
    <col min="5650" max="5893" width="9" style="6"/>
    <col min="5894" max="5894" width="16.36328125" style="6" customWidth="1"/>
    <col min="5895" max="5895" width="9" style="6"/>
    <col min="5896" max="5896" width="11.453125" style="6" customWidth="1"/>
    <col min="5897" max="5898" width="9" style="6"/>
    <col min="5899" max="5899" width="23" style="6" bestFit="1" customWidth="1"/>
    <col min="5900" max="5900" width="10" style="6" customWidth="1"/>
    <col min="5901" max="5901" width="6.36328125" style="6" bestFit="1" customWidth="1"/>
    <col min="5902" max="5902" width="7.36328125" style="6" bestFit="1" customWidth="1"/>
    <col min="5903" max="5903" width="16.6328125" style="6" customWidth="1"/>
    <col min="5904" max="5904" width="7.36328125" style="6" bestFit="1" customWidth="1"/>
    <col min="5905" max="5905" width="16.6328125" style="6" customWidth="1"/>
    <col min="5906" max="6149" width="9" style="6"/>
    <col min="6150" max="6150" width="16.36328125" style="6" customWidth="1"/>
    <col min="6151" max="6151" width="9" style="6"/>
    <col min="6152" max="6152" width="11.453125" style="6" customWidth="1"/>
    <col min="6153" max="6154" width="9" style="6"/>
    <col min="6155" max="6155" width="23" style="6" bestFit="1" customWidth="1"/>
    <col min="6156" max="6156" width="10" style="6" customWidth="1"/>
    <col min="6157" max="6157" width="6.36328125" style="6" bestFit="1" customWidth="1"/>
    <col min="6158" max="6158" width="7.36328125" style="6" bestFit="1" customWidth="1"/>
    <col min="6159" max="6159" width="16.6328125" style="6" customWidth="1"/>
    <col min="6160" max="6160" width="7.36328125" style="6" bestFit="1" customWidth="1"/>
    <col min="6161" max="6161" width="16.6328125" style="6" customWidth="1"/>
    <col min="6162" max="6405" width="9" style="6"/>
    <col min="6406" max="6406" width="16.36328125" style="6" customWidth="1"/>
    <col min="6407" max="6407" width="9" style="6"/>
    <col min="6408" max="6408" width="11.453125" style="6" customWidth="1"/>
    <col min="6409" max="6410" width="9" style="6"/>
    <col min="6411" max="6411" width="23" style="6" bestFit="1" customWidth="1"/>
    <col min="6412" max="6412" width="10" style="6" customWidth="1"/>
    <col min="6413" max="6413" width="6.36328125" style="6" bestFit="1" customWidth="1"/>
    <col min="6414" max="6414" width="7.36328125" style="6" bestFit="1" customWidth="1"/>
    <col min="6415" max="6415" width="16.6328125" style="6" customWidth="1"/>
    <col min="6416" max="6416" width="7.36328125" style="6" bestFit="1" customWidth="1"/>
    <col min="6417" max="6417" width="16.6328125" style="6" customWidth="1"/>
    <col min="6418" max="6661" width="9" style="6"/>
    <col min="6662" max="6662" width="16.36328125" style="6" customWidth="1"/>
    <col min="6663" max="6663" width="9" style="6"/>
    <col min="6664" max="6664" width="11.453125" style="6" customWidth="1"/>
    <col min="6665" max="6666" width="9" style="6"/>
    <col min="6667" max="6667" width="23" style="6" bestFit="1" customWidth="1"/>
    <col min="6668" max="6668" width="10" style="6" customWidth="1"/>
    <col min="6669" max="6669" width="6.36328125" style="6" bestFit="1" customWidth="1"/>
    <col min="6670" max="6670" width="7.36328125" style="6" bestFit="1" customWidth="1"/>
    <col min="6671" max="6671" width="16.6328125" style="6" customWidth="1"/>
    <col min="6672" max="6672" width="7.36328125" style="6" bestFit="1" customWidth="1"/>
    <col min="6673" max="6673" width="16.6328125" style="6" customWidth="1"/>
    <col min="6674" max="6917" width="9" style="6"/>
    <col min="6918" max="6918" width="16.36328125" style="6" customWidth="1"/>
    <col min="6919" max="6919" width="9" style="6"/>
    <col min="6920" max="6920" width="11.453125" style="6" customWidth="1"/>
    <col min="6921" max="6922" width="9" style="6"/>
    <col min="6923" max="6923" width="23" style="6" bestFit="1" customWidth="1"/>
    <col min="6924" max="6924" width="10" style="6" customWidth="1"/>
    <col min="6925" max="6925" width="6.36328125" style="6" bestFit="1" customWidth="1"/>
    <col min="6926" max="6926" width="7.36328125" style="6" bestFit="1" customWidth="1"/>
    <col min="6927" max="6927" width="16.6328125" style="6" customWidth="1"/>
    <col min="6928" max="6928" width="7.36328125" style="6" bestFit="1" customWidth="1"/>
    <col min="6929" max="6929" width="16.6328125" style="6" customWidth="1"/>
    <col min="6930" max="7173" width="9" style="6"/>
    <col min="7174" max="7174" width="16.36328125" style="6" customWidth="1"/>
    <col min="7175" max="7175" width="9" style="6"/>
    <col min="7176" max="7176" width="11.453125" style="6" customWidth="1"/>
    <col min="7177" max="7178" width="9" style="6"/>
    <col min="7179" max="7179" width="23" style="6" bestFit="1" customWidth="1"/>
    <col min="7180" max="7180" width="10" style="6" customWidth="1"/>
    <col min="7181" max="7181" width="6.36328125" style="6" bestFit="1" customWidth="1"/>
    <col min="7182" max="7182" width="7.36328125" style="6" bestFit="1" customWidth="1"/>
    <col min="7183" max="7183" width="16.6328125" style="6" customWidth="1"/>
    <col min="7184" max="7184" width="7.36328125" style="6" bestFit="1" customWidth="1"/>
    <col min="7185" max="7185" width="16.6328125" style="6" customWidth="1"/>
    <col min="7186" max="7429" width="9" style="6"/>
    <col min="7430" max="7430" width="16.36328125" style="6" customWidth="1"/>
    <col min="7431" max="7431" width="9" style="6"/>
    <col min="7432" max="7432" width="11.453125" style="6" customWidth="1"/>
    <col min="7433" max="7434" width="9" style="6"/>
    <col min="7435" max="7435" width="23" style="6" bestFit="1" customWidth="1"/>
    <col min="7436" max="7436" width="10" style="6" customWidth="1"/>
    <col min="7437" max="7437" width="6.36328125" style="6" bestFit="1" customWidth="1"/>
    <col min="7438" max="7438" width="7.36328125" style="6" bestFit="1" customWidth="1"/>
    <col min="7439" max="7439" width="16.6328125" style="6" customWidth="1"/>
    <col min="7440" max="7440" width="7.36328125" style="6" bestFit="1" customWidth="1"/>
    <col min="7441" max="7441" width="16.6328125" style="6" customWidth="1"/>
    <col min="7442" max="7685" width="9" style="6"/>
    <col min="7686" max="7686" width="16.36328125" style="6" customWidth="1"/>
    <col min="7687" max="7687" width="9" style="6"/>
    <col min="7688" max="7688" width="11.453125" style="6" customWidth="1"/>
    <col min="7689" max="7690" width="9" style="6"/>
    <col min="7691" max="7691" width="23" style="6" bestFit="1" customWidth="1"/>
    <col min="7692" max="7692" width="10" style="6" customWidth="1"/>
    <col min="7693" max="7693" width="6.36328125" style="6" bestFit="1" customWidth="1"/>
    <col min="7694" max="7694" width="7.36328125" style="6" bestFit="1" customWidth="1"/>
    <col min="7695" max="7695" width="16.6328125" style="6" customWidth="1"/>
    <col min="7696" max="7696" width="7.36328125" style="6" bestFit="1" customWidth="1"/>
    <col min="7697" max="7697" width="16.6328125" style="6" customWidth="1"/>
    <col min="7698" max="7941" width="9" style="6"/>
    <col min="7942" max="7942" width="16.36328125" style="6" customWidth="1"/>
    <col min="7943" max="7943" width="9" style="6"/>
    <col min="7944" max="7944" width="11.453125" style="6" customWidth="1"/>
    <col min="7945" max="7946" width="9" style="6"/>
    <col min="7947" max="7947" width="23" style="6" bestFit="1" customWidth="1"/>
    <col min="7948" max="7948" width="10" style="6" customWidth="1"/>
    <col min="7949" max="7949" width="6.36328125" style="6" bestFit="1" customWidth="1"/>
    <col min="7950" max="7950" width="7.36328125" style="6" bestFit="1" customWidth="1"/>
    <col min="7951" max="7951" width="16.6328125" style="6" customWidth="1"/>
    <col min="7952" max="7952" width="7.36328125" style="6" bestFit="1" customWidth="1"/>
    <col min="7953" max="7953" width="16.6328125" style="6" customWidth="1"/>
    <col min="7954" max="8197" width="9" style="6"/>
    <col min="8198" max="8198" width="16.36328125" style="6" customWidth="1"/>
    <col min="8199" max="8199" width="9" style="6"/>
    <col min="8200" max="8200" width="11.453125" style="6" customWidth="1"/>
    <col min="8201" max="8202" width="9" style="6"/>
    <col min="8203" max="8203" width="23" style="6" bestFit="1" customWidth="1"/>
    <col min="8204" max="8204" width="10" style="6" customWidth="1"/>
    <col min="8205" max="8205" width="6.36328125" style="6" bestFit="1" customWidth="1"/>
    <col min="8206" max="8206" width="7.36328125" style="6" bestFit="1" customWidth="1"/>
    <col min="8207" max="8207" width="16.6328125" style="6" customWidth="1"/>
    <col min="8208" max="8208" width="7.36328125" style="6" bestFit="1" customWidth="1"/>
    <col min="8209" max="8209" width="16.6328125" style="6" customWidth="1"/>
    <col min="8210" max="8453" width="9" style="6"/>
    <col min="8454" max="8454" width="16.36328125" style="6" customWidth="1"/>
    <col min="8455" max="8455" width="9" style="6"/>
    <col min="8456" max="8456" width="11.453125" style="6" customWidth="1"/>
    <col min="8457" max="8458" width="9" style="6"/>
    <col min="8459" max="8459" width="23" style="6" bestFit="1" customWidth="1"/>
    <col min="8460" max="8460" width="10" style="6" customWidth="1"/>
    <col min="8461" max="8461" width="6.36328125" style="6" bestFit="1" customWidth="1"/>
    <col min="8462" max="8462" width="7.36328125" style="6" bestFit="1" customWidth="1"/>
    <col min="8463" max="8463" width="16.6328125" style="6" customWidth="1"/>
    <col min="8464" max="8464" width="7.36328125" style="6" bestFit="1" customWidth="1"/>
    <col min="8465" max="8465" width="16.6328125" style="6" customWidth="1"/>
    <col min="8466" max="8709" width="9" style="6"/>
    <col min="8710" max="8710" width="16.36328125" style="6" customWidth="1"/>
    <col min="8711" max="8711" width="9" style="6"/>
    <col min="8712" max="8712" width="11.453125" style="6" customWidth="1"/>
    <col min="8713" max="8714" width="9" style="6"/>
    <col min="8715" max="8715" width="23" style="6" bestFit="1" customWidth="1"/>
    <col min="8716" max="8716" width="10" style="6" customWidth="1"/>
    <col min="8717" max="8717" width="6.36328125" style="6" bestFit="1" customWidth="1"/>
    <col min="8718" max="8718" width="7.36328125" style="6" bestFit="1" customWidth="1"/>
    <col min="8719" max="8719" width="16.6328125" style="6" customWidth="1"/>
    <col min="8720" max="8720" width="7.36328125" style="6" bestFit="1" customWidth="1"/>
    <col min="8721" max="8721" width="16.6328125" style="6" customWidth="1"/>
    <col min="8722" max="8965" width="9" style="6"/>
    <col min="8966" max="8966" width="16.36328125" style="6" customWidth="1"/>
    <col min="8967" max="8967" width="9" style="6"/>
    <col min="8968" max="8968" width="11.453125" style="6" customWidth="1"/>
    <col min="8969" max="8970" width="9" style="6"/>
    <col min="8971" max="8971" width="23" style="6" bestFit="1" customWidth="1"/>
    <col min="8972" max="8972" width="10" style="6" customWidth="1"/>
    <col min="8973" max="8973" width="6.36328125" style="6" bestFit="1" customWidth="1"/>
    <col min="8974" max="8974" width="7.36328125" style="6" bestFit="1" customWidth="1"/>
    <col min="8975" max="8975" width="16.6328125" style="6" customWidth="1"/>
    <col min="8976" max="8976" width="7.36328125" style="6" bestFit="1" customWidth="1"/>
    <col min="8977" max="8977" width="16.6328125" style="6" customWidth="1"/>
    <col min="8978" max="9221" width="9" style="6"/>
    <col min="9222" max="9222" width="16.36328125" style="6" customWidth="1"/>
    <col min="9223" max="9223" width="9" style="6"/>
    <col min="9224" max="9224" width="11.453125" style="6" customWidth="1"/>
    <col min="9225" max="9226" width="9" style="6"/>
    <col min="9227" max="9227" width="23" style="6" bestFit="1" customWidth="1"/>
    <col min="9228" max="9228" width="10" style="6" customWidth="1"/>
    <col min="9229" max="9229" width="6.36328125" style="6" bestFit="1" customWidth="1"/>
    <col min="9230" max="9230" width="7.36328125" style="6" bestFit="1" customWidth="1"/>
    <col min="9231" max="9231" width="16.6328125" style="6" customWidth="1"/>
    <col min="9232" max="9232" width="7.36328125" style="6" bestFit="1" customWidth="1"/>
    <col min="9233" max="9233" width="16.6328125" style="6" customWidth="1"/>
    <col min="9234" max="9477" width="9" style="6"/>
    <col min="9478" max="9478" width="16.36328125" style="6" customWidth="1"/>
    <col min="9479" max="9479" width="9" style="6"/>
    <col min="9480" max="9480" width="11.453125" style="6" customWidth="1"/>
    <col min="9481" max="9482" width="9" style="6"/>
    <col min="9483" max="9483" width="23" style="6" bestFit="1" customWidth="1"/>
    <col min="9484" max="9484" width="10" style="6" customWidth="1"/>
    <col min="9485" max="9485" width="6.36328125" style="6" bestFit="1" customWidth="1"/>
    <col min="9486" max="9486" width="7.36328125" style="6" bestFit="1" customWidth="1"/>
    <col min="9487" max="9487" width="16.6328125" style="6" customWidth="1"/>
    <col min="9488" max="9488" width="7.36328125" style="6" bestFit="1" customWidth="1"/>
    <col min="9489" max="9489" width="16.6328125" style="6" customWidth="1"/>
    <col min="9490" max="9733" width="9" style="6"/>
    <col min="9734" max="9734" width="16.36328125" style="6" customWidth="1"/>
    <col min="9735" max="9735" width="9" style="6"/>
    <col min="9736" max="9736" width="11.453125" style="6" customWidth="1"/>
    <col min="9737" max="9738" width="9" style="6"/>
    <col min="9739" max="9739" width="23" style="6" bestFit="1" customWidth="1"/>
    <col min="9740" max="9740" width="10" style="6" customWidth="1"/>
    <col min="9741" max="9741" width="6.36328125" style="6" bestFit="1" customWidth="1"/>
    <col min="9742" max="9742" width="7.36328125" style="6" bestFit="1" customWidth="1"/>
    <col min="9743" max="9743" width="16.6328125" style="6" customWidth="1"/>
    <col min="9744" max="9744" width="7.36328125" style="6" bestFit="1" customWidth="1"/>
    <col min="9745" max="9745" width="16.6328125" style="6" customWidth="1"/>
    <col min="9746" max="9989" width="9" style="6"/>
    <col min="9990" max="9990" width="16.36328125" style="6" customWidth="1"/>
    <col min="9991" max="9991" width="9" style="6"/>
    <col min="9992" max="9992" width="11.453125" style="6" customWidth="1"/>
    <col min="9993" max="9994" width="9" style="6"/>
    <col min="9995" max="9995" width="23" style="6" bestFit="1" customWidth="1"/>
    <col min="9996" max="9996" width="10" style="6" customWidth="1"/>
    <col min="9997" max="9997" width="6.36328125" style="6" bestFit="1" customWidth="1"/>
    <col min="9998" max="9998" width="7.36328125" style="6" bestFit="1" customWidth="1"/>
    <col min="9999" max="9999" width="16.6328125" style="6" customWidth="1"/>
    <col min="10000" max="10000" width="7.36328125" style="6" bestFit="1" customWidth="1"/>
    <col min="10001" max="10001" width="16.6328125" style="6" customWidth="1"/>
    <col min="10002" max="10245" width="9" style="6"/>
    <col min="10246" max="10246" width="16.36328125" style="6" customWidth="1"/>
    <col min="10247" max="10247" width="9" style="6"/>
    <col min="10248" max="10248" width="11.453125" style="6" customWidth="1"/>
    <col min="10249" max="10250" width="9" style="6"/>
    <col min="10251" max="10251" width="23" style="6" bestFit="1" customWidth="1"/>
    <col min="10252" max="10252" width="10" style="6" customWidth="1"/>
    <col min="10253" max="10253" width="6.36328125" style="6" bestFit="1" customWidth="1"/>
    <col min="10254" max="10254" width="7.36328125" style="6" bestFit="1" customWidth="1"/>
    <col min="10255" max="10255" width="16.6328125" style="6" customWidth="1"/>
    <col min="10256" max="10256" width="7.36328125" style="6" bestFit="1" customWidth="1"/>
    <col min="10257" max="10257" width="16.6328125" style="6" customWidth="1"/>
    <col min="10258" max="10501" width="9" style="6"/>
    <col min="10502" max="10502" width="16.36328125" style="6" customWidth="1"/>
    <col min="10503" max="10503" width="9" style="6"/>
    <col min="10504" max="10504" width="11.453125" style="6" customWidth="1"/>
    <col min="10505" max="10506" width="9" style="6"/>
    <col min="10507" max="10507" width="23" style="6" bestFit="1" customWidth="1"/>
    <col min="10508" max="10508" width="10" style="6" customWidth="1"/>
    <col min="10509" max="10509" width="6.36328125" style="6" bestFit="1" customWidth="1"/>
    <col min="10510" max="10510" width="7.36328125" style="6" bestFit="1" customWidth="1"/>
    <col min="10511" max="10511" width="16.6328125" style="6" customWidth="1"/>
    <col min="10512" max="10512" width="7.36328125" style="6" bestFit="1" customWidth="1"/>
    <col min="10513" max="10513" width="16.6328125" style="6" customWidth="1"/>
    <col min="10514" max="10757" width="9" style="6"/>
    <col min="10758" max="10758" width="16.36328125" style="6" customWidth="1"/>
    <col min="10759" max="10759" width="9" style="6"/>
    <col min="10760" max="10760" width="11.453125" style="6" customWidth="1"/>
    <col min="10761" max="10762" width="9" style="6"/>
    <col min="10763" max="10763" width="23" style="6" bestFit="1" customWidth="1"/>
    <col min="10764" max="10764" width="10" style="6" customWidth="1"/>
    <col min="10765" max="10765" width="6.36328125" style="6" bestFit="1" customWidth="1"/>
    <col min="10766" max="10766" width="7.36328125" style="6" bestFit="1" customWidth="1"/>
    <col min="10767" max="10767" width="16.6328125" style="6" customWidth="1"/>
    <col min="10768" max="10768" width="7.36328125" style="6" bestFit="1" customWidth="1"/>
    <col min="10769" max="10769" width="16.6328125" style="6" customWidth="1"/>
    <col min="10770" max="11013" width="9" style="6"/>
    <col min="11014" max="11014" width="16.36328125" style="6" customWidth="1"/>
    <col min="11015" max="11015" width="9" style="6"/>
    <col min="11016" max="11016" width="11.453125" style="6" customWidth="1"/>
    <col min="11017" max="11018" width="9" style="6"/>
    <col min="11019" max="11019" width="23" style="6" bestFit="1" customWidth="1"/>
    <col min="11020" max="11020" width="10" style="6" customWidth="1"/>
    <col min="11021" max="11021" width="6.36328125" style="6" bestFit="1" customWidth="1"/>
    <col min="11022" max="11022" width="7.36328125" style="6" bestFit="1" customWidth="1"/>
    <col min="11023" max="11023" width="16.6328125" style="6" customWidth="1"/>
    <col min="11024" max="11024" width="7.36328125" style="6" bestFit="1" customWidth="1"/>
    <col min="11025" max="11025" width="16.6328125" style="6" customWidth="1"/>
    <col min="11026" max="11269" width="9" style="6"/>
    <col min="11270" max="11270" width="16.36328125" style="6" customWidth="1"/>
    <col min="11271" max="11271" width="9" style="6"/>
    <col min="11272" max="11272" width="11.453125" style="6" customWidth="1"/>
    <col min="11273" max="11274" width="9" style="6"/>
    <col min="11275" max="11275" width="23" style="6" bestFit="1" customWidth="1"/>
    <col min="11276" max="11276" width="10" style="6" customWidth="1"/>
    <col min="11277" max="11277" width="6.36328125" style="6" bestFit="1" customWidth="1"/>
    <col min="11278" max="11278" width="7.36328125" style="6" bestFit="1" customWidth="1"/>
    <col min="11279" max="11279" width="16.6328125" style="6" customWidth="1"/>
    <col min="11280" max="11280" width="7.36328125" style="6" bestFit="1" customWidth="1"/>
    <col min="11281" max="11281" width="16.6328125" style="6" customWidth="1"/>
    <col min="11282" max="11525" width="9" style="6"/>
    <col min="11526" max="11526" width="16.36328125" style="6" customWidth="1"/>
    <col min="11527" max="11527" width="9" style="6"/>
    <col min="11528" max="11528" width="11.453125" style="6" customWidth="1"/>
    <col min="11529" max="11530" width="9" style="6"/>
    <col min="11531" max="11531" width="23" style="6" bestFit="1" customWidth="1"/>
    <col min="11532" max="11532" width="10" style="6" customWidth="1"/>
    <col min="11533" max="11533" width="6.36328125" style="6" bestFit="1" customWidth="1"/>
    <col min="11534" max="11534" width="7.36328125" style="6" bestFit="1" customWidth="1"/>
    <col min="11535" max="11535" width="16.6328125" style="6" customWidth="1"/>
    <col min="11536" max="11536" width="7.36328125" style="6" bestFit="1" customWidth="1"/>
    <col min="11537" max="11537" width="16.6328125" style="6" customWidth="1"/>
    <col min="11538" max="11781" width="9" style="6"/>
    <col min="11782" max="11782" width="16.36328125" style="6" customWidth="1"/>
    <col min="11783" max="11783" width="9" style="6"/>
    <col min="11784" max="11784" width="11.453125" style="6" customWidth="1"/>
    <col min="11785" max="11786" width="9" style="6"/>
    <col min="11787" max="11787" width="23" style="6" bestFit="1" customWidth="1"/>
    <col min="11788" max="11788" width="10" style="6" customWidth="1"/>
    <col min="11789" max="11789" width="6.36328125" style="6" bestFit="1" customWidth="1"/>
    <col min="11790" max="11790" width="7.36328125" style="6" bestFit="1" customWidth="1"/>
    <col min="11791" max="11791" width="16.6328125" style="6" customWidth="1"/>
    <col min="11792" max="11792" width="7.36328125" style="6" bestFit="1" customWidth="1"/>
    <col min="11793" max="11793" width="16.6328125" style="6" customWidth="1"/>
    <col min="11794" max="12037" width="9" style="6"/>
    <col min="12038" max="12038" width="16.36328125" style="6" customWidth="1"/>
    <col min="12039" max="12039" width="9" style="6"/>
    <col min="12040" max="12040" width="11.453125" style="6" customWidth="1"/>
    <col min="12041" max="12042" width="9" style="6"/>
    <col min="12043" max="12043" width="23" style="6" bestFit="1" customWidth="1"/>
    <col min="12044" max="12044" width="10" style="6" customWidth="1"/>
    <col min="12045" max="12045" width="6.36328125" style="6" bestFit="1" customWidth="1"/>
    <col min="12046" max="12046" width="7.36328125" style="6" bestFit="1" customWidth="1"/>
    <col min="12047" max="12047" width="16.6328125" style="6" customWidth="1"/>
    <col min="12048" max="12048" width="7.36328125" style="6" bestFit="1" customWidth="1"/>
    <col min="12049" max="12049" width="16.6328125" style="6" customWidth="1"/>
    <col min="12050" max="12293" width="9" style="6"/>
    <col min="12294" max="12294" width="16.36328125" style="6" customWidth="1"/>
    <col min="12295" max="12295" width="9" style="6"/>
    <col min="12296" max="12296" width="11.453125" style="6" customWidth="1"/>
    <col min="12297" max="12298" width="9" style="6"/>
    <col min="12299" max="12299" width="23" style="6" bestFit="1" customWidth="1"/>
    <col min="12300" max="12300" width="10" style="6" customWidth="1"/>
    <col min="12301" max="12301" width="6.36328125" style="6" bestFit="1" customWidth="1"/>
    <col min="12302" max="12302" width="7.36328125" style="6" bestFit="1" customWidth="1"/>
    <col min="12303" max="12303" width="16.6328125" style="6" customWidth="1"/>
    <col min="12304" max="12304" width="7.36328125" style="6" bestFit="1" customWidth="1"/>
    <col min="12305" max="12305" width="16.6328125" style="6" customWidth="1"/>
    <col min="12306" max="12549" width="9" style="6"/>
    <col min="12550" max="12550" width="16.36328125" style="6" customWidth="1"/>
    <col min="12551" max="12551" width="9" style="6"/>
    <col min="12552" max="12552" width="11.453125" style="6" customWidth="1"/>
    <col min="12553" max="12554" width="9" style="6"/>
    <col min="12555" max="12555" width="23" style="6" bestFit="1" customWidth="1"/>
    <col min="12556" max="12556" width="10" style="6" customWidth="1"/>
    <col min="12557" max="12557" width="6.36328125" style="6" bestFit="1" customWidth="1"/>
    <col min="12558" max="12558" width="7.36328125" style="6" bestFit="1" customWidth="1"/>
    <col min="12559" max="12559" width="16.6328125" style="6" customWidth="1"/>
    <col min="12560" max="12560" width="7.36328125" style="6" bestFit="1" customWidth="1"/>
    <col min="12561" max="12561" width="16.6328125" style="6" customWidth="1"/>
    <col min="12562" max="12805" width="9" style="6"/>
    <col min="12806" max="12806" width="16.36328125" style="6" customWidth="1"/>
    <col min="12807" max="12807" width="9" style="6"/>
    <col min="12808" max="12808" width="11.453125" style="6" customWidth="1"/>
    <col min="12809" max="12810" width="9" style="6"/>
    <col min="12811" max="12811" width="23" style="6" bestFit="1" customWidth="1"/>
    <col min="12812" max="12812" width="10" style="6" customWidth="1"/>
    <col min="12813" max="12813" width="6.36328125" style="6" bestFit="1" customWidth="1"/>
    <col min="12814" max="12814" width="7.36328125" style="6" bestFit="1" customWidth="1"/>
    <col min="12815" max="12815" width="16.6328125" style="6" customWidth="1"/>
    <col min="12816" max="12816" width="7.36328125" style="6" bestFit="1" customWidth="1"/>
    <col min="12817" max="12817" width="16.6328125" style="6" customWidth="1"/>
    <col min="12818" max="13061" width="9" style="6"/>
    <col min="13062" max="13062" width="16.36328125" style="6" customWidth="1"/>
    <col min="13063" max="13063" width="9" style="6"/>
    <col min="13064" max="13064" width="11.453125" style="6" customWidth="1"/>
    <col min="13065" max="13066" width="9" style="6"/>
    <col min="13067" max="13067" width="23" style="6" bestFit="1" customWidth="1"/>
    <col min="13068" max="13068" width="10" style="6" customWidth="1"/>
    <col min="13069" max="13069" width="6.36328125" style="6" bestFit="1" customWidth="1"/>
    <col min="13070" max="13070" width="7.36328125" style="6" bestFit="1" customWidth="1"/>
    <col min="13071" max="13071" width="16.6328125" style="6" customWidth="1"/>
    <col min="13072" max="13072" width="7.36328125" style="6" bestFit="1" customWidth="1"/>
    <col min="13073" max="13073" width="16.6328125" style="6" customWidth="1"/>
    <col min="13074" max="13317" width="9" style="6"/>
    <col min="13318" max="13318" width="16.36328125" style="6" customWidth="1"/>
    <col min="13319" max="13319" width="9" style="6"/>
    <col min="13320" max="13320" width="11.453125" style="6" customWidth="1"/>
    <col min="13321" max="13322" width="9" style="6"/>
    <col min="13323" max="13323" width="23" style="6" bestFit="1" customWidth="1"/>
    <col min="13324" max="13324" width="10" style="6" customWidth="1"/>
    <col min="13325" max="13325" width="6.36328125" style="6" bestFit="1" customWidth="1"/>
    <col min="13326" max="13326" width="7.36328125" style="6" bestFit="1" customWidth="1"/>
    <col min="13327" max="13327" width="16.6328125" style="6" customWidth="1"/>
    <col min="13328" max="13328" width="7.36328125" style="6" bestFit="1" customWidth="1"/>
    <col min="13329" max="13329" width="16.6328125" style="6" customWidth="1"/>
    <col min="13330" max="13573" width="9" style="6"/>
    <col min="13574" max="13574" width="16.36328125" style="6" customWidth="1"/>
    <col min="13575" max="13575" width="9" style="6"/>
    <col min="13576" max="13576" width="11.453125" style="6" customWidth="1"/>
    <col min="13577" max="13578" width="9" style="6"/>
    <col min="13579" max="13579" width="23" style="6" bestFit="1" customWidth="1"/>
    <col min="13580" max="13580" width="10" style="6" customWidth="1"/>
    <col min="13581" max="13581" width="6.36328125" style="6" bestFit="1" customWidth="1"/>
    <col min="13582" max="13582" width="7.36328125" style="6" bestFit="1" customWidth="1"/>
    <col min="13583" max="13583" width="16.6328125" style="6" customWidth="1"/>
    <col min="13584" max="13584" width="7.36328125" style="6" bestFit="1" customWidth="1"/>
    <col min="13585" max="13585" width="16.6328125" style="6" customWidth="1"/>
    <col min="13586" max="13829" width="9" style="6"/>
    <col min="13830" max="13830" width="16.36328125" style="6" customWidth="1"/>
    <col min="13831" max="13831" width="9" style="6"/>
    <col min="13832" max="13832" width="11.453125" style="6" customWidth="1"/>
    <col min="13833" max="13834" width="9" style="6"/>
    <col min="13835" max="13835" width="23" style="6" bestFit="1" customWidth="1"/>
    <col min="13836" max="13836" width="10" style="6" customWidth="1"/>
    <col min="13837" max="13837" width="6.36328125" style="6" bestFit="1" customWidth="1"/>
    <col min="13838" max="13838" width="7.36328125" style="6" bestFit="1" customWidth="1"/>
    <col min="13839" max="13839" width="16.6328125" style="6" customWidth="1"/>
    <col min="13840" max="13840" width="7.36328125" style="6" bestFit="1" customWidth="1"/>
    <col min="13841" max="13841" width="16.6328125" style="6" customWidth="1"/>
    <col min="13842" max="14085" width="9" style="6"/>
    <col min="14086" max="14086" width="16.36328125" style="6" customWidth="1"/>
    <col min="14087" max="14087" width="9" style="6"/>
    <col min="14088" max="14088" width="11.453125" style="6" customWidth="1"/>
    <col min="14089" max="14090" width="9" style="6"/>
    <col min="14091" max="14091" width="23" style="6" bestFit="1" customWidth="1"/>
    <col min="14092" max="14092" width="10" style="6" customWidth="1"/>
    <col min="14093" max="14093" width="6.36328125" style="6" bestFit="1" customWidth="1"/>
    <col min="14094" max="14094" width="7.36328125" style="6" bestFit="1" customWidth="1"/>
    <col min="14095" max="14095" width="16.6328125" style="6" customWidth="1"/>
    <col min="14096" max="14096" width="7.36328125" style="6" bestFit="1" customWidth="1"/>
    <col min="14097" max="14097" width="16.6328125" style="6" customWidth="1"/>
    <col min="14098" max="14341" width="9" style="6"/>
    <col min="14342" max="14342" width="16.36328125" style="6" customWidth="1"/>
    <col min="14343" max="14343" width="9" style="6"/>
    <col min="14344" max="14344" width="11.453125" style="6" customWidth="1"/>
    <col min="14345" max="14346" width="9" style="6"/>
    <col min="14347" max="14347" width="23" style="6" bestFit="1" customWidth="1"/>
    <col min="14348" max="14348" width="10" style="6" customWidth="1"/>
    <col min="14349" max="14349" width="6.36328125" style="6" bestFit="1" customWidth="1"/>
    <col min="14350" max="14350" width="7.36328125" style="6" bestFit="1" customWidth="1"/>
    <col min="14351" max="14351" width="16.6328125" style="6" customWidth="1"/>
    <col min="14352" max="14352" width="7.36328125" style="6" bestFit="1" customWidth="1"/>
    <col min="14353" max="14353" width="16.6328125" style="6" customWidth="1"/>
    <col min="14354" max="14597" width="9" style="6"/>
    <col min="14598" max="14598" width="16.36328125" style="6" customWidth="1"/>
    <col min="14599" max="14599" width="9" style="6"/>
    <col min="14600" max="14600" width="11.453125" style="6" customWidth="1"/>
    <col min="14601" max="14602" width="9" style="6"/>
    <col min="14603" max="14603" width="23" style="6" bestFit="1" customWidth="1"/>
    <col min="14604" max="14604" width="10" style="6" customWidth="1"/>
    <col min="14605" max="14605" width="6.36328125" style="6" bestFit="1" customWidth="1"/>
    <col min="14606" max="14606" width="7.36328125" style="6" bestFit="1" customWidth="1"/>
    <col min="14607" max="14607" width="16.6328125" style="6" customWidth="1"/>
    <col min="14608" max="14608" width="7.36328125" style="6" bestFit="1" customWidth="1"/>
    <col min="14609" max="14609" width="16.6328125" style="6" customWidth="1"/>
    <col min="14610" max="14853" width="9" style="6"/>
    <col min="14854" max="14854" width="16.36328125" style="6" customWidth="1"/>
    <col min="14855" max="14855" width="9" style="6"/>
    <col min="14856" max="14856" width="11.453125" style="6" customWidth="1"/>
    <col min="14857" max="14858" width="9" style="6"/>
    <col min="14859" max="14859" width="23" style="6" bestFit="1" customWidth="1"/>
    <col min="14860" max="14860" width="10" style="6" customWidth="1"/>
    <col min="14861" max="14861" width="6.36328125" style="6" bestFit="1" customWidth="1"/>
    <col min="14862" max="14862" width="7.36328125" style="6" bestFit="1" customWidth="1"/>
    <col min="14863" max="14863" width="16.6328125" style="6" customWidth="1"/>
    <col min="14864" max="14864" width="7.36328125" style="6" bestFit="1" customWidth="1"/>
    <col min="14865" max="14865" width="16.6328125" style="6" customWidth="1"/>
    <col min="14866" max="15109" width="9" style="6"/>
    <col min="15110" max="15110" width="16.36328125" style="6" customWidth="1"/>
    <col min="15111" max="15111" width="9" style="6"/>
    <col min="15112" max="15112" width="11.453125" style="6" customWidth="1"/>
    <col min="15113" max="15114" width="9" style="6"/>
    <col min="15115" max="15115" width="23" style="6" bestFit="1" customWidth="1"/>
    <col min="15116" max="15116" width="10" style="6" customWidth="1"/>
    <col min="15117" max="15117" width="6.36328125" style="6" bestFit="1" customWidth="1"/>
    <col min="15118" max="15118" width="7.36328125" style="6" bestFit="1" customWidth="1"/>
    <col min="15119" max="15119" width="16.6328125" style="6" customWidth="1"/>
    <col min="15120" max="15120" width="7.36328125" style="6" bestFit="1" customWidth="1"/>
    <col min="15121" max="15121" width="16.6328125" style="6" customWidth="1"/>
    <col min="15122" max="15365" width="9" style="6"/>
    <col min="15366" max="15366" width="16.36328125" style="6" customWidth="1"/>
    <col min="15367" max="15367" width="9" style="6"/>
    <col min="15368" max="15368" width="11.453125" style="6" customWidth="1"/>
    <col min="15369" max="15370" width="9" style="6"/>
    <col min="15371" max="15371" width="23" style="6" bestFit="1" customWidth="1"/>
    <col min="15372" max="15372" width="10" style="6" customWidth="1"/>
    <col min="15373" max="15373" width="6.36328125" style="6" bestFit="1" customWidth="1"/>
    <col min="15374" max="15374" width="7.36328125" style="6" bestFit="1" customWidth="1"/>
    <col min="15375" max="15375" width="16.6328125" style="6" customWidth="1"/>
    <col min="15376" max="15376" width="7.36328125" style="6" bestFit="1" customWidth="1"/>
    <col min="15377" max="15377" width="16.6328125" style="6" customWidth="1"/>
    <col min="15378" max="15621" width="9" style="6"/>
    <col min="15622" max="15622" width="16.36328125" style="6" customWidth="1"/>
    <col min="15623" max="15623" width="9" style="6"/>
    <col min="15624" max="15624" width="11.453125" style="6" customWidth="1"/>
    <col min="15625" max="15626" width="9" style="6"/>
    <col min="15627" max="15627" width="23" style="6" bestFit="1" customWidth="1"/>
    <col min="15628" max="15628" width="10" style="6" customWidth="1"/>
    <col min="15629" max="15629" width="6.36328125" style="6" bestFit="1" customWidth="1"/>
    <col min="15630" max="15630" width="7.36328125" style="6" bestFit="1" customWidth="1"/>
    <col min="15631" max="15631" width="16.6328125" style="6" customWidth="1"/>
    <col min="15632" max="15632" width="7.36328125" style="6" bestFit="1" customWidth="1"/>
    <col min="15633" max="15633" width="16.6328125" style="6" customWidth="1"/>
    <col min="15634" max="15877" width="9" style="6"/>
    <col min="15878" max="15878" width="16.36328125" style="6" customWidth="1"/>
    <col min="15879" max="15879" width="9" style="6"/>
    <col min="15880" max="15880" width="11.453125" style="6" customWidth="1"/>
    <col min="15881" max="15882" width="9" style="6"/>
    <col min="15883" max="15883" width="23" style="6" bestFit="1" customWidth="1"/>
    <col min="15884" max="15884" width="10" style="6" customWidth="1"/>
    <col min="15885" max="15885" width="6.36328125" style="6" bestFit="1" customWidth="1"/>
    <col min="15886" max="15886" width="7.36328125" style="6" bestFit="1" customWidth="1"/>
    <col min="15887" max="15887" width="16.6328125" style="6" customWidth="1"/>
    <col min="15888" max="15888" width="7.36328125" style="6" bestFit="1" customWidth="1"/>
    <col min="15889" max="15889" width="16.6328125" style="6" customWidth="1"/>
    <col min="15890" max="16133" width="9" style="6"/>
    <col min="16134" max="16134" width="16.36328125" style="6" customWidth="1"/>
    <col min="16135" max="16135" width="9" style="6"/>
    <col min="16136" max="16136" width="11.453125" style="6" customWidth="1"/>
    <col min="16137" max="16138" width="9" style="6"/>
    <col min="16139" max="16139" width="23" style="6" bestFit="1" customWidth="1"/>
    <col min="16140" max="16140" width="10" style="6" customWidth="1"/>
    <col min="16141" max="16141" width="6.36328125" style="6" bestFit="1" customWidth="1"/>
    <col min="16142" max="16142" width="7.36328125" style="6" bestFit="1" customWidth="1"/>
    <col min="16143" max="16143" width="16.6328125" style="6" customWidth="1"/>
    <col min="16144" max="16144" width="7.36328125" style="6" bestFit="1" customWidth="1"/>
    <col min="16145" max="16145" width="16.6328125" style="6" customWidth="1"/>
    <col min="16146" max="16384" width="9" style="6"/>
  </cols>
  <sheetData>
    <row r="1" spans="1:26" s="17" customFormat="1" ht="23.5" customHeight="1">
      <c r="A1" s="34"/>
      <c r="B1" s="34"/>
      <c r="C1" s="34"/>
      <c r="D1" s="34"/>
      <c r="E1" s="34"/>
      <c r="F1" s="34"/>
      <c r="G1" s="34"/>
      <c r="H1" s="34"/>
      <c r="I1" s="34"/>
      <c r="J1" s="34"/>
      <c r="K1" s="34"/>
      <c r="L1" s="34"/>
      <c r="M1" s="129" t="str">
        <f>資訊清單資訊!B3 &amp;資訊清單資訊!B7 &amp;資訊清單資訊!B5</f>
        <v>石油與天然氣輸儲查核與檢測雲端平台硬體類(HW)資訊資產風險評鑑</v>
      </c>
      <c r="N1" s="129"/>
      <c r="O1" s="129"/>
      <c r="P1" s="129"/>
      <c r="Q1" s="129"/>
      <c r="R1" s="129"/>
      <c r="S1" s="129"/>
      <c r="T1" s="129"/>
      <c r="U1" s="129"/>
      <c r="V1" s="129"/>
      <c r="W1" s="129"/>
      <c r="X1" s="129"/>
      <c r="Y1" s="129"/>
      <c r="Z1" s="129"/>
    </row>
    <row r="2" spans="1:26">
      <c r="M2" s="36" t="s">
        <v>9</v>
      </c>
      <c r="N2" s="164" t="str">
        <f>資訊清單資訊!B7</f>
        <v>硬體類(HW)</v>
      </c>
      <c r="O2" s="165"/>
      <c r="P2" s="166"/>
      <c r="Q2" s="65"/>
      <c r="R2" s="28" t="s">
        <v>11</v>
      </c>
      <c r="S2" s="15">
        <f>IF(ISNA(VLOOKUP($N$3,ALL_LIST,16,FALSE)), "",VLOOKUP($N$3,ALL_LIST,16,FALSE))</f>
        <v>3</v>
      </c>
    </row>
    <row r="3" spans="1:26" ht="32" customHeight="1">
      <c r="M3" s="39" t="s">
        <v>5</v>
      </c>
      <c r="N3" s="167" t="s">
        <v>171</v>
      </c>
      <c r="O3" s="168"/>
      <c r="P3" s="169"/>
      <c r="R3" s="27" t="s">
        <v>74</v>
      </c>
      <c r="S3" s="16">
        <f>IF(ISNA(VLOOKUP($N$3,ALL_LIST,8,FALSE)), "",VLOOKUP($N$3,ALL_LIST,8,FALSE))</f>
        <v>3</v>
      </c>
    </row>
    <row r="4" spans="1:26">
      <c r="M4" s="37" t="s">
        <v>10</v>
      </c>
      <c r="N4" s="170" t="str">
        <f>IF(ISNA(VLOOKUP($N$3,ALL_LIST,3,FALSE)), "",VLOOKUP($N$3,ALL_LIST,3,FALSE))</f>
        <v>石油與天然氣輸儲查核與檢測雲端平台-DB SERVER</v>
      </c>
      <c r="O4" s="171"/>
      <c r="P4" s="172"/>
      <c r="Q4" s="65"/>
      <c r="R4" s="27" t="s">
        <v>75</v>
      </c>
      <c r="S4" s="16">
        <f>IF(ISNA(VLOOKUP($N$3,ALL_LIST,10,FALSE)), "",VLOOKUP($N$3,ALL_LIST,10,FALSE))</f>
        <v>2</v>
      </c>
    </row>
    <row r="5" spans="1:26">
      <c r="M5" s="36" t="s">
        <v>6</v>
      </c>
      <c r="N5" s="173" t="str">
        <f>IF(ISNA(VLOOKUP($N$3,ALL_LIST,17,FALSE)), "",VLOOKUP($N$3,ALL_LIST,17,FALSE))</f>
        <v>賴斐瓔 </v>
      </c>
      <c r="O5" s="174"/>
      <c r="P5" s="175"/>
      <c r="Q5" s="65"/>
      <c r="R5" s="27" t="s">
        <v>76</v>
      </c>
      <c r="S5" s="16">
        <f>IF(ISNA(VLOOKUP($N$3,ALL_LIST,12,FALSE)), " ",VLOOKUP($N$3,ALL_LIST,12,FALSE))</f>
        <v>2</v>
      </c>
    </row>
    <row r="6" spans="1:26">
      <c r="M6" s="38" t="s">
        <v>7</v>
      </c>
      <c r="N6" s="176" t="s">
        <v>219</v>
      </c>
      <c r="O6" s="177"/>
      <c r="P6" s="178"/>
      <c r="R6" s="27" t="s">
        <v>77</v>
      </c>
      <c r="S6" s="16">
        <f>IF(ISNA(VLOOKUP($N$3,ALL_LIST,14,FALSE)), "",VLOOKUP($N$3,ALL_LIST,14,FALSE))</f>
        <v>3</v>
      </c>
    </row>
    <row r="7" spans="1:26">
      <c r="M7" s="38" t="s">
        <v>8</v>
      </c>
      <c r="N7" s="179" t="s">
        <v>144</v>
      </c>
      <c r="O7" s="180"/>
      <c r="P7" s="181"/>
      <c r="Q7" s="65"/>
      <c r="R7" s="29" t="s">
        <v>12</v>
      </c>
      <c r="S7" s="21">
        <f>MAX(Y11:Y29)</f>
        <v>18</v>
      </c>
    </row>
    <row r="10" spans="1:26" s="18" customFormat="1" ht="16">
      <c r="A10" s="30" t="s">
        <v>13</v>
      </c>
      <c r="B10" s="30" t="s">
        <v>2</v>
      </c>
      <c r="C10" s="30" t="s">
        <v>15</v>
      </c>
      <c r="D10" s="30" t="s">
        <v>16</v>
      </c>
      <c r="E10" s="30" t="s">
        <v>3</v>
      </c>
      <c r="F10" s="30" t="s">
        <v>17</v>
      </c>
      <c r="G10" s="31" t="s">
        <v>18</v>
      </c>
      <c r="H10" s="31" t="s">
        <v>19</v>
      </c>
      <c r="I10" s="31" t="s">
        <v>20</v>
      </c>
      <c r="J10" s="31" t="s">
        <v>21</v>
      </c>
      <c r="K10" s="32" t="s">
        <v>22</v>
      </c>
      <c r="L10" s="33" t="s">
        <v>32</v>
      </c>
      <c r="M10" s="144" t="s">
        <v>23</v>
      </c>
      <c r="N10" s="145"/>
      <c r="O10" s="146"/>
      <c r="P10" s="144" t="s">
        <v>4</v>
      </c>
      <c r="Q10" s="145"/>
      <c r="R10" s="145"/>
      <c r="S10" s="146"/>
      <c r="T10" s="26" t="s">
        <v>24</v>
      </c>
      <c r="U10" s="26" t="s">
        <v>25</v>
      </c>
      <c r="V10" s="26" t="s">
        <v>26</v>
      </c>
      <c r="W10" s="26" t="s">
        <v>27</v>
      </c>
      <c r="X10" s="26" t="s">
        <v>26</v>
      </c>
      <c r="Y10" s="26" t="s">
        <v>28</v>
      </c>
      <c r="Z10" s="26" t="s">
        <v>29</v>
      </c>
    </row>
    <row r="11" spans="1:26" ht="46.5" customHeight="1">
      <c r="A11" s="54" t="str">
        <f>$N$3</f>
        <v>材1-1-HW-02</v>
      </c>
      <c r="B11" s="55">
        <f t="shared" ref="B11:B20" si="0">VLOOKUP($N$3,ALL_LIST,2,FALSE)</f>
        <v>0</v>
      </c>
      <c r="C11" s="55" t="str">
        <f t="shared" ref="C11:C20" si="1">VLOOKUP($N$3,ALL_LIST,3,FALSE)</f>
        <v>石油與天然氣輸儲查核與檢測雲端平台-DB SERVER</v>
      </c>
      <c r="D11" s="55" t="str">
        <f t="shared" ref="D11:D20" si="2">VLOOKUP($N$3,ALL_LIST,4,FALSE)</f>
        <v>系統DB存放空間，資訊處代管。</v>
      </c>
      <c r="E11" s="55">
        <f t="shared" ref="E11:E20" si="3">VLOOKUP($N$3,ALL_LIST,6,FALSE)</f>
        <v>1</v>
      </c>
      <c r="F11" s="55" t="str">
        <f t="shared" ref="F11:F20" si="4">VLOOKUP($N$3,ALL_LIST,7,FALSE)</f>
        <v>劉莉晶</v>
      </c>
      <c r="G11" s="55">
        <f t="shared" ref="G11:G20" si="5">VLOOKUP($N$3,ALL_LIST,8,FALSE)</f>
        <v>3</v>
      </c>
      <c r="H11" s="55">
        <f t="shared" ref="H11:H20" si="6">VLOOKUP($N$3,ALL_LIST,10,FALSE)</f>
        <v>2</v>
      </c>
      <c r="I11" s="55">
        <f t="shared" ref="I11:I20" si="7">VLOOKUP($N$3,ALL_LIST,12,FALSE)</f>
        <v>2</v>
      </c>
      <c r="J11" s="55">
        <f t="shared" ref="J11:J20" si="8">VLOOKUP($N$3,ALL_LIST,14,FALSE)</f>
        <v>3</v>
      </c>
      <c r="K11" s="56">
        <f t="shared" ref="K11:K20" si="9">VLOOKUP($N$3,ALL_LIST,16,FALSE)</f>
        <v>3</v>
      </c>
      <c r="L11" s="56">
        <f t="shared" ref="L11:L18" si="10">$S$7</f>
        <v>18</v>
      </c>
      <c r="M11" s="138" t="s">
        <v>80</v>
      </c>
      <c r="N11" s="139"/>
      <c r="O11" s="140"/>
      <c r="P11" s="141" t="s">
        <v>211</v>
      </c>
      <c r="Q11" s="142"/>
      <c r="R11" s="142"/>
      <c r="S11" s="133"/>
      <c r="T11" s="69" t="s">
        <v>119</v>
      </c>
      <c r="U11" s="69">
        <v>1</v>
      </c>
      <c r="V11" s="91" t="s">
        <v>175</v>
      </c>
      <c r="W11" s="69">
        <v>2</v>
      </c>
      <c r="X11" s="70" t="s">
        <v>176</v>
      </c>
      <c r="Y11" s="58">
        <f>IF((T11="N"),"不適用",IF(COUNTA(U11,W11)&lt;2,"評鑑中",$S$2*U11*W11))</f>
        <v>6</v>
      </c>
      <c r="Z11" s="41"/>
    </row>
    <row r="12" spans="1:26" ht="46.5">
      <c r="A12" s="54" t="str">
        <f t="shared" ref="A12:A20" si="11">$N$3</f>
        <v>材1-1-HW-02</v>
      </c>
      <c r="B12" s="55">
        <f t="shared" si="0"/>
        <v>0</v>
      </c>
      <c r="C12" s="55" t="str">
        <f t="shared" si="1"/>
        <v>石油與天然氣輸儲查核與檢測雲端平台-DB SERVER</v>
      </c>
      <c r="D12" s="55" t="str">
        <f t="shared" si="2"/>
        <v>系統DB存放空間，資訊處代管。</v>
      </c>
      <c r="E12" s="55">
        <f t="shared" si="3"/>
        <v>1</v>
      </c>
      <c r="F12" s="55" t="str">
        <f t="shared" si="4"/>
        <v>劉莉晶</v>
      </c>
      <c r="G12" s="55">
        <f t="shared" si="5"/>
        <v>3</v>
      </c>
      <c r="H12" s="55">
        <f t="shared" si="6"/>
        <v>2</v>
      </c>
      <c r="I12" s="55">
        <f t="shared" si="7"/>
        <v>2</v>
      </c>
      <c r="J12" s="55">
        <f t="shared" si="8"/>
        <v>3</v>
      </c>
      <c r="K12" s="56">
        <f t="shared" si="9"/>
        <v>3</v>
      </c>
      <c r="L12" s="56">
        <f t="shared" si="10"/>
        <v>18</v>
      </c>
      <c r="M12" s="135" t="s">
        <v>120</v>
      </c>
      <c r="N12" s="136"/>
      <c r="O12" s="137"/>
      <c r="P12" s="182" t="s">
        <v>121</v>
      </c>
      <c r="Q12" s="183"/>
      <c r="R12" s="183"/>
      <c r="S12" s="184"/>
      <c r="T12" s="69" t="s">
        <v>119</v>
      </c>
      <c r="U12" s="69">
        <v>1</v>
      </c>
      <c r="V12" s="92" t="s">
        <v>177</v>
      </c>
      <c r="W12" s="69">
        <v>2</v>
      </c>
      <c r="X12" s="70" t="s">
        <v>176</v>
      </c>
      <c r="Y12" s="58">
        <f t="shared" ref="Y12:Y29" si="12">IF((T12="N"),"不適用",IF(COUNTA(U12,W12)&lt;2,"評鑑中",$S$2*U12*W12))</f>
        <v>6</v>
      </c>
      <c r="Z12" s="41"/>
    </row>
    <row r="13" spans="1:26" ht="31">
      <c r="A13" s="54" t="str">
        <f t="shared" si="11"/>
        <v>材1-1-HW-02</v>
      </c>
      <c r="B13" s="55">
        <f t="shared" si="0"/>
        <v>0</v>
      </c>
      <c r="C13" s="55" t="str">
        <f t="shared" si="1"/>
        <v>石油與天然氣輸儲查核與檢測雲端平台-DB SERVER</v>
      </c>
      <c r="D13" s="55" t="str">
        <f t="shared" si="2"/>
        <v>系統DB存放空間，資訊處代管。</v>
      </c>
      <c r="E13" s="55">
        <f t="shared" si="3"/>
        <v>1</v>
      </c>
      <c r="F13" s="55" t="str">
        <f t="shared" si="4"/>
        <v>劉莉晶</v>
      </c>
      <c r="G13" s="55">
        <f t="shared" si="5"/>
        <v>3</v>
      </c>
      <c r="H13" s="55">
        <f t="shared" si="6"/>
        <v>2</v>
      </c>
      <c r="I13" s="55">
        <f t="shared" si="7"/>
        <v>2</v>
      </c>
      <c r="J13" s="55">
        <f t="shared" si="8"/>
        <v>3</v>
      </c>
      <c r="K13" s="56">
        <f t="shared" si="9"/>
        <v>3</v>
      </c>
      <c r="L13" s="56">
        <f t="shared" si="10"/>
        <v>18</v>
      </c>
      <c r="M13" s="135" t="s">
        <v>120</v>
      </c>
      <c r="N13" s="136"/>
      <c r="O13" s="137"/>
      <c r="P13" s="182" t="s">
        <v>122</v>
      </c>
      <c r="Q13" s="183"/>
      <c r="R13" s="183"/>
      <c r="S13" s="184"/>
      <c r="T13" s="69" t="s">
        <v>119</v>
      </c>
      <c r="U13" s="69">
        <v>3</v>
      </c>
      <c r="V13" s="92" t="s">
        <v>178</v>
      </c>
      <c r="W13" s="69">
        <v>2</v>
      </c>
      <c r="X13" s="70" t="s">
        <v>176</v>
      </c>
      <c r="Y13" s="58">
        <f>IF((T13="N"),"不適用",IF(COUNTA(U13,W13)&lt;2,"評鑑中",$S$2*U13*W13))</f>
        <v>18</v>
      </c>
      <c r="Z13" s="41"/>
    </row>
    <row r="14" spans="1:26" ht="46.5">
      <c r="A14" s="54" t="str">
        <f t="shared" si="11"/>
        <v>材1-1-HW-02</v>
      </c>
      <c r="B14" s="55">
        <f t="shared" si="0"/>
        <v>0</v>
      </c>
      <c r="C14" s="55" t="str">
        <f t="shared" si="1"/>
        <v>石油與天然氣輸儲查核與檢測雲端平台-DB SERVER</v>
      </c>
      <c r="D14" s="55" t="str">
        <f t="shared" si="2"/>
        <v>系統DB存放空間，資訊處代管。</v>
      </c>
      <c r="E14" s="55">
        <f t="shared" si="3"/>
        <v>1</v>
      </c>
      <c r="F14" s="55" t="str">
        <f t="shared" si="4"/>
        <v>劉莉晶</v>
      </c>
      <c r="G14" s="55">
        <f t="shared" si="5"/>
        <v>3</v>
      </c>
      <c r="H14" s="55">
        <f t="shared" si="6"/>
        <v>2</v>
      </c>
      <c r="I14" s="55">
        <f t="shared" si="7"/>
        <v>2</v>
      </c>
      <c r="J14" s="55">
        <f t="shared" si="8"/>
        <v>3</v>
      </c>
      <c r="K14" s="56">
        <f t="shared" si="9"/>
        <v>3</v>
      </c>
      <c r="L14" s="56">
        <f t="shared" si="10"/>
        <v>18</v>
      </c>
      <c r="M14" s="138" t="s">
        <v>82</v>
      </c>
      <c r="N14" s="139"/>
      <c r="O14" s="140"/>
      <c r="P14" s="141" t="s">
        <v>123</v>
      </c>
      <c r="Q14" s="142" t="s">
        <v>30</v>
      </c>
      <c r="R14" s="142" t="s">
        <v>30</v>
      </c>
      <c r="S14" s="133" t="s">
        <v>30</v>
      </c>
      <c r="T14" s="69" t="s">
        <v>119</v>
      </c>
      <c r="U14" s="69">
        <v>1</v>
      </c>
      <c r="V14" s="91" t="s">
        <v>179</v>
      </c>
      <c r="W14" s="69">
        <v>2</v>
      </c>
      <c r="X14" s="71" t="s">
        <v>180</v>
      </c>
      <c r="Y14" s="58">
        <f t="shared" si="12"/>
        <v>6</v>
      </c>
      <c r="Z14" s="41"/>
    </row>
    <row r="15" spans="1:26" ht="46.5">
      <c r="A15" s="54" t="str">
        <f t="shared" si="11"/>
        <v>材1-1-HW-02</v>
      </c>
      <c r="B15" s="55">
        <f t="shared" si="0"/>
        <v>0</v>
      </c>
      <c r="C15" s="55" t="str">
        <f t="shared" si="1"/>
        <v>石油與天然氣輸儲查核與檢測雲端平台-DB SERVER</v>
      </c>
      <c r="D15" s="55" t="str">
        <f t="shared" si="2"/>
        <v>系統DB存放空間，資訊處代管。</v>
      </c>
      <c r="E15" s="55">
        <f t="shared" si="3"/>
        <v>1</v>
      </c>
      <c r="F15" s="55" t="str">
        <f t="shared" si="4"/>
        <v>劉莉晶</v>
      </c>
      <c r="G15" s="55">
        <f t="shared" si="5"/>
        <v>3</v>
      </c>
      <c r="H15" s="55">
        <f t="shared" si="6"/>
        <v>2</v>
      </c>
      <c r="I15" s="55">
        <f t="shared" si="7"/>
        <v>2</v>
      </c>
      <c r="J15" s="55">
        <f t="shared" si="8"/>
        <v>3</v>
      </c>
      <c r="K15" s="56">
        <f t="shared" si="9"/>
        <v>3</v>
      </c>
      <c r="L15" s="56">
        <f t="shared" si="10"/>
        <v>18</v>
      </c>
      <c r="M15" s="135" t="s">
        <v>124</v>
      </c>
      <c r="N15" s="136"/>
      <c r="O15" s="137"/>
      <c r="P15" s="141" t="s">
        <v>125</v>
      </c>
      <c r="Q15" s="142" t="s">
        <v>125</v>
      </c>
      <c r="R15" s="142" t="s">
        <v>125</v>
      </c>
      <c r="S15" s="133" t="s">
        <v>125</v>
      </c>
      <c r="T15" s="69" t="s">
        <v>119</v>
      </c>
      <c r="U15" s="69">
        <v>1</v>
      </c>
      <c r="V15" s="91" t="s">
        <v>179</v>
      </c>
      <c r="W15" s="69">
        <v>2</v>
      </c>
      <c r="X15" s="71" t="s">
        <v>180</v>
      </c>
      <c r="Y15" s="58">
        <f t="shared" si="12"/>
        <v>6</v>
      </c>
      <c r="Z15" s="41"/>
    </row>
    <row r="16" spans="1:26" ht="31">
      <c r="A16" s="54" t="str">
        <f t="shared" si="11"/>
        <v>材1-1-HW-02</v>
      </c>
      <c r="B16" s="55">
        <f t="shared" si="0"/>
        <v>0</v>
      </c>
      <c r="C16" s="55" t="str">
        <f t="shared" si="1"/>
        <v>石油與天然氣輸儲查核與檢測雲端平台-DB SERVER</v>
      </c>
      <c r="D16" s="55" t="str">
        <f t="shared" si="2"/>
        <v>系統DB存放空間，資訊處代管。</v>
      </c>
      <c r="E16" s="55">
        <f t="shared" si="3"/>
        <v>1</v>
      </c>
      <c r="F16" s="55" t="str">
        <f t="shared" si="4"/>
        <v>劉莉晶</v>
      </c>
      <c r="G16" s="55">
        <f t="shared" si="5"/>
        <v>3</v>
      </c>
      <c r="H16" s="55">
        <f t="shared" si="6"/>
        <v>2</v>
      </c>
      <c r="I16" s="55">
        <f t="shared" si="7"/>
        <v>2</v>
      </c>
      <c r="J16" s="55">
        <f t="shared" si="8"/>
        <v>3</v>
      </c>
      <c r="K16" s="56">
        <f t="shared" si="9"/>
        <v>3</v>
      </c>
      <c r="L16" s="56">
        <f t="shared" si="10"/>
        <v>18</v>
      </c>
      <c r="M16" s="135" t="s">
        <v>124</v>
      </c>
      <c r="N16" s="136"/>
      <c r="O16" s="137"/>
      <c r="P16" s="141" t="s">
        <v>126</v>
      </c>
      <c r="Q16" s="142" t="s">
        <v>127</v>
      </c>
      <c r="R16" s="142" t="s">
        <v>127</v>
      </c>
      <c r="S16" s="133" t="s">
        <v>127</v>
      </c>
      <c r="T16" s="69" t="s">
        <v>119</v>
      </c>
      <c r="U16" s="69">
        <v>1</v>
      </c>
      <c r="V16" s="92" t="s">
        <v>181</v>
      </c>
      <c r="W16" s="69">
        <v>2</v>
      </c>
      <c r="X16" s="71" t="s">
        <v>180</v>
      </c>
      <c r="Y16" s="58">
        <f t="shared" si="12"/>
        <v>6</v>
      </c>
      <c r="Z16" s="41"/>
    </row>
    <row r="17" spans="1:26" ht="46.5">
      <c r="A17" s="54" t="str">
        <f t="shared" si="11"/>
        <v>材1-1-HW-02</v>
      </c>
      <c r="B17" s="55">
        <f t="shared" si="0"/>
        <v>0</v>
      </c>
      <c r="C17" s="55" t="str">
        <f t="shared" si="1"/>
        <v>石油與天然氣輸儲查核與檢測雲端平台-DB SERVER</v>
      </c>
      <c r="D17" s="55" t="str">
        <f t="shared" si="2"/>
        <v>系統DB存放空間，資訊處代管。</v>
      </c>
      <c r="E17" s="55">
        <f t="shared" si="3"/>
        <v>1</v>
      </c>
      <c r="F17" s="55" t="str">
        <f t="shared" si="4"/>
        <v>劉莉晶</v>
      </c>
      <c r="G17" s="55">
        <f t="shared" si="5"/>
        <v>3</v>
      </c>
      <c r="H17" s="55">
        <f t="shared" si="6"/>
        <v>2</v>
      </c>
      <c r="I17" s="55">
        <f t="shared" si="7"/>
        <v>2</v>
      </c>
      <c r="J17" s="55">
        <f t="shared" si="8"/>
        <v>3</v>
      </c>
      <c r="K17" s="56">
        <f t="shared" si="9"/>
        <v>3</v>
      </c>
      <c r="L17" s="56">
        <f t="shared" si="10"/>
        <v>18</v>
      </c>
      <c r="M17" s="135" t="s">
        <v>124</v>
      </c>
      <c r="N17" s="136"/>
      <c r="O17" s="137"/>
      <c r="P17" s="124" t="s">
        <v>128</v>
      </c>
      <c r="Q17" s="125" t="s">
        <v>129</v>
      </c>
      <c r="R17" s="125" t="s">
        <v>129</v>
      </c>
      <c r="S17" s="126" t="s">
        <v>129</v>
      </c>
      <c r="T17" s="69" t="s">
        <v>119</v>
      </c>
      <c r="U17" s="69">
        <v>1</v>
      </c>
      <c r="V17" s="92" t="s">
        <v>182</v>
      </c>
      <c r="W17" s="69">
        <v>2</v>
      </c>
      <c r="X17" s="71" t="s">
        <v>180</v>
      </c>
      <c r="Y17" s="58">
        <f t="shared" si="12"/>
        <v>6</v>
      </c>
      <c r="Z17" s="41"/>
    </row>
    <row r="18" spans="1:26" ht="31">
      <c r="A18" s="54" t="str">
        <f t="shared" si="11"/>
        <v>材1-1-HW-02</v>
      </c>
      <c r="B18" s="55">
        <f t="shared" si="0"/>
        <v>0</v>
      </c>
      <c r="C18" s="55" t="str">
        <f t="shared" si="1"/>
        <v>石油與天然氣輸儲查核與檢測雲端平台-DB SERVER</v>
      </c>
      <c r="D18" s="55" t="str">
        <f t="shared" si="2"/>
        <v>系統DB存放空間，資訊處代管。</v>
      </c>
      <c r="E18" s="55">
        <f t="shared" si="3"/>
        <v>1</v>
      </c>
      <c r="F18" s="55" t="str">
        <f t="shared" si="4"/>
        <v>劉莉晶</v>
      </c>
      <c r="G18" s="55">
        <f t="shared" si="5"/>
        <v>3</v>
      </c>
      <c r="H18" s="55">
        <f t="shared" si="6"/>
        <v>2</v>
      </c>
      <c r="I18" s="55">
        <f t="shared" si="7"/>
        <v>2</v>
      </c>
      <c r="J18" s="55">
        <f t="shared" si="8"/>
        <v>3</v>
      </c>
      <c r="K18" s="56">
        <f t="shared" si="9"/>
        <v>3</v>
      </c>
      <c r="L18" s="56">
        <f t="shared" si="10"/>
        <v>18</v>
      </c>
      <c r="M18" s="135" t="s">
        <v>124</v>
      </c>
      <c r="N18" s="136"/>
      <c r="O18" s="137"/>
      <c r="P18" s="124" t="s">
        <v>130</v>
      </c>
      <c r="Q18" s="125" t="s">
        <v>131</v>
      </c>
      <c r="R18" s="125" t="s">
        <v>131</v>
      </c>
      <c r="S18" s="126" t="s">
        <v>131</v>
      </c>
      <c r="T18" s="69" t="s">
        <v>119</v>
      </c>
      <c r="U18" s="69">
        <v>1</v>
      </c>
      <c r="V18" s="92" t="s">
        <v>183</v>
      </c>
      <c r="W18" s="69">
        <v>2</v>
      </c>
      <c r="X18" s="71" t="s">
        <v>180</v>
      </c>
      <c r="Y18" s="58">
        <f t="shared" si="12"/>
        <v>6</v>
      </c>
      <c r="Z18" s="41"/>
    </row>
    <row r="19" spans="1:26" ht="46.5">
      <c r="A19" s="54"/>
      <c r="B19" s="55"/>
      <c r="C19" s="55"/>
      <c r="D19" s="55"/>
      <c r="E19" s="55"/>
      <c r="F19" s="55"/>
      <c r="G19" s="55"/>
      <c r="H19" s="55"/>
      <c r="I19" s="55"/>
      <c r="J19" s="55"/>
      <c r="K19" s="56"/>
      <c r="L19" s="56"/>
      <c r="M19" s="135" t="s">
        <v>124</v>
      </c>
      <c r="N19" s="136"/>
      <c r="O19" s="137"/>
      <c r="P19" s="124" t="s">
        <v>132</v>
      </c>
      <c r="Q19" s="125"/>
      <c r="R19" s="125"/>
      <c r="S19" s="126"/>
      <c r="T19" s="69" t="s">
        <v>119</v>
      </c>
      <c r="U19" s="69">
        <v>1</v>
      </c>
      <c r="V19" s="92" t="s">
        <v>184</v>
      </c>
      <c r="W19" s="69">
        <v>2</v>
      </c>
      <c r="X19" s="71" t="s">
        <v>180</v>
      </c>
      <c r="Y19" s="58">
        <f t="shared" si="12"/>
        <v>6</v>
      </c>
      <c r="Z19" s="41"/>
    </row>
    <row r="20" spans="1:26" ht="46.5">
      <c r="A20" s="54" t="str">
        <f t="shared" si="11"/>
        <v>材1-1-HW-02</v>
      </c>
      <c r="B20" s="55">
        <f t="shared" si="0"/>
        <v>0</v>
      </c>
      <c r="C20" s="55" t="str">
        <f t="shared" si="1"/>
        <v>石油與天然氣輸儲查核與檢測雲端平台-DB SERVER</v>
      </c>
      <c r="D20" s="55" t="str">
        <f t="shared" si="2"/>
        <v>系統DB存放空間，資訊處代管。</v>
      </c>
      <c r="E20" s="55">
        <f t="shared" si="3"/>
        <v>1</v>
      </c>
      <c r="F20" s="55" t="str">
        <f t="shared" si="4"/>
        <v>劉莉晶</v>
      </c>
      <c r="G20" s="55">
        <f t="shared" si="5"/>
        <v>3</v>
      </c>
      <c r="H20" s="55">
        <f t="shared" si="6"/>
        <v>2</v>
      </c>
      <c r="I20" s="55">
        <f t="shared" si="7"/>
        <v>2</v>
      </c>
      <c r="J20" s="55">
        <f t="shared" si="8"/>
        <v>3</v>
      </c>
      <c r="K20" s="56">
        <f t="shared" si="9"/>
        <v>3</v>
      </c>
      <c r="L20" s="56">
        <f>$S$7</f>
        <v>18</v>
      </c>
      <c r="M20" s="138" t="s">
        <v>84</v>
      </c>
      <c r="N20" s="139"/>
      <c r="O20" s="140"/>
      <c r="P20" s="143" t="s">
        <v>133</v>
      </c>
      <c r="Q20" s="143" t="s">
        <v>134</v>
      </c>
      <c r="R20" s="143" t="s">
        <v>134</v>
      </c>
      <c r="S20" s="143" t="s">
        <v>134</v>
      </c>
      <c r="T20" s="69" t="s">
        <v>119</v>
      </c>
      <c r="U20" s="69">
        <v>1</v>
      </c>
      <c r="V20" s="72" t="s">
        <v>185</v>
      </c>
      <c r="W20" s="69">
        <v>1</v>
      </c>
      <c r="X20" s="72" t="s">
        <v>186</v>
      </c>
      <c r="Y20" s="58">
        <f t="shared" si="12"/>
        <v>3</v>
      </c>
      <c r="Z20" s="61"/>
    </row>
    <row r="21" spans="1:26" ht="35.25" customHeight="1">
      <c r="A21" s="59"/>
      <c r="B21" s="60"/>
      <c r="C21" s="60"/>
      <c r="D21" s="60"/>
      <c r="E21" s="60"/>
      <c r="F21" s="60"/>
      <c r="G21" s="60"/>
      <c r="H21" s="60"/>
      <c r="I21" s="60"/>
      <c r="J21" s="60"/>
      <c r="K21" s="60"/>
      <c r="L21" s="60"/>
      <c r="M21" s="138" t="s">
        <v>85</v>
      </c>
      <c r="N21" s="139"/>
      <c r="O21" s="140"/>
      <c r="P21" s="133" t="s">
        <v>135</v>
      </c>
      <c r="Q21" s="134"/>
      <c r="R21" s="134"/>
      <c r="S21" s="134"/>
      <c r="T21" s="69" t="s">
        <v>142</v>
      </c>
      <c r="U21" s="69"/>
      <c r="V21" s="72" t="s">
        <v>187</v>
      </c>
      <c r="W21" s="69"/>
      <c r="X21" s="72"/>
      <c r="Y21" s="58" t="str">
        <f t="shared" si="12"/>
        <v>不適用</v>
      </c>
      <c r="Z21" s="61"/>
    </row>
    <row r="22" spans="1:26">
      <c r="A22" s="59"/>
      <c r="B22" s="60"/>
      <c r="C22" s="60"/>
      <c r="D22" s="60"/>
      <c r="E22" s="60"/>
      <c r="F22" s="60"/>
      <c r="G22" s="60"/>
      <c r="H22" s="60"/>
      <c r="I22" s="60"/>
      <c r="J22" s="60"/>
      <c r="K22" s="60"/>
      <c r="L22" s="60"/>
      <c r="M22" s="158" t="s">
        <v>85</v>
      </c>
      <c r="N22" s="159"/>
      <c r="O22" s="160"/>
      <c r="P22" s="133" t="s">
        <v>136</v>
      </c>
      <c r="Q22" s="134"/>
      <c r="R22" s="134"/>
      <c r="S22" s="134"/>
      <c r="T22" s="69" t="s">
        <v>142</v>
      </c>
      <c r="U22" s="69"/>
      <c r="V22" s="72" t="s">
        <v>187</v>
      </c>
      <c r="W22" s="69"/>
      <c r="X22" s="72"/>
      <c r="Y22" s="58" t="str">
        <f t="shared" si="12"/>
        <v>不適用</v>
      </c>
      <c r="Z22" s="61"/>
    </row>
    <row r="23" spans="1:26" ht="36" customHeight="1">
      <c r="A23" s="59"/>
      <c r="B23" s="60"/>
      <c r="C23" s="60"/>
      <c r="D23" s="60"/>
      <c r="E23" s="60"/>
      <c r="F23" s="60"/>
      <c r="G23" s="60"/>
      <c r="H23" s="60"/>
      <c r="I23" s="60"/>
      <c r="J23" s="60"/>
      <c r="K23" s="60"/>
      <c r="L23" s="60"/>
      <c r="M23" s="138" t="s">
        <v>86</v>
      </c>
      <c r="N23" s="139"/>
      <c r="O23" s="140"/>
      <c r="P23" s="133" t="s">
        <v>137</v>
      </c>
      <c r="Q23" s="134"/>
      <c r="R23" s="134"/>
      <c r="S23" s="134"/>
      <c r="T23" s="69" t="s">
        <v>142</v>
      </c>
      <c r="U23" s="69"/>
      <c r="V23" s="72" t="s">
        <v>187</v>
      </c>
      <c r="W23" s="69"/>
      <c r="X23" s="72"/>
      <c r="Y23" s="58" t="str">
        <f t="shared" si="12"/>
        <v>不適用</v>
      </c>
      <c r="Z23" s="61"/>
    </row>
    <row r="24" spans="1:26">
      <c r="A24" s="59"/>
      <c r="B24" s="60"/>
      <c r="C24" s="60"/>
      <c r="D24" s="60"/>
      <c r="E24" s="60"/>
      <c r="F24" s="60"/>
      <c r="G24" s="60"/>
      <c r="H24" s="60"/>
      <c r="I24" s="60"/>
      <c r="J24" s="60"/>
      <c r="K24" s="60"/>
      <c r="L24" s="60"/>
      <c r="M24" s="158" t="s">
        <v>86</v>
      </c>
      <c r="N24" s="159"/>
      <c r="O24" s="160"/>
      <c r="P24" s="133" t="s">
        <v>138</v>
      </c>
      <c r="Q24" s="134"/>
      <c r="R24" s="134"/>
      <c r="S24" s="134"/>
      <c r="T24" s="69" t="s">
        <v>142</v>
      </c>
      <c r="U24" s="69"/>
      <c r="V24" s="72" t="s">
        <v>187</v>
      </c>
      <c r="W24" s="69"/>
      <c r="X24" s="72"/>
      <c r="Y24" s="58" t="str">
        <f t="shared" si="12"/>
        <v>不適用</v>
      </c>
      <c r="Z24" s="61"/>
    </row>
    <row r="25" spans="1:26">
      <c r="A25" s="59"/>
      <c r="B25" s="60"/>
      <c r="C25" s="60"/>
      <c r="D25" s="60"/>
      <c r="E25" s="60"/>
      <c r="F25" s="60"/>
      <c r="G25" s="60"/>
      <c r="H25" s="60"/>
      <c r="I25" s="60"/>
      <c r="J25" s="60"/>
      <c r="K25" s="60"/>
      <c r="L25" s="60"/>
      <c r="M25" s="130" t="s">
        <v>87</v>
      </c>
      <c r="N25" s="131"/>
      <c r="O25" s="132"/>
      <c r="P25" s="133" t="s">
        <v>139</v>
      </c>
      <c r="Q25" s="134"/>
      <c r="R25" s="134"/>
      <c r="S25" s="134"/>
      <c r="T25" s="69" t="s">
        <v>142</v>
      </c>
      <c r="U25" s="69"/>
      <c r="V25" s="72" t="s">
        <v>187</v>
      </c>
      <c r="W25" s="69"/>
      <c r="X25" s="72"/>
      <c r="Y25" s="58" t="str">
        <f t="shared" si="12"/>
        <v>不適用</v>
      </c>
      <c r="Z25" s="61"/>
    </row>
    <row r="26" spans="1:26" s="76" customFormat="1" ht="47" customHeight="1">
      <c r="A26" s="74"/>
      <c r="B26" s="74"/>
      <c r="C26" s="74"/>
      <c r="D26" s="74"/>
      <c r="E26" s="74"/>
      <c r="F26" s="74"/>
      <c r="G26" s="74"/>
      <c r="H26" s="74"/>
      <c r="I26" s="74"/>
      <c r="J26" s="74"/>
      <c r="K26" s="74"/>
      <c r="L26" s="74"/>
      <c r="M26" s="138" t="s">
        <v>198</v>
      </c>
      <c r="N26" s="139"/>
      <c r="O26" s="140"/>
      <c r="P26" s="127" t="s">
        <v>199</v>
      </c>
      <c r="Q26" s="127"/>
      <c r="R26" s="127"/>
      <c r="S26" s="128"/>
      <c r="T26" s="84" t="s">
        <v>119</v>
      </c>
      <c r="U26" s="84">
        <v>1</v>
      </c>
      <c r="V26" s="73" t="s">
        <v>200</v>
      </c>
      <c r="W26" s="84">
        <v>2</v>
      </c>
      <c r="X26" s="73" t="s">
        <v>201</v>
      </c>
      <c r="Y26" s="58">
        <f t="shared" si="12"/>
        <v>6</v>
      </c>
      <c r="Z26" s="75"/>
    </row>
    <row r="27" spans="1:26" s="76" customFormat="1" ht="51" customHeight="1">
      <c r="A27" s="74"/>
      <c r="B27" s="74"/>
      <c r="C27" s="74"/>
      <c r="D27" s="74"/>
      <c r="E27" s="74"/>
      <c r="F27" s="74"/>
      <c r="G27" s="74"/>
      <c r="H27" s="74"/>
      <c r="I27" s="74"/>
      <c r="J27" s="74"/>
      <c r="K27" s="74"/>
      <c r="L27" s="74"/>
      <c r="M27" s="161"/>
      <c r="N27" s="162"/>
      <c r="O27" s="163"/>
      <c r="P27" s="127" t="s">
        <v>212</v>
      </c>
      <c r="Q27" s="127"/>
      <c r="R27" s="127"/>
      <c r="S27" s="128"/>
      <c r="T27" s="85" t="s">
        <v>119</v>
      </c>
      <c r="U27" s="85">
        <v>1</v>
      </c>
      <c r="V27" s="73" t="s">
        <v>200</v>
      </c>
      <c r="W27" s="85">
        <v>2</v>
      </c>
      <c r="X27" s="73" t="s">
        <v>213</v>
      </c>
      <c r="Y27" s="58">
        <f t="shared" si="12"/>
        <v>6</v>
      </c>
      <c r="Z27" s="75"/>
    </row>
    <row r="28" spans="1:26" s="76" customFormat="1" ht="31" customHeight="1">
      <c r="A28" s="74"/>
      <c r="B28" s="74"/>
      <c r="C28" s="74"/>
      <c r="D28" s="74"/>
      <c r="E28" s="74"/>
      <c r="F28" s="74"/>
      <c r="G28" s="74"/>
      <c r="H28" s="74"/>
      <c r="I28" s="74"/>
      <c r="J28" s="74"/>
      <c r="K28" s="74"/>
      <c r="L28" s="74"/>
      <c r="M28" s="130"/>
      <c r="N28" s="131"/>
      <c r="O28" s="132"/>
      <c r="P28" s="127" t="s">
        <v>214</v>
      </c>
      <c r="Q28" s="127"/>
      <c r="R28" s="127"/>
      <c r="S28" s="128"/>
      <c r="T28" s="85" t="s">
        <v>119</v>
      </c>
      <c r="U28" s="85">
        <v>1</v>
      </c>
      <c r="V28" s="73" t="s">
        <v>200</v>
      </c>
      <c r="W28" s="85">
        <v>2</v>
      </c>
      <c r="X28" s="73" t="s">
        <v>213</v>
      </c>
      <c r="Y28" s="58">
        <f t="shared" si="12"/>
        <v>6</v>
      </c>
      <c r="Z28" s="75"/>
    </row>
    <row r="29" spans="1:26">
      <c r="A29" s="147"/>
      <c r="B29" s="148"/>
      <c r="C29" s="148"/>
      <c r="D29" s="149"/>
      <c r="E29" s="150" t="s">
        <v>140</v>
      </c>
      <c r="F29" s="151"/>
      <c r="G29" s="151"/>
      <c r="H29" s="151"/>
      <c r="I29" s="151"/>
      <c r="J29" s="151"/>
      <c r="K29" s="151"/>
      <c r="L29" s="151"/>
      <c r="M29" s="152" t="s">
        <v>88</v>
      </c>
      <c r="N29" s="153"/>
      <c r="O29" s="154"/>
      <c r="P29" s="155" t="s">
        <v>141</v>
      </c>
      <c r="Q29" s="156"/>
      <c r="R29" s="156"/>
      <c r="S29" s="157"/>
      <c r="T29" s="62" t="s">
        <v>142</v>
      </c>
      <c r="U29" s="62"/>
      <c r="V29" s="63"/>
      <c r="W29" s="62"/>
      <c r="X29" s="63"/>
      <c r="Y29" s="64" t="str">
        <f t="shared" si="12"/>
        <v>不適用</v>
      </c>
      <c r="Z29" s="57"/>
    </row>
    <row r="34" spans="13:13">
      <c r="M34" s="7"/>
    </row>
  </sheetData>
  <sheetProtection formatCells="0" formatColumns="0" formatRows="0" insertColumns="0" insertRows="0" insertHyperlinks="0" deleteColumns="0" deleteRows="0" sort="0" autoFilter="0" pivotTables="0"/>
  <autoFilter ref="M10:Z10" xr:uid="{00000000-0009-0000-0000-000004000000}">
    <filterColumn colId="0" showButton="0"/>
    <filterColumn colId="1" showButton="0"/>
    <filterColumn colId="3" showButton="0"/>
    <filterColumn colId="4" showButton="0"/>
    <filterColumn colId="5" showButton="0"/>
  </autoFilter>
  <mergeCells count="49">
    <mergeCell ref="M25:O25"/>
    <mergeCell ref="P25:S25"/>
    <mergeCell ref="A29:D29"/>
    <mergeCell ref="E29:L29"/>
    <mergeCell ref="M29:O29"/>
    <mergeCell ref="P29:S29"/>
    <mergeCell ref="M26:O26"/>
    <mergeCell ref="P26:S26"/>
    <mergeCell ref="M27:O27"/>
    <mergeCell ref="P27:S27"/>
    <mergeCell ref="M28:O28"/>
    <mergeCell ref="P28:S28"/>
    <mergeCell ref="M22:O22"/>
    <mergeCell ref="P22:S22"/>
    <mergeCell ref="M23:O23"/>
    <mergeCell ref="P23:S23"/>
    <mergeCell ref="M24:O24"/>
    <mergeCell ref="P24:S24"/>
    <mergeCell ref="M19:O19"/>
    <mergeCell ref="P19:S19"/>
    <mergeCell ref="M20:O20"/>
    <mergeCell ref="P20:S20"/>
    <mergeCell ref="M21:O21"/>
    <mergeCell ref="P21:S21"/>
    <mergeCell ref="M16:O16"/>
    <mergeCell ref="P16:S16"/>
    <mergeCell ref="M17:O17"/>
    <mergeCell ref="P17:S17"/>
    <mergeCell ref="M18:O18"/>
    <mergeCell ref="P18:S18"/>
    <mergeCell ref="M13:O13"/>
    <mergeCell ref="P13:S13"/>
    <mergeCell ref="M14:O14"/>
    <mergeCell ref="P14:S14"/>
    <mergeCell ref="M15:O15"/>
    <mergeCell ref="P15:S15"/>
    <mergeCell ref="M12:O12"/>
    <mergeCell ref="P12:S12"/>
    <mergeCell ref="M1:Z1"/>
    <mergeCell ref="N2:P2"/>
    <mergeCell ref="N3:P3"/>
    <mergeCell ref="N4:P4"/>
    <mergeCell ref="N5:P5"/>
    <mergeCell ref="N6:P6"/>
    <mergeCell ref="N7:P7"/>
    <mergeCell ref="M10:O10"/>
    <mergeCell ref="P10:S10"/>
    <mergeCell ref="M11:O11"/>
    <mergeCell ref="P11:S11"/>
  </mergeCells>
  <phoneticPr fontId="1" type="noConversion"/>
  <dataValidations count="2">
    <dataValidation type="list" allowBlank="1" showInputMessage="1" showErrorMessage="1" sqref="T65541:T65564 JI65541:JI65564 TE65541:TE65564 ADA65541:ADA65564 AMW65541:AMW65564 AWS65541:AWS65564 BGO65541:BGO65564 BQK65541:BQK65564 CAG65541:CAG65564 CKC65541:CKC65564 CTY65541:CTY65564 DDU65541:DDU65564 DNQ65541:DNQ65564 DXM65541:DXM65564 EHI65541:EHI65564 ERE65541:ERE65564 FBA65541:FBA65564 FKW65541:FKW65564 FUS65541:FUS65564 GEO65541:GEO65564 GOK65541:GOK65564 GYG65541:GYG65564 HIC65541:HIC65564 HRY65541:HRY65564 IBU65541:IBU65564 ILQ65541:ILQ65564 IVM65541:IVM65564 JFI65541:JFI65564 JPE65541:JPE65564 JZA65541:JZA65564 KIW65541:KIW65564 KSS65541:KSS65564 LCO65541:LCO65564 LMK65541:LMK65564 LWG65541:LWG65564 MGC65541:MGC65564 MPY65541:MPY65564 MZU65541:MZU65564 NJQ65541:NJQ65564 NTM65541:NTM65564 ODI65541:ODI65564 ONE65541:ONE65564 OXA65541:OXA65564 PGW65541:PGW65564 PQS65541:PQS65564 QAO65541:QAO65564 QKK65541:QKK65564 QUG65541:QUG65564 REC65541:REC65564 RNY65541:RNY65564 RXU65541:RXU65564 SHQ65541:SHQ65564 SRM65541:SRM65564 TBI65541:TBI65564 TLE65541:TLE65564 TVA65541:TVA65564 UEW65541:UEW65564 UOS65541:UOS65564 UYO65541:UYO65564 VIK65541:VIK65564 VSG65541:VSG65564 WCC65541:WCC65564 WLY65541:WLY65564 WVU65541:WVU65564 T131077:T131100 JI131077:JI131100 TE131077:TE131100 ADA131077:ADA131100 AMW131077:AMW131100 AWS131077:AWS131100 BGO131077:BGO131100 BQK131077:BQK131100 CAG131077:CAG131100 CKC131077:CKC131100 CTY131077:CTY131100 DDU131077:DDU131100 DNQ131077:DNQ131100 DXM131077:DXM131100 EHI131077:EHI131100 ERE131077:ERE131100 FBA131077:FBA131100 FKW131077:FKW131100 FUS131077:FUS131100 GEO131077:GEO131100 GOK131077:GOK131100 GYG131077:GYG131100 HIC131077:HIC131100 HRY131077:HRY131100 IBU131077:IBU131100 ILQ131077:ILQ131100 IVM131077:IVM131100 JFI131077:JFI131100 JPE131077:JPE131100 JZA131077:JZA131100 KIW131077:KIW131100 KSS131077:KSS131100 LCO131077:LCO131100 LMK131077:LMK131100 LWG131077:LWG131100 MGC131077:MGC131100 MPY131077:MPY131100 MZU131077:MZU131100 NJQ131077:NJQ131100 NTM131077:NTM131100 ODI131077:ODI131100 ONE131077:ONE131100 OXA131077:OXA131100 PGW131077:PGW131100 PQS131077:PQS131100 QAO131077:QAO131100 QKK131077:QKK131100 QUG131077:QUG131100 REC131077:REC131100 RNY131077:RNY131100 RXU131077:RXU131100 SHQ131077:SHQ131100 SRM131077:SRM131100 TBI131077:TBI131100 TLE131077:TLE131100 TVA131077:TVA131100 UEW131077:UEW131100 UOS131077:UOS131100 UYO131077:UYO131100 VIK131077:VIK131100 VSG131077:VSG131100 WCC131077:WCC131100 WLY131077:WLY131100 WVU131077:WVU131100 T196613:T196636 JI196613:JI196636 TE196613:TE196636 ADA196613:ADA196636 AMW196613:AMW196636 AWS196613:AWS196636 BGO196613:BGO196636 BQK196613:BQK196636 CAG196613:CAG196636 CKC196613:CKC196636 CTY196613:CTY196636 DDU196613:DDU196636 DNQ196613:DNQ196636 DXM196613:DXM196636 EHI196613:EHI196636 ERE196613:ERE196636 FBA196613:FBA196636 FKW196613:FKW196636 FUS196613:FUS196636 GEO196613:GEO196636 GOK196613:GOK196636 GYG196613:GYG196636 HIC196613:HIC196636 HRY196613:HRY196636 IBU196613:IBU196636 ILQ196613:ILQ196636 IVM196613:IVM196636 JFI196613:JFI196636 JPE196613:JPE196636 JZA196613:JZA196636 KIW196613:KIW196636 KSS196613:KSS196636 LCO196613:LCO196636 LMK196613:LMK196636 LWG196613:LWG196636 MGC196613:MGC196636 MPY196613:MPY196636 MZU196613:MZU196636 NJQ196613:NJQ196636 NTM196613:NTM196636 ODI196613:ODI196636 ONE196613:ONE196636 OXA196613:OXA196636 PGW196613:PGW196636 PQS196613:PQS196636 QAO196613:QAO196636 QKK196613:QKK196636 QUG196613:QUG196636 REC196613:REC196636 RNY196613:RNY196636 RXU196613:RXU196636 SHQ196613:SHQ196636 SRM196613:SRM196636 TBI196613:TBI196636 TLE196613:TLE196636 TVA196613:TVA196636 UEW196613:UEW196636 UOS196613:UOS196636 UYO196613:UYO196636 VIK196613:VIK196636 VSG196613:VSG196636 WCC196613:WCC196636 WLY196613:WLY196636 WVU196613:WVU196636 T262149:T262172 JI262149:JI262172 TE262149:TE262172 ADA262149:ADA262172 AMW262149:AMW262172 AWS262149:AWS262172 BGO262149:BGO262172 BQK262149:BQK262172 CAG262149:CAG262172 CKC262149:CKC262172 CTY262149:CTY262172 DDU262149:DDU262172 DNQ262149:DNQ262172 DXM262149:DXM262172 EHI262149:EHI262172 ERE262149:ERE262172 FBA262149:FBA262172 FKW262149:FKW262172 FUS262149:FUS262172 GEO262149:GEO262172 GOK262149:GOK262172 GYG262149:GYG262172 HIC262149:HIC262172 HRY262149:HRY262172 IBU262149:IBU262172 ILQ262149:ILQ262172 IVM262149:IVM262172 JFI262149:JFI262172 JPE262149:JPE262172 JZA262149:JZA262172 KIW262149:KIW262172 KSS262149:KSS262172 LCO262149:LCO262172 LMK262149:LMK262172 LWG262149:LWG262172 MGC262149:MGC262172 MPY262149:MPY262172 MZU262149:MZU262172 NJQ262149:NJQ262172 NTM262149:NTM262172 ODI262149:ODI262172 ONE262149:ONE262172 OXA262149:OXA262172 PGW262149:PGW262172 PQS262149:PQS262172 QAO262149:QAO262172 QKK262149:QKK262172 QUG262149:QUG262172 REC262149:REC262172 RNY262149:RNY262172 RXU262149:RXU262172 SHQ262149:SHQ262172 SRM262149:SRM262172 TBI262149:TBI262172 TLE262149:TLE262172 TVA262149:TVA262172 UEW262149:UEW262172 UOS262149:UOS262172 UYO262149:UYO262172 VIK262149:VIK262172 VSG262149:VSG262172 WCC262149:WCC262172 WLY262149:WLY262172 WVU262149:WVU262172 T327685:T327708 JI327685:JI327708 TE327685:TE327708 ADA327685:ADA327708 AMW327685:AMW327708 AWS327685:AWS327708 BGO327685:BGO327708 BQK327685:BQK327708 CAG327685:CAG327708 CKC327685:CKC327708 CTY327685:CTY327708 DDU327685:DDU327708 DNQ327685:DNQ327708 DXM327685:DXM327708 EHI327685:EHI327708 ERE327685:ERE327708 FBA327685:FBA327708 FKW327685:FKW327708 FUS327685:FUS327708 GEO327685:GEO327708 GOK327685:GOK327708 GYG327685:GYG327708 HIC327685:HIC327708 HRY327685:HRY327708 IBU327685:IBU327708 ILQ327685:ILQ327708 IVM327685:IVM327708 JFI327685:JFI327708 JPE327685:JPE327708 JZA327685:JZA327708 KIW327685:KIW327708 KSS327685:KSS327708 LCO327685:LCO327708 LMK327685:LMK327708 LWG327685:LWG327708 MGC327685:MGC327708 MPY327685:MPY327708 MZU327685:MZU327708 NJQ327685:NJQ327708 NTM327685:NTM327708 ODI327685:ODI327708 ONE327685:ONE327708 OXA327685:OXA327708 PGW327685:PGW327708 PQS327685:PQS327708 QAO327685:QAO327708 QKK327685:QKK327708 QUG327685:QUG327708 REC327685:REC327708 RNY327685:RNY327708 RXU327685:RXU327708 SHQ327685:SHQ327708 SRM327685:SRM327708 TBI327685:TBI327708 TLE327685:TLE327708 TVA327685:TVA327708 UEW327685:UEW327708 UOS327685:UOS327708 UYO327685:UYO327708 VIK327685:VIK327708 VSG327685:VSG327708 WCC327685:WCC327708 WLY327685:WLY327708 WVU327685:WVU327708 T393221:T393244 JI393221:JI393244 TE393221:TE393244 ADA393221:ADA393244 AMW393221:AMW393244 AWS393221:AWS393244 BGO393221:BGO393244 BQK393221:BQK393244 CAG393221:CAG393244 CKC393221:CKC393244 CTY393221:CTY393244 DDU393221:DDU393244 DNQ393221:DNQ393244 DXM393221:DXM393244 EHI393221:EHI393244 ERE393221:ERE393244 FBA393221:FBA393244 FKW393221:FKW393244 FUS393221:FUS393244 GEO393221:GEO393244 GOK393221:GOK393244 GYG393221:GYG393244 HIC393221:HIC393244 HRY393221:HRY393244 IBU393221:IBU393244 ILQ393221:ILQ393244 IVM393221:IVM393244 JFI393221:JFI393244 JPE393221:JPE393244 JZA393221:JZA393244 KIW393221:KIW393244 KSS393221:KSS393244 LCO393221:LCO393244 LMK393221:LMK393244 LWG393221:LWG393244 MGC393221:MGC393244 MPY393221:MPY393244 MZU393221:MZU393244 NJQ393221:NJQ393244 NTM393221:NTM393244 ODI393221:ODI393244 ONE393221:ONE393244 OXA393221:OXA393244 PGW393221:PGW393244 PQS393221:PQS393244 QAO393221:QAO393244 QKK393221:QKK393244 QUG393221:QUG393244 REC393221:REC393244 RNY393221:RNY393244 RXU393221:RXU393244 SHQ393221:SHQ393244 SRM393221:SRM393244 TBI393221:TBI393244 TLE393221:TLE393244 TVA393221:TVA393244 UEW393221:UEW393244 UOS393221:UOS393244 UYO393221:UYO393244 VIK393221:VIK393244 VSG393221:VSG393244 WCC393221:WCC393244 WLY393221:WLY393244 WVU393221:WVU393244 T458757:T458780 JI458757:JI458780 TE458757:TE458780 ADA458757:ADA458780 AMW458757:AMW458780 AWS458757:AWS458780 BGO458757:BGO458780 BQK458757:BQK458780 CAG458757:CAG458780 CKC458757:CKC458780 CTY458757:CTY458780 DDU458757:DDU458780 DNQ458757:DNQ458780 DXM458757:DXM458780 EHI458757:EHI458780 ERE458757:ERE458780 FBA458757:FBA458780 FKW458757:FKW458780 FUS458757:FUS458780 GEO458757:GEO458780 GOK458757:GOK458780 GYG458757:GYG458780 HIC458757:HIC458780 HRY458757:HRY458780 IBU458757:IBU458780 ILQ458757:ILQ458780 IVM458757:IVM458780 JFI458757:JFI458780 JPE458757:JPE458780 JZA458757:JZA458780 KIW458757:KIW458780 KSS458757:KSS458780 LCO458757:LCO458780 LMK458757:LMK458780 LWG458757:LWG458780 MGC458757:MGC458780 MPY458757:MPY458780 MZU458757:MZU458780 NJQ458757:NJQ458780 NTM458757:NTM458780 ODI458757:ODI458780 ONE458757:ONE458780 OXA458757:OXA458780 PGW458757:PGW458780 PQS458757:PQS458780 QAO458757:QAO458780 QKK458757:QKK458780 QUG458757:QUG458780 REC458757:REC458780 RNY458757:RNY458780 RXU458757:RXU458780 SHQ458757:SHQ458780 SRM458757:SRM458780 TBI458757:TBI458780 TLE458757:TLE458780 TVA458757:TVA458780 UEW458757:UEW458780 UOS458757:UOS458780 UYO458757:UYO458780 VIK458757:VIK458780 VSG458757:VSG458780 WCC458757:WCC458780 WLY458757:WLY458780 WVU458757:WVU458780 T524293:T524316 JI524293:JI524316 TE524293:TE524316 ADA524293:ADA524316 AMW524293:AMW524316 AWS524293:AWS524316 BGO524293:BGO524316 BQK524293:BQK524316 CAG524293:CAG524316 CKC524293:CKC524316 CTY524293:CTY524316 DDU524293:DDU524316 DNQ524293:DNQ524316 DXM524293:DXM524316 EHI524293:EHI524316 ERE524293:ERE524316 FBA524293:FBA524316 FKW524293:FKW524316 FUS524293:FUS524316 GEO524293:GEO524316 GOK524293:GOK524316 GYG524293:GYG524316 HIC524293:HIC524316 HRY524293:HRY524316 IBU524293:IBU524316 ILQ524293:ILQ524316 IVM524293:IVM524316 JFI524293:JFI524316 JPE524293:JPE524316 JZA524293:JZA524316 KIW524293:KIW524316 KSS524293:KSS524316 LCO524293:LCO524316 LMK524293:LMK524316 LWG524293:LWG524316 MGC524293:MGC524316 MPY524293:MPY524316 MZU524293:MZU524316 NJQ524293:NJQ524316 NTM524293:NTM524316 ODI524293:ODI524316 ONE524293:ONE524316 OXA524293:OXA524316 PGW524293:PGW524316 PQS524293:PQS524316 QAO524293:QAO524316 QKK524293:QKK524316 QUG524293:QUG524316 REC524293:REC524316 RNY524293:RNY524316 RXU524293:RXU524316 SHQ524293:SHQ524316 SRM524293:SRM524316 TBI524293:TBI524316 TLE524293:TLE524316 TVA524293:TVA524316 UEW524293:UEW524316 UOS524293:UOS524316 UYO524293:UYO524316 VIK524293:VIK524316 VSG524293:VSG524316 WCC524293:WCC524316 WLY524293:WLY524316 WVU524293:WVU524316 T589829:T589852 JI589829:JI589852 TE589829:TE589852 ADA589829:ADA589852 AMW589829:AMW589852 AWS589829:AWS589852 BGO589829:BGO589852 BQK589829:BQK589852 CAG589829:CAG589852 CKC589829:CKC589852 CTY589829:CTY589852 DDU589829:DDU589852 DNQ589829:DNQ589852 DXM589829:DXM589852 EHI589829:EHI589852 ERE589829:ERE589852 FBA589829:FBA589852 FKW589829:FKW589852 FUS589829:FUS589852 GEO589829:GEO589852 GOK589829:GOK589852 GYG589829:GYG589852 HIC589829:HIC589852 HRY589829:HRY589852 IBU589829:IBU589852 ILQ589829:ILQ589852 IVM589829:IVM589852 JFI589829:JFI589852 JPE589829:JPE589852 JZA589829:JZA589852 KIW589829:KIW589852 KSS589829:KSS589852 LCO589829:LCO589852 LMK589829:LMK589852 LWG589829:LWG589852 MGC589829:MGC589852 MPY589829:MPY589852 MZU589829:MZU589852 NJQ589829:NJQ589852 NTM589829:NTM589852 ODI589829:ODI589852 ONE589829:ONE589852 OXA589829:OXA589852 PGW589829:PGW589852 PQS589829:PQS589852 QAO589829:QAO589852 QKK589829:QKK589852 QUG589829:QUG589852 REC589829:REC589852 RNY589829:RNY589852 RXU589829:RXU589852 SHQ589829:SHQ589852 SRM589829:SRM589852 TBI589829:TBI589852 TLE589829:TLE589852 TVA589829:TVA589852 UEW589829:UEW589852 UOS589829:UOS589852 UYO589829:UYO589852 VIK589829:VIK589852 VSG589829:VSG589852 WCC589829:WCC589852 WLY589829:WLY589852 WVU589829:WVU589852 T655365:T655388 JI655365:JI655388 TE655365:TE655388 ADA655365:ADA655388 AMW655365:AMW655388 AWS655365:AWS655388 BGO655365:BGO655388 BQK655365:BQK655388 CAG655365:CAG655388 CKC655365:CKC655388 CTY655365:CTY655388 DDU655365:DDU655388 DNQ655365:DNQ655388 DXM655365:DXM655388 EHI655365:EHI655388 ERE655365:ERE655388 FBA655365:FBA655388 FKW655365:FKW655388 FUS655365:FUS655388 GEO655365:GEO655388 GOK655365:GOK655388 GYG655365:GYG655388 HIC655365:HIC655388 HRY655365:HRY655388 IBU655365:IBU655388 ILQ655365:ILQ655388 IVM655365:IVM655388 JFI655365:JFI655388 JPE655365:JPE655388 JZA655365:JZA655388 KIW655365:KIW655388 KSS655365:KSS655388 LCO655365:LCO655388 LMK655365:LMK655388 LWG655365:LWG655388 MGC655365:MGC655388 MPY655365:MPY655388 MZU655365:MZU655388 NJQ655365:NJQ655388 NTM655365:NTM655388 ODI655365:ODI655388 ONE655365:ONE655388 OXA655365:OXA655388 PGW655365:PGW655388 PQS655365:PQS655388 QAO655365:QAO655388 QKK655365:QKK655388 QUG655365:QUG655388 REC655365:REC655388 RNY655365:RNY655388 RXU655365:RXU655388 SHQ655365:SHQ655388 SRM655365:SRM655388 TBI655365:TBI655388 TLE655365:TLE655388 TVA655365:TVA655388 UEW655365:UEW655388 UOS655365:UOS655388 UYO655365:UYO655388 VIK655365:VIK655388 VSG655365:VSG655388 WCC655365:WCC655388 WLY655365:WLY655388 WVU655365:WVU655388 T720901:T720924 JI720901:JI720924 TE720901:TE720924 ADA720901:ADA720924 AMW720901:AMW720924 AWS720901:AWS720924 BGO720901:BGO720924 BQK720901:BQK720924 CAG720901:CAG720924 CKC720901:CKC720924 CTY720901:CTY720924 DDU720901:DDU720924 DNQ720901:DNQ720924 DXM720901:DXM720924 EHI720901:EHI720924 ERE720901:ERE720924 FBA720901:FBA720924 FKW720901:FKW720924 FUS720901:FUS720924 GEO720901:GEO720924 GOK720901:GOK720924 GYG720901:GYG720924 HIC720901:HIC720924 HRY720901:HRY720924 IBU720901:IBU720924 ILQ720901:ILQ720924 IVM720901:IVM720924 JFI720901:JFI720924 JPE720901:JPE720924 JZA720901:JZA720924 KIW720901:KIW720924 KSS720901:KSS720924 LCO720901:LCO720924 LMK720901:LMK720924 LWG720901:LWG720924 MGC720901:MGC720924 MPY720901:MPY720924 MZU720901:MZU720924 NJQ720901:NJQ720924 NTM720901:NTM720924 ODI720901:ODI720924 ONE720901:ONE720924 OXA720901:OXA720924 PGW720901:PGW720924 PQS720901:PQS720924 QAO720901:QAO720924 QKK720901:QKK720924 QUG720901:QUG720924 REC720901:REC720924 RNY720901:RNY720924 RXU720901:RXU720924 SHQ720901:SHQ720924 SRM720901:SRM720924 TBI720901:TBI720924 TLE720901:TLE720924 TVA720901:TVA720924 UEW720901:UEW720924 UOS720901:UOS720924 UYO720901:UYO720924 VIK720901:VIK720924 VSG720901:VSG720924 WCC720901:WCC720924 WLY720901:WLY720924 WVU720901:WVU720924 T786437:T786460 JI786437:JI786460 TE786437:TE786460 ADA786437:ADA786460 AMW786437:AMW786460 AWS786437:AWS786460 BGO786437:BGO786460 BQK786437:BQK786460 CAG786437:CAG786460 CKC786437:CKC786460 CTY786437:CTY786460 DDU786437:DDU786460 DNQ786437:DNQ786460 DXM786437:DXM786460 EHI786437:EHI786460 ERE786437:ERE786460 FBA786437:FBA786460 FKW786437:FKW786460 FUS786437:FUS786460 GEO786437:GEO786460 GOK786437:GOK786460 GYG786437:GYG786460 HIC786437:HIC786460 HRY786437:HRY786460 IBU786437:IBU786460 ILQ786437:ILQ786460 IVM786437:IVM786460 JFI786437:JFI786460 JPE786437:JPE786460 JZA786437:JZA786460 KIW786437:KIW786460 KSS786437:KSS786460 LCO786437:LCO786460 LMK786437:LMK786460 LWG786437:LWG786460 MGC786437:MGC786460 MPY786437:MPY786460 MZU786437:MZU786460 NJQ786437:NJQ786460 NTM786437:NTM786460 ODI786437:ODI786460 ONE786437:ONE786460 OXA786437:OXA786460 PGW786437:PGW786460 PQS786437:PQS786460 QAO786437:QAO786460 QKK786437:QKK786460 QUG786437:QUG786460 REC786437:REC786460 RNY786437:RNY786460 RXU786437:RXU786460 SHQ786437:SHQ786460 SRM786437:SRM786460 TBI786437:TBI786460 TLE786437:TLE786460 TVA786437:TVA786460 UEW786437:UEW786460 UOS786437:UOS786460 UYO786437:UYO786460 VIK786437:VIK786460 VSG786437:VSG786460 WCC786437:WCC786460 WLY786437:WLY786460 WVU786437:WVU786460 T851973:T851996 JI851973:JI851996 TE851973:TE851996 ADA851973:ADA851996 AMW851973:AMW851996 AWS851973:AWS851996 BGO851973:BGO851996 BQK851973:BQK851996 CAG851973:CAG851996 CKC851973:CKC851996 CTY851973:CTY851996 DDU851973:DDU851996 DNQ851973:DNQ851996 DXM851973:DXM851996 EHI851973:EHI851996 ERE851973:ERE851996 FBA851973:FBA851996 FKW851973:FKW851996 FUS851973:FUS851996 GEO851973:GEO851996 GOK851973:GOK851996 GYG851973:GYG851996 HIC851973:HIC851996 HRY851973:HRY851996 IBU851973:IBU851996 ILQ851973:ILQ851996 IVM851973:IVM851996 JFI851973:JFI851996 JPE851973:JPE851996 JZA851973:JZA851996 KIW851973:KIW851996 KSS851973:KSS851996 LCO851973:LCO851996 LMK851973:LMK851996 LWG851973:LWG851996 MGC851973:MGC851996 MPY851973:MPY851996 MZU851973:MZU851996 NJQ851973:NJQ851996 NTM851973:NTM851996 ODI851973:ODI851996 ONE851973:ONE851996 OXA851973:OXA851996 PGW851973:PGW851996 PQS851973:PQS851996 QAO851973:QAO851996 QKK851973:QKK851996 QUG851973:QUG851996 REC851973:REC851996 RNY851973:RNY851996 RXU851973:RXU851996 SHQ851973:SHQ851996 SRM851973:SRM851996 TBI851973:TBI851996 TLE851973:TLE851996 TVA851973:TVA851996 UEW851973:UEW851996 UOS851973:UOS851996 UYO851973:UYO851996 VIK851973:VIK851996 VSG851973:VSG851996 WCC851973:WCC851996 WLY851973:WLY851996 WVU851973:WVU851996 T917509:T917532 JI917509:JI917532 TE917509:TE917532 ADA917509:ADA917532 AMW917509:AMW917532 AWS917509:AWS917532 BGO917509:BGO917532 BQK917509:BQK917532 CAG917509:CAG917532 CKC917509:CKC917532 CTY917509:CTY917532 DDU917509:DDU917532 DNQ917509:DNQ917532 DXM917509:DXM917532 EHI917509:EHI917532 ERE917509:ERE917532 FBA917509:FBA917532 FKW917509:FKW917532 FUS917509:FUS917532 GEO917509:GEO917532 GOK917509:GOK917532 GYG917509:GYG917532 HIC917509:HIC917532 HRY917509:HRY917532 IBU917509:IBU917532 ILQ917509:ILQ917532 IVM917509:IVM917532 JFI917509:JFI917532 JPE917509:JPE917532 JZA917509:JZA917532 KIW917509:KIW917532 KSS917509:KSS917532 LCO917509:LCO917532 LMK917509:LMK917532 LWG917509:LWG917532 MGC917509:MGC917532 MPY917509:MPY917532 MZU917509:MZU917532 NJQ917509:NJQ917532 NTM917509:NTM917532 ODI917509:ODI917532 ONE917509:ONE917532 OXA917509:OXA917532 PGW917509:PGW917532 PQS917509:PQS917532 QAO917509:QAO917532 QKK917509:QKK917532 QUG917509:QUG917532 REC917509:REC917532 RNY917509:RNY917532 RXU917509:RXU917532 SHQ917509:SHQ917532 SRM917509:SRM917532 TBI917509:TBI917532 TLE917509:TLE917532 TVA917509:TVA917532 UEW917509:UEW917532 UOS917509:UOS917532 UYO917509:UYO917532 VIK917509:VIK917532 VSG917509:VSG917532 WCC917509:WCC917532 WLY917509:WLY917532 WVU917509:WVU917532 T983045:T983068 JI983045:JI983068 TE983045:TE983068 ADA983045:ADA983068 AMW983045:AMW983068 AWS983045:AWS983068 BGO983045:BGO983068 BQK983045:BQK983068 CAG983045:CAG983068 CKC983045:CKC983068 CTY983045:CTY983068 DDU983045:DDU983068 DNQ983045:DNQ983068 DXM983045:DXM983068 EHI983045:EHI983068 ERE983045:ERE983068 FBA983045:FBA983068 FKW983045:FKW983068 FUS983045:FUS983068 GEO983045:GEO983068 GOK983045:GOK983068 GYG983045:GYG983068 HIC983045:HIC983068 HRY983045:HRY983068 IBU983045:IBU983068 ILQ983045:ILQ983068 IVM983045:IVM983068 JFI983045:JFI983068 JPE983045:JPE983068 JZA983045:JZA983068 KIW983045:KIW983068 KSS983045:KSS983068 LCO983045:LCO983068 LMK983045:LMK983068 LWG983045:LWG983068 MGC983045:MGC983068 MPY983045:MPY983068 MZU983045:MZU983068 NJQ983045:NJQ983068 NTM983045:NTM983068 ODI983045:ODI983068 ONE983045:ONE983068 OXA983045:OXA983068 PGW983045:PGW983068 PQS983045:PQS983068 QAO983045:QAO983068 QKK983045:QKK983068 QUG983045:QUG983068 REC983045:REC983068 RNY983045:RNY983068 RXU983045:RXU983068 SHQ983045:SHQ983068 SRM983045:SRM983068 TBI983045:TBI983068 TLE983045:TLE983068 TVA983045:TVA983068 UEW983045:UEW983068 UOS983045:UOS983068 UYO983045:UYO983068 VIK983045:VIK983068 VSG983045:VSG983068 WCC983045:WCC983068 WLY983045:WLY983068 WVU983045:WVU983068 WVF11:WVF25 WLJ11:WLJ25 WBN11:WBN25 VRR11:VRR25 VHV11:VHV25 UXZ11:UXZ25 UOD11:UOD25 UEH11:UEH25 TUL11:TUL25 TKP11:TKP25 TAT11:TAT25 SQX11:SQX25 SHB11:SHB25 RXF11:RXF25 RNJ11:RNJ25 RDN11:RDN25 QTR11:QTR25 QJV11:QJV25 PZZ11:PZZ25 PQD11:PQD25 PGH11:PGH25 OWL11:OWL25 OMP11:OMP25 OCT11:OCT25 NSX11:NSX25 NJB11:NJB25 MZF11:MZF25 MPJ11:MPJ25 MFN11:MFN25 LVR11:LVR25 LLV11:LLV25 LBZ11:LBZ25 KSD11:KSD25 KIH11:KIH25 JYL11:JYL25 JOP11:JOP25 JET11:JET25 IUX11:IUX25 ILB11:ILB25 IBF11:IBF25 HRJ11:HRJ25 HHN11:HHN25 GXR11:GXR25 GNV11:GNV25 GDZ11:GDZ25 FUD11:FUD25 FKH11:FKH25 FAL11:FAL25 EQP11:EQP25 EGT11:EGT25 DWX11:DWX25 DNB11:DNB25 DDF11:DDF25 CTJ11:CTJ25 CJN11:CJN25 BZR11:BZR25 BPV11:BPV25 BFZ11:BFZ25 AWD11:AWD25 AMH11:AMH25 ACL11:ACL25 SP11:SP25 IT11:IT25 T11:T29" xr:uid="{00000000-0002-0000-0400-000000000000}">
      <formula1>"Y,N"</formula1>
    </dataValidation>
    <dataValidation type="list" allowBlank="1" showInputMessage="1" showErrorMessage="1" sqref="WVX983045:WVX983068 JH5:JH7 TD5:TD7 ACZ5:ACZ7 AMV5:AMV7 AWR5:AWR7 BGN5:BGN7 BQJ5:BQJ7 CAF5:CAF7 CKB5:CKB7 CTX5:CTX7 DDT5:DDT7 DNP5:DNP7 DXL5:DXL7 EHH5:EHH7 ERD5:ERD7 FAZ5:FAZ7 FKV5:FKV7 FUR5:FUR7 GEN5:GEN7 GOJ5:GOJ7 GYF5:GYF7 HIB5:HIB7 HRX5:HRX7 IBT5:IBT7 ILP5:ILP7 IVL5:IVL7 JFH5:JFH7 JPD5:JPD7 JYZ5:JYZ7 KIV5:KIV7 KSR5:KSR7 LCN5:LCN7 LMJ5:LMJ7 LWF5:LWF7 MGB5:MGB7 MPX5:MPX7 MZT5:MZT7 NJP5:NJP7 NTL5:NTL7 ODH5:ODH7 OND5:OND7 OWZ5:OWZ7 PGV5:PGV7 PQR5:PQR7 QAN5:QAN7 QKJ5:QKJ7 QUF5:QUF7 REB5:REB7 RNX5:RNX7 RXT5:RXT7 SHP5:SHP7 SRL5:SRL7 TBH5:TBH7 TLD5:TLD7 TUZ5:TUZ7 UEV5:UEV7 UOR5:UOR7 UYN5:UYN7 VIJ5:VIJ7 VSF5:VSF7 WCB5:WCB7 WLX5:WLX7 WVT5:WVT7 S65535:S65537 JH65535:JH65537 TD65535:TD65537 ACZ65535:ACZ65537 AMV65535:AMV65537 AWR65535:AWR65537 BGN65535:BGN65537 BQJ65535:BQJ65537 CAF65535:CAF65537 CKB65535:CKB65537 CTX65535:CTX65537 DDT65535:DDT65537 DNP65535:DNP65537 DXL65535:DXL65537 EHH65535:EHH65537 ERD65535:ERD65537 FAZ65535:FAZ65537 FKV65535:FKV65537 FUR65535:FUR65537 GEN65535:GEN65537 GOJ65535:GOJ65537 GYF65535:GYF65537 HIB65535:HIB65537 HRX65535:HRX65537 IBT65535:IBT65537 ILP65535:ILP65537 IVL65535:IVL65537 JFH65535:JFH65537 JPD65535:JPD65537 JYZ65535:JYZ65537 KIV65535:KIV65537 KSR65535:KSR65537 LCN65535:LCN65537 LMJ65535:LMJ65537 LWF65535:LWF65537 MGB65535:MGB65537 MPX65535:MPX65537 MZT65535:MZT65537 NJP65535:NJP65537 NTL65535:NTL65537 ODH65535:ODH65537 OND65535:OND65537 OWZ65535:OWZ65537 PGV65535:PGV65537 PQR65535:PQR65537 QAN65535:QAN65537 QKJ65535:QKJ65537 QUF65535:QUF65537 REB65535:REB65537 RNX65535:RNX65537 RXT65535:RXT65537 SHP65535:SHP65537 SRL65535:SRL65537 TBH65535:TBH65537 TLD65535:TLD65537 TUZ65535:TUZ65537 UEV65535:UEV65537 UOR65535:UOR65537 UYN65535:UYN65537 VIJ65535:VIJ65537 VSF65535:VSF65537 WCB65535:WCB65537 WLX65535:WLX65537 WVT65535:WVT65537 S131071:S131073 JH131071:JH131073 TD131071:TD131073 ACZ131071:ACZ131073 AMV131071:AMV131073 AWR131071:AWR131073 BGN131071:BGN131073 BQJ131071:BQJ131073 CAF131071:CAF131073 CKB131071:CKB131073 CTX131071:CTX131073 DDT131071:DDT131073 DNP131071:DNP131073 DXL131071:DXL131073 EHH131071:EHH131073 ERD131071:ERD131073 FAZ131071:FAZ131073 FKV131071:FKV131073 FUR131071:FUR131073 GEN131071:GEN131073 GOJ131071:GOJ131073 GYF131071:GYF131073 HIB131071:HIB131073 HRX131071:HRX131073 IBT131071:IBT131073 ILP131071:ILP131073 IVL131071:IVL131073 JFH131071:JFH131073 JPD131071:JPD131073 JYZ131071:JYZ131073 KIV131071:KIV131073 KSR131071:KSR131073 LCN131071:LCN131073 LMJ131071:LMJ131073 LWF131071:LWF131073 MGB131071:MGB131073 MPX131071:MPX131073 MZT131071:MZT131073 NJP131071:NJP131073 NTL131071:NTL131073 ODH131071:ODH131073 OND131071:OND131073 OWZ131071:OWZ131073 PGV131071:PGV131073 PQR131071:PQR131073 QAN131071:QAN131073 QKJ131071:QKJ131073 QUF131071:QUF131073 REB131071:REB131073 RNX131071:RNX131073 RXT131071:RXT131073 SHP131071:SHP131073 SRL131071:SRL131073 TBH131071:TBH131073 TLD131071:TLD131073 TUZ131071:TUZ131073 UEV131071:UEV131073 UOR131071:UOR131073 UYN131071:UYN131073 VIJ131071:VIJ131073 VSF131071:VSF131073 WCB131071:WCB131073 WLX131071:WLX131073 WVT131071:WVT131073 S196607:S196609 JH196607:JH196609 TD196607:TD196609 ACZ196607:ACZ196609 AMV196607:AMV196609 AWR196607:AWR196609 BGN196607:BGN196609 BQJ196607:BQJ196609 CAF196607:CAF196609 CKB196607:CKB196609 CTX196607:CTX196609 DDT196607:DDT196609 DNP196607:DNP196609 DXL196607:DXL196609 EHH196607:EHH196609 ERD196607:ERD196609 FAZ196607:FAZ196609 FKV196607:FKV196609 FUR196607:FUR196609 GEN196607:GEN196609 GOJ196607:GOJ196609 GYF196607:GYF196609 HIB196607:HIB196609 HRX196607:HRX196609 IBT196607:IBT196609 ILP196607:ILP196609 IVL196607:IVL196609 JFH196607:JFH196609 JPD196607:JPD196609 JYZ196607:JYZ196609 KIV196607:KIV196609 KSR196607:KSR196609 LCN196607:LCN196609 LMJ196607:LMJ196609 LWF196607:LWF196609 MGB196607:MGB196609 MPX196607:MPX196609 MZT196607:MZT196609 NJP196607:NJP196609 NTL196607:NTL196609 ODH196607:ODH196609 OND196607:OND196609 OWZ196607:OWZ196609 PGV196607:PGV196609 PQR196607:PQR196609 QAN196607:QAN196609 QKJ196607:QKJ196609 QUF196607:QUF196609 REB196607:REB196609 RNX196607:RNX196609 RXT196607:RXT196609 SHP196607:SHP196609 SRL196607:SRL196609 TBH196607:TBH196609 TLD196607:TLD196609 TUZ196607:TUZ196609 UEV196607:UEV196609 UOR196607:UOR196609 UYN196607:UYN196609 VIJ196607:VIJ196609 VSF196607:VSF196609 WCB196607:WCB196609 WLX196607:WLX196609 WVT196607:WVT196609 S262143:S262145 JH262143:JH262145 TD262143:TD262145 ACZ262143:ACZ262145 AMV262143:AMV262145 AWR262143:AWR262145 BGN262143:BGN262145 BQJ262143:BQJ262145 CAF262143:CAF262145 CKB262143:CKB262145 CTX262143:CTX262145 DDT262143:DDT262145 DNP262143:DNP262145 DXL262143:DXL262145 EHH262143:EHH262145 ERD262143:ERD262145 FAZ262143:FAZ262145 FKV262143:FKV262145 FUR262143:FUR262145 GEN262143:GEN262145 GOJ262143:GOJ262145 GYF262143:GYF262145 HIB262143:HIB262145 HRX262143:HRX262145 IBT262143:IBT262145 ILP262143:ILP262145 IVL262143:IVL262145 JFH262143:JFH262145 JPD262143:JPD262145 JYZ262143:JYZ262145 KIV262143:KIV262145 KSR262143:KSR262145 LCN262143:LCN262145 LMJ262143:LMJ262145 LWF262143:LWF262145 MGB262143:MGB262145 MPX262143:MPX262145 MZT262143:MZT262145 NJP262143:NJP262145 NTL262143:NTL262145 ODH262143:ODH262145 OND262143:OND262145 OWZ262143:OWZ262145 PGV262143:PGV262145 PQR262143:PQR262145 QAN262143:QAN262145 QKJ262143:QKJ262145 QUF262143:QUF262145 REB262143:REB262145 RNX262143:RNX262145 RXT262143:RXT262145 SHP262143:SHP262145 SRL262143:SRL262145 TBH262143:TBH262145 TLD262143:TLD262145 TUZ262143:TUZ262145 UEV262143:UEV262145 UOR262143:UOR262145 UYN262143:UYN262145 VIJ262143:VIJ262145 VSF262143:VSF262145 WCB262143:WCB262145 WLX262143:WLX262145 WVT262143:WVT262145 S327679:S327681 JH327679:JH327681 TD327679:TD327681 ACZ327679:ACZ327681 AMV327679:AMV327681 AWR327679:AWR327681 BGN327679:BGN327681 BQJ327679:BQJ327681 CAF327679:CAF327681 CKB327679:CKB327681 CTX327679:CTX327681 DDT327679:DDT327681 DNP327679:DNP327681 DXL327679:DXL327681 EHH327679:EHH327681 ERD327679:ERD327681 FAZ327679:FAZ327681 FKV327679:FKV327681 FUR327679:FUR327681 GEN327679:GEN327681 GOJ327679:GOJ327681 GYF327679:GYF327681 HIB327679:HIB327681 HRX327679:HRX327681 IBT327679:IBT327681 ILP327679:ILP327681 IVL327679:IVL327681 JFH327679:JFH327681 JPD327679:JPD327681 JYZ327679:JYZ327681 KIV327679:KIV327681 KSR327679:KSR327681 LCN327679:LCN327681 LMJ327679:LMJ327681 LWF327679:LWF327681 MGB327679:MGB327681 MPX327679:MPX327681 MZT327679:MZT327681 NJP327679:NJP327681 NTL327679:NTL327681 ODH327679:ODH327681 OND327679:OND327681 OWZ327679:OWZ327681 PGV327679:PGV327681 PQR327679:PQR327681 QAN327679:QAN327681 QKJ327679:QKJ327681 QUF327679:QUF327681 REB327679:REB327681 RNX327679:RNX327681 RXT327679:RXT327681 SHP327679:SHP327681 SRL327679:SRL327681 TBH327679:TBH327681 TLD327679:TLD327681 TUZ327679:TUZ327681 UEV327679:UEV327681 UOR327679:UOR327681 UYN327679:UYN327681 VIJ327679:VIJ327681 VSF327679:VSF327681 WCB327679:WCB327681 WLX327679:WLX327681 WVT327679:WVT327681 S393215:S393217 JH393215:JH393217 TD393215:TD393217 ACZ393215:ACZ393217 AMV393215:AMV393217 AWR393215:AWR393217 BGN393215:BGN393217 BQJ393215:BQJ393217 CAF393215:CAF393217 CKB393215:CKB393217 CTX393215:CTX393217 DDT393215:DDT393217 DNP393215:DNP393217 DXL393215:DXL393217 EHH393215:EHH393217 ERD393215:ERD393217 FAZ393215:FAZ393217 FKV393215:FKV393217 FUR393215:FUR393217 GEN393215:GEN393217 GOJ393215:GOJ393217 GYF393215:GYF393217 HIB393215:HIB393217 HRX393215:HRX393217 IBT393215:IBT393217 ILP393215:ILP393217 IVL393215:IVL393217 JFH393215:JFH393217 JPD393215:JPD393217 JYZ393215:JYZ393217 KIV393215:KIV393217 KSR393215:KSR393217 LCN393215:LCN393217 LMJ393215:LMJ393217 LWF393215:LWF393217 MGB393215:MGB393217 MPX393215:MPX393217 MZT393215:MZT393217 NJP393215:NJP393217 NTL393215:NTL393217 ODH393215:ODH393217 OND393215:OND393217 OWZ393215:OWZ393217 PGV393215:PGV393217 PQR393215:PQR393217 QAN393215:QAN393217 QKJ393215:QKJ393217 QUF393215:QUF393217 REB393215:REB393217 RNX393215:RNX393217 RXT393215:RXT393217 SHP393215:SHP393217 SRL393215:SRL393217 TBH393215:TBH393217 TLD393215:TLD393217 TUZ393215:TUZ393217 UEV393215:UEV393217 UOR393215:UOR393217 UYN393215:UYN393217 VIJ393215:VIJ393217 VSF393215:VSF393217 WCB393215:WCB393217 WLX393215:WLX393217 WVT393215:WVT393217 S458751:S458753 JH458751:JH458753 TD458751:TD458753 ACZ458751:ACZ458753 AMV458751:AMV458753 AWR458751:AWR458753 BGN458751:BGN458753 BQJ458751:BQJ458753 CAF458751:CAF458753 CKB458751:CKB458753 CTX458751:CTX458753 DDT458751:DDT458753 DNP458751:DNP458753 DXL458751:DXL458753 EHH458751:EHH458753 ERD458751:ERD458753 FAZ458751:FAZ458753 FKV458751:FKV458753 FUR458751:FUR458753 GEN458751:GEN458753 GOJ458751:GOJ458753 GYF458751:GYF458753 HIB458751:HIB458753 HRX458751:HRX458753 IBT458751:IBT458753 ILP458751:ILP458753 IVL458751:IVL458753 JFH458751:JFH458753 JPD458751:JPD458753 JYZ458751:JYZ458753 KIV458751:KIV458753 KSR458751:KSR458753 LCN458751:LCN458753 LMJ458751:LMJ458753 LWF458751:LWF458753 MGB458751:MGB458753 MPX458751:MPX458753 MZT458751:MZT458753 NJP458751:NJP458753 NTL458751:NTL458753 ODH458751:ODH458753 OND458751:OND458753 OWZ458751:OWZ458753 PGV458751:PGV458753 PQR458751:PQR458753 QAN458751:QAN458753 QKJ458751:QKJ458753 QUF458751:QUF458753 REB458751:REB458753 RNX458751:RNX458753 RXT458751:RXT458753 SHP458751:SHP458753 SRL458751:SRL458753 TBH458751:TBH458753 TLD458751:TLD458753 TUZ458751:TUZ458753 UEV458751:UEV458753 UOR458751:UOR458753 UYN458751:UYN458753 VIJ458751:VIJ458753 VSF458751:VSF458753 WCB458751:WCB458753 WLX458751:WLX458753 WVT458751:WVT458753 S524287:S524289 JH524287:JH524289 TD524287:TD524289 ACZ524287:ACZ524289 AMV524287:AMV524289 AWR524287:AWR524289 BGN524287:BGN524289 BQJ524287:BQJ524289 CAF524287:CAF524289 CKB524287:CKB524289 CTX524287:CTX524289 DDT524287:DDT524289 DNP524287:DNP524289 DXL524287:DXL524289 EHH524287:EHH524289 ERD524287:ERD524289 FAZ524287:FAZ524289 FKV524287:FKV524289 FUR524287:FUR524289 GEN524287:GEN524289 GOJ524287:GOJ524289 GYF524287:GYF524289 HIB524287:HIB524289 HRX524287:HRX524289 IBT524287:IBT524289 ILP524287:ILP524289 IVL524287:IVL524289 JFH524287:JFH524289 JPD524287:JPD524289 JYZ524287:JYZ524289 KIV524287:KIV524289 KSR524287:KSR524289 LCN524287:LCN524289 LMJ524287:LMJ524289 LWF524287:LWF524289 MGB524287:MGB524289 MPX524287:MPX524289 MZT524287:MZT524289 NJP524287:NJP524289 NTL524287:NTL524289 ODH524287:ODH524289 OND524287:OND524289 OWZ524287:OWZ524289 PGV524287:PGV524289 PQR524287:PQR524289 QAN524287:QAN524289 QKJ524287:QKJ524289 QUF524287:QUF524289 REB524287:REB524289 RNX524287:RNX524289 RXT524287:RXT524289 SHP524287:SHP524289 SRL524287:SRL524289 TBH524287:TBH524289 TLD524287:TLD524289 TUZ524287:TUZ524289 UEV524287:UEV524289 UOR524287:UOR524289 UYN524287:UYN524289 VIJ524287:VIJ524289 VSF524287:VSF524289 WCB524287:WCB524289 WLX524287:WLX524289 WVT524287:WVT524289 S589823:S589825 JH589823:JH589825 TD589823:TD589825 ACZ589823:ACZ589825 AMV589823:AMV589825 AWR589823:AWR589825 BGN589823:BGN589825 BQJ589823:BQJ589825 CAF589823:CAF589825 CKB589823:CKB589825 CTX589823:CTX589825 DDT589823:DDT589825 DNP589823:DNP589825 DXL589823:DXL589825 EHH589823:EHH589825 ERD589823:ERD589825 FAZ589823:FAZ589825 FKV589823:FKV589825 FUR589823:FUR589825 GEN589823:GEN589825 GOJ589823:GOJ589825 GYF589823:GYF589825 HIB589823:HIB589825 HRX589823:HRX589825 IBT589823:IBT589825 ILP589823:ILP589825 IVL589823:IVL589825 JFH589823:JFH589825 JPD589823:JPD589825 JYZ589823:JYZ589825 KIV589823:KIV589825 KSR589823:KSR589825 LCN589823:LCN589825 LMJ589823:LMJ589825 LWF589823:LWF589825 MGB589823:MGB589825 MPX589823:MPX589825 MZT589823:MZT589825 NJP589823:NJP589825 NTL589823:NTL589825 ODH589823:ODH589825 OND589823:OND589825 OWZ589823:OWZ589825 PGV589823:PGV589825 PQR589823:PQR589825 QAN589823:QAN589825 QKJ589823:QKJ589825 QUF589823:QUF589825 REB589823:REB589825 RNX589823:RNX589825 RXT589823:RXT589825 SHP589823:SHP589825 SRL589823:SRL589825 TBH589823:TBH589825 TLD589823:TLD589825 TUZ589823:TUZ589825 UEV589823:UEV589825 UOR589823:UOR589825 UYN589823:UYN589825 VIJ589823:VIJ589825 VSF589823:VSF589825 WCB589823:WCB589825 WLX589823:WLX589825 WVT589823:WVT589825 S655359:S655361 JH655359:JH655361 TD655359:TD655361 ACZ655359:ACZ655361 AMV655359:AMV655361 AWR655359:AWR655361 BGN655359:BGN655361 BQJ655359:BQJ655361 CAF655359:CAF655361 CKB655359:CKB655361 CTX655359:CTX655361 DDT655359:DDT655361 DNP655359:DNP655361 DXL655359:DXL655361 EHH655359:EHH655361 ERD655359:ERD655361 FAZ655359:FAZ655361 FKV655359:FKV655361 FUR655359:FUR655361 GEN655359:GEN655361 GOJ655359:GOJ655361 GYF655359:GYF655361 HIB655359:HIB655361 HRX655359:HRX655361 IBT655359:IBT655361 ILP655359:ILP655361 IVL655359:IVL655361 JFH655359:JFH655361 JPD655359:JPD655361 JYZ655359:JYZ655361 KIV655359:KIV655361 KSR655359:KSR655361 LCN655359:LCN655361 LMJ655359:LMJ655361 LWF655359:LWF655361 MGB655359:MGB655361 MPX655359:MPX655361 MZT655359:MZT655361 NJP655359:NJP655361 NTL655359:NTL655361 ODH655359:ODH655361 OND655359:OND655361 OWZ655359:OWZ655361 PGV655359:PGV655361 PQR655359:PQR655361 QAN655359:QAN655361 QKJ655359:QKJ655361 QUF655359:QUF655361 REB655359:REB655361 RNX655359:RNX655361 RXT655359:RXT655361 SHP655359:SHP655361 SRL655359:SRL655361 TBH655359:TBH655361 TLD655359:TLD655361 TUZ655359:TUZ655361 UEV655359:UEV655361 UOR655359:UOR655361 UYN655359:UYN655361 VIJ655359:VIJ655361 VSF655359:VSF655361 WCB655359:WCB655361 WLX655359:WLX655361 WVT655359:WVT655361 S720895:S720897 JH720895:JH720897 TD720895:TD720897 ACZ720895:ACZ720897 AMV720895:AMV720897 AWR720895:AWR720897 BGN720895:BGN720897 BQJ720895:BQJ720897 CAF720895:CAF720897 CKB720895:CKB720897 CTX720895:CTX720897 DDT720895:DDT720897 DNP720895:DNP720897 DXL720895:DXL720897 EHH720895:EHH720897 ERD720895:ERD720897 FAZ720895:FAZ720897 FKV720895:FKV720897 FUR720895:FUR720897 GEN720895:GEN720897 GOJ720895:GOJ720897 GYF720895:GYF720897 HIB720895:HIB720897 HRX720895:HRX720897 IBT720895:IBT720897 ILP720895:ILP720897 IVL720895:IVL720897 JFH720895:JFH720897 JPD720895:JPD720897 JYZ720895:JYZ720897 KIV720895:KIV720897 KSR720895:KSR720897 LCN720895:LCN720897 LMJ720895:LMJ720897 LWF720895:LWF720897 MGB720895:MGB720897 MPX720895:MPX720897 MZT720895:MZT720897 NJP720895:NJP720897 NTL720895:NTL720897 ODH720895:ODH720897 OND720895:OND720897 OWZ720895:OWZ720897 PGV720895:PGV720897 PQR720895:PQR720897 QAN720895:QAN720897 QKJ720895:QKJ720897 QUF720895:QUF720897 REB720895:REB720897 RNX720895:RNX720897 RXT720895:RXT720897 SHP720895:SHP720897 SRL720895:SRL720897 TBH720895:TBH720897 TLD720895:TLD720897 TUZ720895:TUZ720897 UEV720895:UEV720897 UOR720895:UOR720897 UYN720895:UYN720897 VIJ720895:VIJ720897 VSF720895:VSF720897 WCB720895:WCB720897 WLX720895:WLX720897 WVT720895:WVT720897 S786431:S786433 JH786431:JH786433 TD786431:TD786433 ACZ786431:ACZ786433 AMV786431:AMV786433 AWR786431:AWR786433 BGN786431:BGN786433 BQJ786431:BQJ786433 CAF786431:CAF786433 CKB786431:CKB786433 CTX786431:CTX786433 DDT786431:DDT786433 DNP786431:DNP786433 DXL786431:DXL786433 EHH786431:EHH786433 ERD786431:ERD786433 FAZ786431:FAZ786433 FKV786431:FKV786433 FUR786431:FUR786433 GEN786431:GEN786433 GOJ786431:GOJ786433 GYF786431:GYF786433 HIB786431:HIB786433 HRX786431:HRX786433 IBT786431:IBT786433 ILP786431:ILP786433 IVL786431:IVL786433 JFH786431:JFH786433 JPD786431:JPD786433 JYZ786431:JYZ786433 KIV786431:KIV786433 KSR786431:KSR786433 LCN786431:LCN786433 LMJ786431:LMJ786433 LWF786431:LWF786433 MGB786431:MGB786433 MPX786431:MPX786433 MZT786431:MZT786433 NJP786431:NJP786433 NTL786431:NTL786433 ODH786431:ODH786433 OND786431:OND786433 OWZ786431:OWZ786433 PGV786431:PGV786433 PQR786431:PQR786433 QAN786431:QAN786433 QKJ786431:QKJ786433 QUF786431:QUF786433 REB786431:REB786433 RNX786431:RNX786433 RXT786431:RXT786433 SHP786431:SHP786433 SRL786431:SRL786433 TBH786431:TBH786433 TLD786431:TLD786433 TUZ786431:TUZ786433 UEV786431:UEV786433 UOR786431:UOR786433 UYN786431:UYN786433 VIJ786431:VIJ786433 VSF786431:VSF786433 WCB786431:WCB786433 WLX786431:WLX786433 WVT786431:WVT786433 S851967:S851969 JH851967:JH851969 TD851967:TD851969 ACZ851967:ACZ851969 AMV851967:AMV851969 AWR851967:AWR851969 BGN851967:BGN851969 BQJ851967:BQJ851969 CAF851967:CAF851969 CKB851967:CKB851969 CTX851967:CTX851969 DDT851967:DDT851969 DNP851967:DNP851969 DXL851967:DXL851969 EHH851967:EHH851969 ERD851967:ERD851969 FAZ851967:FAZ851969 FKV851967:FKV851969 FUR851967:FUR851969 GEN851967:GEN851969 GOJ851967:GOJ851969 GYF851967:GYF851969 HIB851967:HIB851969 HRX851967:HRX851969 IBT851967:IBT851969 ILP851967:ILP851969 IVL851967:IVL851969 JFH851967:JFH851969 JPD851967:JPD851969 JYZ851967:JYZ851969 KIV851967:KIV851969 KSR851967:KSR851969 LCN851967:LCN851969 LMJ851967:LMJ851969 LWF851967:LWF851969 MGB851967:MGB851969 MPX851967:MPX851969 MZT851967:MZT851969 NJP851967:NJP851969 NTL851967:NTL851969 ODH851967:ODH851969 OND851967:OND851969 OWZ851967:OWZ851969 PGV851967:PGV851969 PQR851967:PQR851969 QAN851967:QAN851969 QKJ851967:QKJ851969 QUF851967:QUF851969 REB851967:REB851969 RNX851967:RNX851969 RXT851967:RXT851969 SHP851967:SHP851969 SRL851967:SRL851969 TBH851967:TBH851969 TLD851967:TLD851969 TUZ851967:TUZ851969 UEV851967:UEV851969 UOR851967:UOR851969 UYN851967:UYN851969 VIJ851967:VIJ851969 VSF851967:VSF851969 WCB851967:WCB851969 WLX851967:WLX851969 WVT851967:WVT851969 S917503:S917505 JH917503:JH917505 TD917503:TD917505 ACZ917503:ACZ917505 AMV917503:AMV917505 AWR917503:AWR917505 BGN917503:BGN917505 BQJ917503:BQJ917505 CAF917503:CAF917505 CKB917503:CKB917505 CTX917503:CTX917505 DDT917503:DDT917505 DNP917503:DNP917505 DXL917503:DXL917505 EHH917503:EHH917505 ERD917503:ERD917505 FAZ917503:FAZ917505 FKV917503:FKV917505 FUR917503:FUR917505 GEN917503:GEN917505 GOJ917503:GOJ917505 GYF917503:GYF917505 HIB917503:HIB917505 HRX917503:HRX917505 IBT917503:IBT917505 ILP917503:ILP917505 IVL917503:IVL917505 JFH917503:JFH917505 JPD917503:JPD917505 JYZ917503:JYZ917505 KIV917503:KIV917505 KSR917503:KSR917505 LCN917503:LCN917505 LMJ917503:LMJ917505 LWF917503:LWF917505 MGB917503:MGB917505 MPX917503:MPX917505 MZT917503:MZT917505 NJP917503:NJP917505 NTL917503:NTL917505 ODH917503:ODH917505 OND917503:OND917505 OWZ917503:OWZ917505 PGV917503:PGV917505 PQR917503:PQR917505 QAN917503:QAN917505 QKJ917503:QKJ917505 QUF917503:QUF917505 REB917503:REB917505 RNX917503:RNX917505 RXT917503:RXT917505 SHP917503:SHP917505 SRL917503:SRL917505 TBH917503:TBH917505 TLD917503:TLD917505 TUZ917503:TUZ917505 UEV917503:UEV917505 UOR917503:UOR917505 UYN917503:UYN917505 VIJ917503:VIJ917505 VSF917503:VSF917505 WCB917503:WCB917505 WLX917503:WLX917505 WVT917503:WVT917505 S983039:S983041 JH983039:JH983041 TD983039:TD983041 ACZ983039:ACZ983041 AMV983039:AMV983041 AWR983039:AWR983041 BGN983039:BGN983041 BQJ983039:BQJ983041 CAF983039:CAF983041 CKB983039:CKB983041 CTX983039:CTX983041 DDT983039:DDT983041 DNP983039:DNP983041 DXL983039:DXL983041 EHH983039:EHH983041 ERD983039:ERD983041 FAZ983039:FAZ983041 FKV983039:FKV983041 FUR983039:FUR983041 GEN983039:GEN983041 GOJ983039:GOJ983041 GYF983039:GYF983041 HIB983039:HIB983041 HRX983039:HRX983041 IBT983039:IBT983041 ILP983039:ILP983041 IVL983039:IVL983041 JFH983039:JFH983041 JPD983039:JPD983041 JYZ983039:JYZ983041 KIV983039:KIV983041 KSR983039:KSR983041 LCN983039:LCN983041 LMJ983039:LMJ983041 LWF983039:LWF983041 MGB983039:MGB983041 MPX983039:MPX983041 MZT983039:MZT983041 NJP983039:NJP983041 NTL983039:NTL983041 ODH983039:ODH983041 OND983039:OND983041 OWZ983039:OWZ983041 PGV983039:PGV983041 PQR983039:PQR983041 QAN983039:QAN983041 QKJ983039:QKJ983041 QUF983039:QUF983041 REB983039:REB983041 RNX983039:RNX983041 RXT983039:RXT983041 SHP983039:SHP983041 SRL983039:SRL983041 TBH983039:TBH983041 TLD983039:TLD983041 TUZ983039:TUZ983041 UEV983039:UEV983041 UOR983039:UOR983041 UYN983039:UYN983041 VIJ983039:VIJ983041 VSF983039:VSF983041 WCB983039:WCB983041 WLX983039:WLX983041 WVT983039:WVT983041 U65541:U65564 JJ65541:JJ65564 TF65541:TF65564 ADB65541:ADB65564 AMX65541:AMX65564 AWT65541:AWT65564 BGP65541:BGP65564 BQL65541:BQL65564 CAH65541:CAH65564 CKD65541:CKD65564 CTZ65541:CTZ65564 DDV65541:DDV65564 DNR65541:DNR65564 DXN65541:DXN65564 EHJ65541:EHJ65564 ERF65541:ERF65564 FBB65541:FBB65564 FKX65541:FKX65564 FUT65541:FUT65564 GEP65541:GEP65564 GOL65541:GOL65564 GYH65541:GYH65564 HID65541:HID65564 HRZ65541:HRZ65564 IBV65541:IBV65564 ILR65541:ILR65564 IVN65541:IVN65564 JFJ65541:JFJ65564 JPF65541:JPF65564 JZB65541:JZB65564 KIX65541:KIX65564 KST65541:KST65564 LCP65541:LCP65564 LML65541:LML65564 LWH65541:LWH65564 MGD65541:MGD65564 MPZ65541:MPZ65564 MZV65541:MZV65564 NJR65541:NJR65564 NTN65541:NTN65564 ODJ65541:ODJ65564 ONF65541:ONF65564 OXB65541:OXB65564 PGX65541:PGX65564 PQT65541:PQT65564 QAP65541:QAP65564 QKL65541:QKL65564 QUH65541:QUH65564 RED65541:RED65564 RNZ65541:RNZ65564 RXV65541:RXV65564 SHR65541:SHR65564 SRN65541:SRN65564 TBJ65541:TBJ65564 TLF65541:TLF65564 TVB65541:TVB65564 UEX65541:UEX65564 UOT65541:UOT65564 UYP65541:UYP65564 VIL65541:VIL65564 VSH65541:VSH65564 WCD65541:WCD65564 WLZ65541:WLZ65564 WVV65541:WVV65564 U131077:U131100 JJ131077:JJ131100 TF131077:TF131100 ADB131077:ADB131100 AMX131077:AMX131100 AWT131077:AWT131100 BGP131077:BGP131100 BQL131077:BQL131100 CAH131077:CAH131100 CKD131077:CKD131100 CTZ131077:CTZ131100 DDV131077:DDV131100 DNR131077:DNR131100 DXN131077:DXN131100 EHJ131077:EHJ131100 ERF131077:ERF131100 FBB131077:FBB131100 FKX131077:FKX131100 FUT131077:FUT131100 GEP131077:GEP131100 GOL131077:GOL131100 GYH131077:GYH131100 HID131077:HID131100 HRZ131077:HRZ131100 IBV131077:IBV131100 ILR131077:ILR131100 IVN131077:IVN131100 JFJ131077:JFJ131100 JPF131077:JPF131100 JZB131077:JZB131100 KIX131077:KIX131100 KST131077:KST131100 LCP131077:LCP131100 LML131077:LML131100 LWH131077:LWH131100 MGD131077:MGD131100 MPZ131077:MPZ131100 MZV131077:MZV131100 NJR131077:NJR131100 NTN131077:NTN131100 ODJ131077:ODJ131100 ONF131077:ONF131100 OXB131077:OXB131100 PGX131077:PGX131100 PQT131077:PQT131100 QAP131077:QAP131100 QKL131077:QKL131100 QUH131077:QUH131100 RED131077:RED131100 RNZ131077:RNZ131100 RXV131077:RXV131100 SHR131077:SHR131100 SRN131077:SRN131100 TBJ131077:TBJ131100 TLF131077:TLF131100 TVB131077:TVB131100 UEX131077:UEX131100 UOT131077:UOT131100 UYP131077:UYP131100 VIL131077:VIL131100 VSH131077:VSH131100 WCD131077:WCD131100 WLZ131077:WLZ131100 WVV131077:WVV131100 U196613:U196636 JJ196613:JJ196636 TF196613:TF196636 ADB196613:ADB196636 AMX196613:AMX196636 AWT196613:AWT196636 BGP196613:BGP196636 BQL196613:BQL196636 CAH196613:CAH196636 CKD196613:CKD196636 CTZ196613:CTZ196636 DDV196613:DDV196636 DNR196613:DNR196636 DXN196613:DXN196636 EHJ196613:EHJ196636 ERF196613:ERF196636 FBB196613:FBB196636 FKX196613:FKX196636 FUT196613:FUT196636 GEP196613:GEP196636 GOL196613:GOL196636 GYH196613:GYH196636 HID196613:HID196636 HRZ196613:HRZ196636 IBV196613:IBV196636 ILR196613:ILR196636 IVN196613:IVN196636 JFJ196613:JFJ196636 JPF196613:JPF196636 JZB196613:JZB196636 KIX196613:KIX196636 KST196613:KST196636 LCP196613:LCP196636 LML196613:LML196636 LWH196613:LWH196636 MGD196613:MGD196636 MPZ196613:MPZ196636 MZV196613:MZV196636 NJR196613:NJR196636 NTN196613:NTN196636 ODJ196613:ODJ196636 ONF196613:ONF196636 OXB196613:OXB196636 PGX196613:PGX196636 PQT196613:PQT196636 QAP196613:QAP196636 QKL196613:QKL196636 QUH196613:QUH196636 RED196613:RED196636 RNZ196613:RNZ196636 RXV196613:RXV196636 SHR196613:SHR196636 SRN196613:SRN196636 TBJ196613:TBJ196636 TLF196613:TLF196636 TVB196613:TVB196636 UEX196613:UEX196636 UOT196613:UOT196636 UYP196613:UYP196636 VIL196613:VIL196636 VSH196613:VSH196636 WCD196613:WCD196636 WLZ196613:WLZ196636 WVV196613:WVV196636 U262149:U262172 JJ262149:JJ262172 TF262149:TF262172 ADB262149:ADB262172 AMX262149:AMX262172 AWT262149:AWT262172 BGP262149:BGP262172 BQL262149:BQL262172 CAH262149:CAH262172 CKD262149:CKD262172 CTZ262149:CTZ262172 DDV262149:DDV262172 DNR262149:DNR262172 DXN262149:DXN262172 EHJ262149:EHJ262172 ERF262149:ERF262172 FBB262149:FBB262172 FKX262149:FKX262172 FUT262149:FUT262172 GEP262149:GEP262172 GOL262149:GOL262172 GYH262149:GYH262172 HID262149:HID262172 HRZ262149:HRZ262172 IBV262149:IBV262172 ILR262149:ILR262172 IVN262149:IVN262172 JFJ262149:JFJ262172 JPF262149:JPF262172 JZB262149:JZB262172 KIX262149:KIX262172 KST262149:KST262172 LCP262149:LCP262172 LML262149:LML262172 LWH262149:LWH262172 MGD262149:MGD262172 MPZ262149:MPZ262172 MZV262149:MZV262172 NJR262149:NJR262172 NTN262149:NTN262172 ODJ262149:ODJ262172 ONF262149:ONF262172 OXB262149:OXB262172 PGX262149:PGX262172 PQT262149:PQT262172 QAP262149:QAP262172 QKL262149:QKL262172 QUH262149:QUH262172 RED262149:RED262172 RNZ262149:RNZ262172 RXV262149:RXV262172 SHR262149:SHR262172 SRN262149:SRN262172 TBJ262149:TBJ262172 TLF262149:TLF262172 TVB262149:TVB262172 UEX262149:UEX262172 UOT262149:UOT262172 UYP262149:UYP262172 VIL262149:VIL262172 VSH262149:VSH262172 WCD262149:WCD262172 WLZ262149:WLZ262172 WVV262149:WVV262172 U327685:U327708 JJ327685:JJ327708 TF327685:TF327708 ADB327685:ADB327708 AMX327685:AMX327708 AWT327685:AWT327708 BGP327685:BGP327708 BQL327685:BQL327708 CAH327685:CAH327708 CKD327685:CKD327708 CTZ327685:CTZ327708 DDV327685:DDV327708 DNR327685:DNR327708 DXN327685:DXN327708 EHJ327685:EHJ327708 ERF327685:ERF327708 FBB327685:FBB327708 FKX327685:FKX327708 FUT327685:FUT327708 GEP327685:GEP327708 GOL327685:GOL327708 GYH327685:GYH327708 HID327685:HID327708 HRZ327685:HRZ327708 IBV327685:IBV327708 ILR327685:ILR327708 IVN327685:IVN327708 JFJ327685:JFJ327708 JPF327685:JPF327708 JZB327685:JZB327708 KIX327685:KIX327708 KST327685:KST327708 LCP327685:LCP327708 LML327685:LML327708 LWH327685:LWH327708 MGD327685:MGD327708 MPZ327685:MPZ327708 MZV327685:MZV327708 NJR327685:NJR327708 NTN327685:NTN327708 ODJ327685:ODJ327708 ONF327685:ONF327708 OXB327685:OXB327708 PGX327685:PGX327708 PQT327685:PQT327708 QAP327685:QAP327708 QKL327685:QKL327708 QUH327685:QUH327708 RED327685:RED327708 RNZ327685:RNZ327708 RXV327685:RXV327708 SHR327685:SHR327708 SRN327685:SRN327708 TBJ327685:TBJ327708 TLF327685:TLF327708 TVB327685:TVB327708 UEX327685:UEX327708 UOT327685:UOT327708 UYP327685:UYP327708 VIL327685:VIL327708 VSH327685:VSH327708 WCD327685:WCD327708 WLZ327685:WLZ327708 WVV327685:WVV327708 U393221:U393244 JJ393221:JJ393244 TF393221:TF393244 ADB393221:ADB393244 AMX393221:AMX393244 AWT393221:AWT393244 BGP393221:BGP393244 BQL393221:BQL393244 CAH393221:CAH393244 CKD393221:CKD393244 CTZ393221:CTZ393244 DDV393221:DDV393244 DNR393221:DNR393244 DXN393221:DXN393244 EHJ393221:EHJ393244 ERF393221:ERF393244 FBB393221:FBB393244 FKX393221:FKX393244 FUT393221:FUT393244 GEP393221:GEP393244 GOL393221:GOL393244 GYH393221:GYH393244 HID393221:HID393244 HRZ393221:HRZ393244 IBV393221:IBV393244 ILR393221:ILR393244 IVN393221:IVN393244 JFJ393221:JFJ393244 JPF393221:JPF393244 JZB393221:JZB393244 KIX393221:KIX393244 KST393221:KST393244 LCP393221:LCP393244 LML393221:LML393244 LWH393221:LWH393244 MGD393221:MGD393244 MPZ393221:MPZ393244 MZV393221:MZV393244 NJR393221:NJR393244 NTN393221:NTN393244 ODJ393221:ODJ393244 ONF393221:ONF393244 OXB393221:OXB393244 PGX393221:PGX393244 PQT393221:PQT393244 QAP393221:QAP393244 QKL393221:QKL393244 QUH393221:QUH393244 RED393221:RED393244 RNZ393221:RNZ393244 RXV393221:RXV393244 SHR393221:SHR393244 SRN393221:SRN393244 TBJ393221:TBJ393244 TLF393221:TLF393244 TVB393221:TVB393244 UEX393221:UEX393244 UOT393221:UOT393244 UYP393221:UYP393244 VIL393221:VIL393244 VSH393221:VSH393244 WCD393221:WCD393244 WLZ393221:WLZ393244 WVV393221:WVV393244 U458757:U458780 JJ458757:JJ458780 TF458757:TF458780 ADB458757:ADB458780 AMX458757:AMX458780 AWT458757:AWT458780 BGP458757:BGP458780 BQL458757:BQL458780 CAH458757:CAH458780 CKD458757:CKD458780 CTZ458757:CTZ458780 DDV458757:DDV458780 DNR458757:DNR458780 DXN458757:DXN458780 EHJ458757:EHJ458780 ERF458757:ERF458780 FBB458757:FBB458780 FKX458757:FKX458780 FUT458757:FUT458780 GEP458757:GEP458780 GOL458757:GOL458780 GYH458757:GYH458780 HID458757:HID458780 HRZ458757:HRZ458780 IBV458757:IBV458780 ILR458757:ILR458780 IVN458757:IVN458780 JFJ458757:JFJ458780 JPF458757:JPF458780 JZB458757:JZB458780 KIX458757:KIX458780 KST458757:KST458780 LCP458757:LCP458780 LML458757:LML458780 LWH458757:LWH458780 MGD458757:MGD458780 MPZ458757:MPZ458780 MZV458757:MZV458780 NJR458757:NJR458780 NTN458757:NTN458780 ODJ458757:ODJ458780 ONF458757:ONF458780 OXB458757:OXB458780 PGX458757:PGX458780 PQT458757:PQT458780 QAP458757:QAP458780 QKL458757:QKL458780 QUH458757:QUH458780 RED458757:RED458780 RNZ458757:RNZ458780 RXV458757:RXV458780 SHR458757:SHR458780 SRN458757:SRN458780 TBJ458757:TBJ458780 TLF458757:TLF458780 TVB458757:TVB458780 UEX458757:UEX458780 UOT458757:UOT458780 UYP458757:UYP458780 VIL458757:VIL458780 VSH458757:VSH458780 WCD458757:WCD458780 WLZ458757:WLZ458780 WVV458757:WVV458780 U524293:U524316 JJ524293:JJ524316 TF524293:TF524316 ADB524293:ADB524316 AMX524293:AMX524316 AWT524293:AWT524316 BGP524293:BGP524316 BQL524293:BQL524316 CAH524293:CAH524316 CKD524293:CKD524316 CTZ524293:CTZ524316 DDV524293:DDV524316 DNR524293:DNR524316 DXN524293:DXN524316 EHJ524293:EHJ524316 ERF524293:ERF524316 FBB524293:FBB524316 FKX524293:FKX524316 FUT524293:FUT524316 GEP524293:GEP524316 GOL524293:GOL524316 GYH524293:GYH524316 HID524293:HID524316 HRZ524293:HRZ524316 IBV524293:IBV524316 ILR524293:ILR524316 IVN524293:IVN524316 JFJ524293:JFJ524316 JPF524293:JPF524316 JZB524293:JZB524316 KIX524293:KIX524316 KST524293:KST524316 LCP524293:LCP524316 LML524293:LML524316 LWH524293:LWH524316 MGD524293:MGD524316 MPZ524293:MPZ524316 MZV524293:MZV524316 NJR524293:NJR524316 NTN524293:NTN524316 ODJ524293:ODJ524316 ONF524293:ONF524316 OXB524293:OXB524316 PGX524293:PGX524316 PQT524293:PQT524316 QAP524293:QAP524316 QKL524293:QKL524316 QUH524293:QUH524316 RED524293:RED524316 RNZ524293:RNZ524316 RXV524293:RXV524316 SHR524293:SHR524316 SRN524293:SRN524316 TBJ524293:TBJ524316 TLF524293:TLF524316 TVB524293:TVB524316 UEX524293:UEX524316 UOT524293:UOT524316 UYP524293:UYP524316 VIL524293:VIL524316 VSH524293:VSH524316 WCD524293:WCD524316 WLZ524293:WLZ524316 WVV524293:WVV524316 U589829:U589852 JJ589829:JJ589852 TF589829:TF589852 ADB589829:ADB589852 AMX589829:AMX589852 AWT589829:AWT589852 BGP589829:BGP589852 BQL589829:BQL589852 CAH589829:CAH589852 CKD589829:CKD589852 CTZ589829:CTZ589852 DDV589829:DDV589852 DNR589829:DNR589852 DXN589829:DXN589852 EHJ589829:EHJ589852 ERF589829:ERF589852 FBB589829:FBB589852 FKX589829:FKX589852 FUT589829:FUT589852 GEP589829:GEP589852 GOL589829:GOL589852 GYH589829:GYH589852 HID589829:HID589852 HRZ589829:HRZ589852 IBV589829:IBV589852 ILR589829:ILR589852 IVN589829:IVN589852 JFJ589829:JFJ589852 JPF589829:JPF589852 JZB589829:JZB589852 KIX589829:KIX589852 KST589829:KST589852 LCP589829:LCP589852 LML589829:LML589852 LWH589829:LWH589852 MGD589829:MGD589852 MPZ589829:MPZ589852 MZV589829:MZV589852 NJR589829:NJR589852 NTN589829:NTN589852 ODJ589829:ODJ589852 ONF589829:ONF589852 OXB589829:OXB589852 PGX589829:PGX589852 PQT589829:PQT589852 QAP589829:QAP589852 QKL589829:QKL589852 QUH589829:QUH589852 RED589829:RED589852 RNZ589829:RNZ589852 RXV589829:RXV589852 SHR589829:SHR589852 SRN589829:SRN589852 TBJ589829:TBJ589852 TLF589829:TLF589852 TVB589829:TVB589852 UEX589829:UEX589852 UOT589829:UOT589852 UYP589829:UYP589852 VIL589829:VIL589852 VSH589829:VSH589852 WCD589829:WCD589852 WLZ589829:WLZ589852 WVV589829:WVV589852 U655365:U655388 JJ655365:JJ655388 TF655365:TF655388 ADB655365:ADB655388 AMX655365:AMX655388 AWT655365:AWT655388 BGP655365:BGP655388 BQL655365:BQL655388 CAH655365:CAH655388 CKD655365:CKD655388 CTZ655365:CTZ655388 DDV655365:DDV655388 DNR655365:DNR655388 DXN655365:DXN655388 EHJ655365:EHJ655388 ERF655365:ERF655388 FBB655365:FBB655388 FKX655365:FKX655388 FUT655365:FUT655388 GEP655365:GEP655388 GOL655365:GOL655388 GYH655365:GYH655388 HID655365:HID655388 HRZ655365:HRZ655388 IBV655365:IBV655388 ILR655365:ILR655388 IVN655365:IVN655388 JFJ655365:JFJ655388 JPF655365:JPF655388 JZB655365:JZB655388 KIX655365:KIX655388 KST655365:KST655388 LCP655365:LCP655388 LML655365:LML655388 LWH655365:LWH655388 MGD655365:MGD655388 MPZ655365:MPZ655388 MZV655365:MZV655388 NJR655365:NJR655388 NTN655365:NTN655388 ODJ655365:ODJ655388 ONF655365:ONF655388 OXB655365:OXB655388 PGX655365:PGX655388 PQT655365:PQT655388 QAP655365:QAP655388 QKL655365:QKL655388 QUH655365:QUH655388 RED655365:RED655388 RNZ655365:RNZ655388 RXV655365:RXV655388 SHR655365:SHR655388 SRN655365:SRN655388 TBJ655365:TBJ655388 TLF655365:TLF655388 TVB655365:TVB655388 UEX655365:UEX655388 UOT655365:UOT655388 UYP655365:UYP655388 VIL655365:VIL655388 VSH655365:VSH655388 WCD655365:WCD655388 WLZ655365:WLZ655388 WVV655365:WVV655388 U720901:U720924 JJ720901:JJ720924 TF720901:TF720924 ADB720901:ADB720924 AMX720901:AMX720924 AWT720901:AWT720924 BGP720901:BGP720924 BQL720901:BQL720924 CAH720901:CAH720924 CKD720901:CKD720924 CTZ720901:CTZ720924 DDV720901:DDV720924 DNR720901:DNR720924 DXN720901:DXN720924 EHJ720901:EHJ720924 ERF720901:ERF720924 FBB720901:FBB720924 FKX720901:FKX720924 FUT720901:FUT720924 GEP720901:GEP720924 GOL720901:GOL720924 GYH720901:GYH720924 HID720901:HID720924 HRZ720901:HRZ720924 IBV720901:IBV720924 ILR720901:ILR720924 IVN720901:IVN720924 JFJ720901:JFJ720924 JPF720901:JPF720924 JZB720901:JZB720924 KIX720901:KIX720924 KST720901:KST720924 LCP720901:LCP720924 LML720901:LML720924 LWH720901:LWH720924 MGD720901:MGD720924 MPZ720901:MPZ720924 MZV720901:MZV720924 NJR720901:NJR720924 NTN720901:NTN720924 ODJ720901:ODJ720924 ONF720901:ONF720924 OXB720901:OXB720924 PGX720901:PGX720924 PQT720901:PQT720924 QAP720901:QAP720924 QKL720901:QKL720924 QUH720901:QUH720924 RED720901:RED720924 RNZ720901:RNZ720924 RXV720901:RXV720924 SHR720901:SHR720924 SRN720901:SRN720924 TBJ720901:TBJ720924 TLF720901:TLF720924 TVB720901:TVB720924 UEX720901:UEX720924 UOT720901:UOT720924 UYP720901:UYP720924 VIL720901:VIL720924 VSH720901:VSH720924 WCD720901:WCD720924 WLZ720901:WLZ720924 WVV720901:WVV720924 U786437:U786460 JJ786437:JJ786460 TF786437:TF786460 ADB786437:ADB786460 AMX786437:AMX786460 AWT786437:AWT786460 BGP786437:BGP786460 BQL786437:BQL786460 CAH786437:CAH786460 CKD786437:CKD786460 CTZ786437:CTZ786460 DDV786437:DDV786460 DNR786437:DNR786460 DXN786437:DXN786460 EHJ786437:EHJ786460 ERF786437:ERF786460 FBB786437:FBB786460 FKX786437:FKX786460 FUT786437:FUT786460 GEP786437:GEP786460 GOL786437:GOL786460 GYH786437:GYH786460 HID786437:HID786460 HRZ786437:HRZ786460 IBV786437:IBV786460 ILR786437:ILR786460 IVN786437:IVN786460 JFJ786437:JFJ786460 JPF786437:JPF786460 JZB786437:JZB786460 KIX786437:KIX786460 KST786437:KST786460 LCP786437:LCP786460 LML786437:LML786460 LWH786437:LWH786460 MGD786437:MGD786460 MPZ786437:MPZ786460 MZV786437:MZV786460 NJR786437:NJR786460 NTN786437:NTN786460 ODJ786437:ODJ786460 ONF786437:ONF786460 OXB786437:OXB786460 PGX786437:PGX786460 PQT786437:PQT786460 QAP786437:QAP786460 QKL786437:QKL786460 QUH786437:QUH786460 RED786437:RED786460 RNZ786437:RNZ786460 RXV786437:RXV786460 SHR786437:SHR786460 SRN786437:SRN786460 TBJ786437:TBJ786460 TLF786437:TLF786460 TVB786437:TVB786460 UEX786437:UEX786460 UOT786437:UOT786460 UYP786437:UYP786460 VIL786437:VIL786460 VSH786437:VSH786460 WCD786437:WCD786460 WLZ786437:WLZ786460 WVV786437:WVV786460 U851973:U851996 JJ851973:JJ851996 TF851973:TF851996 ADB851973:ADB851996 AMX851973:AMX851996 AWT851973:AWT851996 BGP851973:BGP851996 BQL851973:BQL851996 CAH851973:CAH851996 CKD851973:CKD851996 CTZ851973:CTZ851996 DDV851973:DDV851996 DNR851973:DNR851996 DXN851973:DXN851996 EHJ851973:EHJ851996 ERF851973:ERF851996 FBB851973:FBB851996 FKX851973:FKX851996 FUT851973:FUT851996 GEP851973:GEP851996 GOL851973:GOL851996 GYH851973:GYH851996 HID851973:HID851996 HRZ851973:HRZ851996 IBV851973:IBV851996 ILR851973:ILR851996 IVN851973:IVN851996 JFJ851973:JFJ851996 JPF851973:JPF851996 JZB851973:JZB851996 KIX851973:KIX851996 KST851973:KST851996 LCP851973:LCP851996 LML851973:LML851996 LWH851973:LWH851996 MGD851973:MGD851996 MPZ851973:MPZ851996 MZV851973:MZV851996 NJR851973:NJR851996 NTN851973:NTN851996 ODJ851973:ODJ851996 ONF851973:ONF851996 OXB851973:OXB851996 PGX851973:PGX851996 PQT851973:PQT851996 QAP851973:QAP851996 QKL851973:QKL851996 QUH851973:QUH851996 RED851973:RED851996 RNZ851973:RNZ851996 RXV851973:RXV851996 SHR851973:SHR851996 SRN851973:SRN851996 TBJ851973:TBJ851996 TLF851973:TLF851996 TVB851973:TVB851996 UEX851973:UEX851996 UOT851973:UOT851996 UYP851973:UYP851996 VIL851973:VIL851996 VSH851973:VSH851996 WCD851973:WCD851996 WLZ851973:WLZ851996 WVV851973:WVV851996 U917509:U917532 JJ917509:JJ917532 TF917509:TF917532 ADB917509:ADB917532 AMX917509:AMX917532 AWT917509:AWT917532 BGP917509:BGP917532 BQL917509:BQL917532 CAH917509:CAH917532 CKD917509:CKD917532 CTZ917509:CTZ917532 DDV917509:DDV917532 DNR917509:DNR917532 DXN917509:DXN917532 EHJ917509:EHJ917532 ERF917509:ERF917532 FBB917509:FBB917532 FKX917509:FKX917532 FUT917509:FUT917532 GEP917509:GEP917532 GOL917509:GOL917532 GYH917509:GYH917532 HID917509:HID917532 HRZ917509:HRZ917532 IBV917509:IBV917532 ILR917509:ILR917532 IVN917509:IVN917532 JFJ917509:JFJ917532 JPF917509:JPF917532 JZB917509:JZB917532 KIX917509:KIX917532 KST917509:KST917532 LCP917509:LCP917532 LML917509:LML917532 LWH917509:LWH917532 MGD917509:MGD917532 MPZ917509:MPZ917532 MZV917509:MZV917532 NJR917509:NJR917532 NTN917509:NTN917532 ODJ917509:ODJ917532 ONF917509:ONF917532 OXB917509:OXB917532 PGX917509:PGX917532 PQT917509:PQT917532 QAP917509:QAP917532 QKL917509:QKL917532 QUH917509:QUH917532 RED917509:RED917532 RNZ917509:RNZ917532 RXV917509:RXV917532 SHR917509:SHR917532 SRN917509:SRN917532 TBJ917509:TBJ917532 TLF917509:TLF917532 TVB917509:TVB917532 UEX917509:UEX917532 UOT917509:UOT917532 UYP917509:UYP917532 VIL917509:VIL917532 VSH917509:VSH917532 WCD917509:WCD917532 WLZ917509:WLZ917532 WVV917509:WVV917532 U983045:U983068 JJ983045:JJ983068 TF983045:TF983068 ADB983045:ADB983068 AMX983045:AMX983068 AWT983045:AWT983068 BGP983045:BGP983068 BQL983045:BQL983068 CAH983045:CAH983068 CKD983045:CKD983068 CTZ983045:CTZ983068 DDV983045:DDV983068 DNR983045:DNR983068 DXN983045:DXN983068 EHJ983045:EHJ983068 ERF983045:ERF983068 FBB983045:FBB983068 FKX983045:FKX983068 FUT983045:FUT983068 GEP983045:GEP983068 GOL983045:GOL983068 GYH983045:GYH983068 HID983045:HID983068 HRZ983045:HRZ983068 IBV983045:IBV983068 ILR983045:ILR983068 IVN983045:IVN983068 JFJ983045:JFJ983068 JPF983045:JPF983068 JZB983045:JZB983068 KIX983045:KIX983068 KST983045:KST983068 LCP983045:LCP983068 LML983045:LML983068 LWH983045:LWH983068 MGD983045:MGD983068 MPZ983045:MPZ983068 MZV983045:MZV983068 NJR983045:NJR983068 NTN983045:NTN983068 ODJ983045:ODJ983068 ONF983045:ONF983068 OXB983045:OXB983068 PGX983045:PGX983068 PQT983045:PQT983068 QAP983045:QAP983068 QKL983045:QKL983068 QUH983045:QUH983068 RED983045:RED983068 RNZ983045:RNZ983068 RXV983045:RXV983068 SHR983045:SHR983068 SRN983045:SRN983068 TBJ983045:TBJ983068 TLF983045:TLF983068 TVB983045:TVB983068 UEX983045:UEX983068 UOT983045:UOT983068 UYP983045:UYP983068 VIL983045:VIL983068 VSH983045:VSH983068 WCD983045:WCD983068 WLZ983045:WLZ983068 WVV983045:WVV983068 JL65541:JL65564 TH65541:TH65564 ADD65541:ADD65564 AMZ65541:AMZ65564 AWV65541:AWV65564 BGR65541:BGR65564 BQN65541:BQN65564 CAJ65541:CAJ65564 CKF65541:CKF65564 CUB65541:CUB65564 DDX65541:DDX65564 DNT65541:DNT65564 DXP65541:DXP65564 EHL65541:EHL65564 ERH65541:ERH65564 FBD65541:FBD65564 FKZ65541:FKZ65564 FUV65541:FUV65564 GER65541:GER65564 GON65541:GON65564 GYJ65541:GYJ65564 HIF65541:HIF65564 HSB65541:HSB65564 IBX65541:IBX65564 ILT65541:ILT65564 IVP65541:IVP65564 JFL65541:JFL65564 JPH65541:JPH65564 JZD65541:JZD65564 KIZ65541:KIZ65564 KSV65541:KSV65564 LCR65541:LCR65564 LMN65541:LMN65564 LWJ65541:LWJ65564 MGF65541:MGF65564 MQB65541:MQB65564 MZX65541:MZX65564 NJT65541:NJT65564 NTP65541:NTP65564 ODL65541:ODL65564 ONH65541:ONH65564 OXD65541:OXD65564 PGZ65541:PGZ65564 PQV65541:PQV65564 QAR65541:QAR65564 QKN65541:QKN65564 QUJ65541:QUJ65564 REF65541:REF65564 ROB65541:ROB65564 RXX65541:RXX65564 SHT65541:SHT65564 SRP65541:SRP65564 TBL65541:TBL65564 TLH65541:TLH65564 TVD65541:TVD65564 UEZ65541:UEZ65564 UOV65541:UOV65564 UYR65541:UYR65564 VIN65541:VIN65564 VSJ65541:VSJ65564 WCF65541:WCF65564 WMB65541:WMB65564 WVX65541:WVX65564 JL131077:JL131100 TH131077:TH131100 ADD131077:ADD131100 AMZ131077:AMZ131100 AWV131077:AWV131100 BGR131077:BGR131100 BQN131077:BQN131100 CAJ131077:CAJ131100 CKF131077:CKF131100 CUB131077:CUB131100 DDX131077:DDX131100 DNT131077:DNT131100 DXP131077:DXP131100 EHL131077:EHL131100 ERH131077:ERH131100 FBD131077:FBD131100 FKZ131077:FKZ131100 FUV131077:FUV131100 GER131077:GER131100 GON131077:GON131100 GYJ131077:GYJ131100 HIF131077:HIF131100 HSB131077:HSB131100 IBX131077:IBX131100 ILT131077:ILT131100 IVP131077:IVP131100 JFL131077:JFL131100 JPH131077:JPH131100 JZD131077:JZD131100 KIZ131077:KIZ131100 KSV131077:KSV131100 LCR131077:LCR131100 LMN131077:LMN131100 LWJ131077:LWJ131100 MGF131077:MGF131100 MQB131077:MQB131100 MZX131077:MZX131100 NJT131077:NJT131100 NTP131077:NTP131100 ODL131077:ODL131100 ONH131077:ONH131100 OXD131077:OXD131100 PGZ131077:PGZ131100 PQV131077:PQV131100 QAR131077:QAR131100 QKN131077:QKN131100 QUJ131077:QUJ131100 REF131077:REF131100 ROB131077:ROB131100 RXX131077:RXX131100 SHT131077:SHT131100 SRP131077:SRP131100 TBL131077:TBL131100 TLH131077:TLH131100 TVD131077:TVD131100 UEZ131077:UEZ131100 UOV131077:UOV131100 UYR131077:UYR131100 VIN131077:VIN131100 VSJ131077:VSJ131100 WCF131077:WCF131100 WMB131077:WMB131100 WVX131077:WVX131100 JL196613:JL196636 TH196613:TH196636 ADD196613:ADD196636 AMZ196613:AMZ196636 AWV196613:AWV196636 BGR196613:BGR196636 BQN196613:BQN196636 CAJ196613:CAJ196636 CKF196613:CKF196636 CUB196613:CUB196636 DDX196613:DDX196636 DNT196613:DNT196636 DXP196613:DXP196636 EHL196613:EHL196636 ERH196613:ERH196636 FBD196613:FBD196636 FKZ196613:FKZ196636 FUV196613:FUV196636 GER196613:GER196636 GON196613:GON196636 GYJ196613:GYJ196636 HIF196613:HIF196636 HSB196613:HSB196636 IBX196613:IBX196636 ILT196613:ILT196636 IVP196613:IVP196636 JFL196613:JFL196636 JPH196613:JPH196636 JZD196613:JZD196636 KIZ196613:KIZ196636 KSV196613:KSV196636 LCR196613:LCR196636 LMN196613:LMN196636 LWJ196613:LWJ196636 MGF196613:MGF196636 MQB196613:MQB196636 MZX196613:MZX196636 NJT196613:NJT196636 NTP196613:NTP196636 ODL196613:ODL196636 ONH196613:ONH196636 OXD196613:OXD196636 PGZ196613:PGZ196636 PQV196613:PQV196636 QAR196613:QAR196636 QKN196613:QKN196636 QUJ196613:QUJ196636 REF196613:REF196636 ROB196613:ROB196636 RXX196613:RXX196636 SHT196613:SHT196636 SRP196613:SRP196636 TBL196613:TBL196636 TLH196613:TLH196636 TVD196613:TVD196636 UEZ196613:UEZ196636 UOV196613:UOV196636 UYR196613:UYR196636 VIN196613:VIN196636 VSJ196613:VSJ196636 WCF196613:WCF196636 WMB196613:WMB196636 WVX196613:WVX196636 JL262149:JL262172 TH262149:TH262172 ADD262149:ADD262172 AMZ262149:AMZ262172 AWV262149:AWV262172 BGR262149:BGR262172 BQN262149:BQN262172 CAJ262149:CAJ262172 CKF262149:CKF262172 CUB262149:CUB262172 DDX262149:DDX262172 DNT262149:DNT262172 DXP262149:DXP262172 EHL262149:EHL262172 ERH262149:ERH262172 FBD262149:FBD262172 FKZ262149:FKZ262172 FUV262149:FUV262172 GER262149:GER262172 GON262149:GON262172 GYJ262149:GYJ262172 HIF262149:HIF262172 HSB262149:HSB262172 IBX262149:IBX262172 ILT262149:ILT262172 IVP262149:IVP262172 JFL262149:JFL262172 JPH262149:JPH262172 JZD262149:JZD262172 KIZ262149:KIZ262172 KSV262149:KSV262172 LCR262149:LCR262172 LMN262149:LMN262172 LWJ262149:LWJ262172 MGF262149:MGF262172 MQB262149:MQB262172 MZX262149:MZX262172 NJT262149:NJT262172 NTP262149:NTP262172 ODL262149:ODL262172 ONH262149:ONH262172 OXD262149:OXD262172 PGZ262149:PGZ262172 PQV262149:PQV262172 QAR262149:QAR262172 QKN262149:QKN262172 QUJ262149:QUJ262172 REF262149:REF262172 ROB262149:ROB262172 RXX262149:RXX262172 SHT262149:SHT262172 SRP262149:SRP262172 TBL262149:TBL262172 TLH262149:TLH262172 TVD262149:TVD262172 UEZ262149:UEZ262172 UOV262149:UOV262172 UYR262149:UYR262172 VIN262149:VIN262172 VSJ262149:VSJ262172 WCF262149:WCF262172 WMB262149:WMB262172 WVX262149:WVX262172 JL327685:JL327708 TH327685:TH327708 ADD327685:ADD327708 AMZ327685:AMZ327708 AWV327685:AWV327708 BGR327685:BGR327708 BQN327685:BQN327708 CAJ327685:CAJ327708 CKF327685:CKF327708 CUB327685:CUB327708 DDX327685:DDX327708 DNT327685:DNT327708 DXP327685:DXP327708 EHL327685:EHL327708 ERH327685:ERH327708 FBD327685:FBD327708 FKZ327685:FKZ327708 FUV327685:FUV327708 GER327685:GER327708 GON327685:GON327708 GYJ327685:GYJ327708 HIF327685:HIF327708 HSB327685:HSB327708 IBX327685:IBX327708 ILT327685:ILT327708 IVP327685:IVP327708 JFL327685:JFL327708 JPH327685:JPH327708 JZD327685:JZD327708 KIZ327685:KIZ327708 KSV327685:KSV327708 LCR327685:LCR327708 LMN327685:LMN327708 LWJ327685:LWJ327708 MGF327685:MGF327708 MQB327685:MQB327708 MZX327685:MZX327708 NJT327685:NJT327708 NTP327685:NTP327708 ODL327685:ODL327708 ONH327685:ONH327708 OXD327685:OXD327708 PGZ327685:PGZ327708 PQV327685:PQV327708 QAR327685:QAR327708 QKN327685:QKN327708 QUJ327685:QUJ327708 REF327685:REF327708 ROB327685:ROB327708 RXX327685:RXX327708 SHT327685:SHT327708 SRP327685:SRP327708 TBL327685:TBL327708 TLH327685:TLH327708 TVD327685:TVD327708 UEZ327685:UEZ327708 UOV327685:UOV327708 UYR327685:UYR327708 VIN327685:VIN327708 VSJ327685:VSJ327708 WCF327685:WCF327708 WMB327685:WMB327708 WVX327685:WVX327708 JL393221:JL393244 TH393221:TH393244 ADD393221:ADD393244 AMZ393221:AMZ393244 AWV393221:AWV393244 BGR393221:BGR393244 BQN393221:BQN393244 CAJ393221:CAJ393244 CKF393221:CKF393244 CUB393221:CUB393244 DDX393221:DDX393244 DNT393221:DNT393244 DXP393221:DXP393244 EHL393221:EHL393244 ERH393221:ERH393244 FBD393221:FBD393244 FKZ393221:FKZ393244 FUV393221:FUV393244 GER393221:GER393244 GON393221:GON393244 GYJ393221:GYJ393244 HIF393221:HIF393244 HSB393221:HSB393244 IBX393221:IBX393244 ILT393221:ILT393244 IVP393221:IVP393244 JFL393221:JFL393244 JPH393221:JPH393244 JZD393221:JZD393244 KIZ393221:KIZ393244 KSV393221:KSV393244 LCR393221:LCR393244 LMN393221:LMN393244 LWJ393221:LWJ393244 MGF393221:MGF393244 MQB393221:MQB393244 MZX393221:MZX393244 NJT393221:NJT393244 NTP393221:NTP393244 ODL393221:ODL393244 ONH393221:ONH393244 OXD393221:OXD393244 PGZ393221:PGZ393244 PQV393221:PQV393244 QAR393221:QAR393244 QKN393221:QKN393244 QUJ393221:QUJ393244 REF393221:REF393244 ROB393221:ROB393244 RXX393221:RXX393244 SHT393221:SHT393244 SRP393221:SRP393244 TBL393221:TBL393244 TLH393221:TLH393244 TVD393221:TVD393244 UEZ393221:UEZ393244 UOV393221:UOV393244 UYR393221:UYR393244 VIN393221:VIN393244 VSJ393221:VSJ393244 WCF393221:WCF393244 WMB393221:WMB393244 WVX393221:WVX393244 JL458757:JL458780 TH458757:TH458780 ADD458757:ADD458780 AMZ458757:AMZ458780 AWV458757:AWV458780 BGR458757:BGR458780 BQN458757:BQN458780 CAJ458757:CAJ458780 CKF458757:CKF458780 CUB458757:CUB458780 DDX458757:DDX458780 DNT458757:DNT458780 DXP458757:DXP458780 EHL458757:EHL458780 ERH458757:ERH458780 FBD458757:FBD458780 FKZ458757:FKZ458780 FUV458757:FUV458780 GER458757:GER458780 GON458757:GON458780 GYJ458757:GYJ458780 HIF458757:HIF458780 HSB458757:HSB458780 IBX458757:IBX458780 ILT458757:ILT458780 IVP458757:IVP458780 JFL458757:JFL458780 JPH458757:JPH458780 JZD458757:JZD458780 KIZ458757:KIZ458780 KSV458757:KSV458780 LCR458757:LCR458780 LMN458757:LMN458780 LWJ458757:LWJ458780 MGF458757:MGF458780 MQB458757:MQB458780 MZX458757:MZX458780 NJT458757:NJT458780 NTP458757:NTP458780 ODL458757:ODL458780 ONH458757:ONH458780 OXD458757:OXD458780 PGZ458757:PGZ458780 PQV458757:PQV458780 QAR458757:QAR458780 QKN458757:QKN458780 QUJ458757:QUJ458780 REF458757:REF458780 ROB458757:ROB458780 RXX458757:RXX458780 SHT458757:SHT458780 SRP458757:SRP458780 TBL458757:TBL458780 TLH458757:TLH458780 TVD458757:TVD458780 UEZ458757:UEZ458780 UOV458757:UOV458780 UYR458757:UYR458780 VIN458757:VIN458780 VSJ458757:VSJ458780 WCF458757:WCF458780 WMB458757:WMB458780 WVX458757:WVX458780 JL524293:JL524316 TH524293:TH524316 ADD524293:ADD524316 AMZ524293:AMZ524316 AWV524293:AWV524316 BGR524293:BGR524316 BQN524293:BQN524316 CAJ524293:CAJ524316 CKF524293:CKF524316 CUB524293:CUB524316 DDX524293:DDX524316 DNT524293:DNT524316 DXP524293:DXP524316 EHL524293:EHL524316 ERH524293:ERH524316 FBD524293:FBD524316 FKZ524293:FKZ524316 FUV524293:FUV524316 GER524293:GER524316 GON524293:GON524316 GYJ524293:GYJ524316 HIF524293:HIF524316 HSB524293:HSB524316 IBX524293:IBX524316 ILT524293:ILT524316 IVP524293:IVP524316 JFL524293:JFL524316 JPH524293:JPH524316 JZD524293:JZD524316 KIZ524293:KIZ524316 KSV524293:KSV524316 LCR524293:LCR524316 LMN524293:LMN524316 LWJ524293:LWJ524316 MGF524293:MGF524316 MQB524293:MQB524316 MZX524293:MZX524316 NJT524293:NJT524316 NTP524293:NTP524316 ODL524293:ODL524316 ONH524293:ONH524316 OXD524293:OXD524316 PGZ524293:PGZ524316 PQV524293:PQV524316 QAR524293:QAR524316 QKN524293:QKN524316 QUJ524293:QUJ524316 REF524293:REF524316 ROB524293:ROB524316 RXX524293:RXX524316 SHT524293:SHT524316 SRP524293:SRP524316 TBL524293:TBL524316 TLH524293:TLH524316 TVD524293:TVD524316 UEZ524293:UEZ524316 UOV524293:UOV524316 UYR524293:UYR524316 VIN524293:VIN524316 VSJ524293:VSJ524316 WCF524293:WCF524316 WMB524293:WMB524316 WVX524293:WVX524316 JL589829:JL589852 TH589829:TH589852 ADD589829:ADD589852 AMZ589829:AMZ589852 AWV589829:AWV589852 BGR589829:BGR589852 BQN589829:BQN589852 CAJ589829:CAJ589852 CKF589829:CKF589852 CUB589829:CUB589852 DDX589829:DDX589852 DNT589829:DNT589852 DXP589829:DXP589852 EHL589829:EHL589852 ERH589829:ERH589852 FBD589829:FBD589852 FKZ589829:FKZ589852 FUV589829:FUV589852 GER589829:GER589852 GON589829:GON589852 GYJ589829:GYJ589852 HIF589829:HIF589852 HSB589829:HSB589852 IBX589829:IBX589852 ILT589829:ILT589852 IVP589829:IVP589852 JFL589829:JFL589852 JPH589829:JPH589852 JZD589829:JZD589852 KIZ589829:KIZ589852 KSV589829:KSV589852 LCR589829:LCR589852 LMN589829:LMN589852 LWJ589829:LWJ589852 MGF589829:MGF589852 MQB589829:MQB589852 MZX589829:MZX589852 NJT589829:NJT589852 NTP589829:NTP589852 ODL589829:ODL589852 ONH589829:ONH589852 OXD589829:OXD589852 PGZ589829:PGZ589852 PQV589829:PQV589852 QAR589829:QAR589852 QKN589829:QKN589852 QUJ589829:QUJ589852 REF589829:REF589852 ROB589829:ROB589852 RXX589829:RXX589852 SHT589829:SHT589852 SRP589829:SRP589852 TBL589829:TBL589852 TLH589829:TLH589852 TVD589829:TVD589852 UEZ589829:UEZ589852 UOV589829:UOV589852 UYR589829:UYR589852 VIN589829:VIN589852 VSJ589829:VSJ589852 WCF589829:WCF589852 WMB589829:WMB589852 WVX589829:WVX589852 JL655365:JL655388 TH655365:TH655388 ADD655365:ADD655388 AMZ655365:AMZ655388 AWV655365:AWV655388 BGR655365:BGR655388 BQN655365:BQN655388 CAJ655365:CAJ655388 CKF655365:CKF655388 CUB655365:CUB655388 DDX655365:DDX655388 DNT655365:DNT655388 DXP655365:DXP655388 EHL655365:EHL655388 ERH655365:ERH655388 FBD655365:FBD655388 FKZ655365:FKZ655388 FUV655365:FUV655388 GER655365:GER655388 GON655365:GON655388 GYJ655365:GYJ655388 HIF655365:HIF655388 HSB655365:HSB655388 IBX655365:IBX655388 ILT655365:ILT655388 IVP655365:IVP655388 JFL655365:JFL655388 JPH655365:JPH655388 JZD655365:JZD655388 KIZ655365:KIZ655388 KSV655365:KSV655388 LCR655365:LCR655388 LMN655365:LMN655388 LWJ655365:LWJ655388 MGF655365:MGF655388 MQB655365:MQB655388 MZX655365:MZX655388 NJT655365:NJT655388 NTP655365:NTP655388 ODL655365:ODL655388 ONH655365:ONH655388 OXD655365:OXD655388 PGZ655365:PGZ655388 PQV655365:PQV655388 QAR655365:QAR655388 QKN655365:QKN655388 QUJ655365:QUJ655388 REF655365:REF655388 ROB655365:ROB655388 RXX655365:RXX655388 SHT655365:SHT655388 SRP655365:SRP655388 TBL655365:TBL655388 TLH655365:TLH655388 TVD655365:TVD655388 UEZ655365:UEZ655388 UOV655365:UOV655388 UYR655365:UYR655388 VIN655365:VIN655388 VSJ655365:VSJ655388 WCF655365:WCF655388 WMB655365:WMB655388 WVX655365:WVX655388 JL720901:JL720924 TH720901:TH720924 ADD720901:ADD720924 AMZ720901:AMZ720924 AWV720901:AWV720924 BGR720901:BGR720924 BQN720901:BQN720924 CAJ720901:CAJ720924 CKF720901:CKF720924 CUB720901:CUB720924 DDX720901:DDX720924 DNT720901:DNT720924 DXP720901:DXP720924 EHL720901:EHL720924 ERH720901:ERH720924 FBD720901:FBD720924 FKZ720901:FKZ720924 FUV720901:FUV720924 GER720901:GER720924 GON720901:GON720924 GYJ720901:GYJ720924 HIF720901:HIF720924 HSB720901:HSB720924 IBX720901:IBX720924 ILT720901:ILT720924 IVP720901:IVP720924 JFL720901:JFL720924 JPH720901:JPH720924 JZD720901:JZD720924 KIZ720901:KIZ720924 KSV720901:KSV720924 LCR720901:LCR720924 LMN720901:LMN720924 LWJ720901:LWJ720924 MGF720901:MGF720924 MQB720901:MQB720924 MZX720901:MZX720924 NJT720901:NJT720924 NTP720901:NTP720924 ODL720901:ODL720924 ONH720901:ONH720924 OXD720901:OXD720924 PGZ720901:PGZ720924 PQV720901:PQV720924 QAR720901:QAR720924 QKN720901:QKN720924 QUJ720901:QUJ720924 REF720901:REF720924 ROB720901:ROB720924 RXX720901:RXX720924 SHT720901:SHT720924 SRP720901:SRP720924 TBL720901:TBL720924 TLH720901:TLH720924 TVD720901:TVD720924 UEZ720901:UEZ720924 UOV720901:UOV720924 UYR720901:UYR720924 VIN720901:VIN720924 VSJ720901:VSJ720924 WCF720901:WCF720924 WMB720901:WMB720924 WVX720901:WVX720924 JL786437:JL786460 TH786437:TH786460 ADD786437:ADD786460 AMZ786437:AMZ786460 AWV786437:AWV786460 BGR786437:BGR786460 BQN786437:BQN786460 CAJ786437:CAJ786460 CKF786437:CKF786460 CUB786437:CUB786460 DDX786437:DDX786460 DNT786437:DNT786460 DXP786437:DXP786460 EHL786437:EHL786460 ERH786437:ERH786460 FBD786437:FBD786460 FKZ786437:FKZ786460 FUV786437:FUV786460 GER786437:GER786460 GON786437:GON786460 GYJ786437:GYJ786460 HIF786437:HIF786460 HSB786437:HSB786460 IBX786437:IBX786460 ILT786437:ILT786460 IVP786437:IVP786460 JFL786437:JFL786460 JPH786437:JPH786460 JZD786437:JZD786460 KIZ786437:KIZ786460 KSV786437:KSV786460 LCR786437:LCR786460 LMN786437:LMN786460 LWJ786437:LWJ786460 MGF786437:MGF786460 MQB786437:MQB786460 MZX786437:MZX786460 NJT786437:NJT786460 NTP786437:NTP786460 ODL786437:ODL786460 ONH786437:ONH786460 OXD786437:OXD786460 PGZ786437:PGZ786460 PQV786437:PQV786460 QAR786437:QAR786460 QKN786437:QKN786460 QUJ786437:QUJ786460 REF786437:REF786460 ROB786437:ROB786460 RXX786437:RXX786460 SHT786437:SHT786460 SRP786437:SRP786460 TBL786437:TBL786460 TLH786437:TLH786460 TVD786437:TVD786460 UEZ786437:UEZ786460 UOV786437:UOV786460 UYR786437:UYR786460 VIN786437:VIN786460 VSJ786437:VSJ786460 WCF786437:WCF786460 WMB786437:WMB786460 WVX786437:WVX786460 JL851973:JL851996 TH851973:TH851996 ADD851973:ADD851996 AMZ851973:AMZ851996 AWV851973:AWV851996 BGR851973:BGR851996 BQN851973:BQN851996 CAJ851973:CAJ851996 CKF851973:CKF851996 CUB851973:CUB851996 DDX851973:DDX851996 DNT851973:DNT851996 DXP851973:DXP851996 EHL851973:EHL851996 ERH851973:ERH851996 FBD851973:FBD851996 FKZ851973:FKZ851996 FUV851973:FUV851996 GER851973:GER851996 GON851973:GON851996 GYJ851973:GYJ851996 HIF851973:HIF851996 HSB851973:HSB851996 IBX851973:IBX851996 ILT851973:ILT851996 IVP851973:IVP851996 JFL851973:JFL851996 JPH851973:JPH851996 JZD851973:JZD851996 KIZ851973:KIZ851996 KSV851973:KSV851996 LCR851973:LCR851996 LMN851973:LMN851996 LWJ851973:LWJ851996 MGF851973:MGF851996 MQB851973:MQB851996 MZX851973:MZX851996 NJT851973:NJT851996 NTP851973:NTP851996 ODL851973:ODL851996 ONH851973:ONH851996 OXD851973:OXD851996 PGZ851973:PGZ851996 PQV851973:PQV851996 QAR851973:QAR851996 QKN851973:QKN851996 QUJ851973:QUJ851996 REF851973:REF851996 ROB851973:ROB851996 RXX851973:RXX851996 SHT851973:SHT851996 SRP851973:SRP851996 TBL851973:TBL851996 TLH851973:TLH851996 TVD851973:TVD851996 UEZ851973:UEZ851996 UOV851973:UOV851996 UYR851973:UYR851996 VIN851973:VIN851996 VSJ851973:VSJ851996 WCF851973:WCF851996 WMB851973:WMB851996 WVX851973:WVX851996 JL917509:JL917532 TH917509:TH917532 ADD917509:ADD917532 AMZ917509:AMZ917532 AWV917509:AWV917532 BGR917509:BGR917532 BQN917509:BQN917532 CAJ917509:CAJ917532 CKF917509:CKF917532 CUB917509:CUB917532 DDX917509:DDX917532 DNT917509:DNT917532 DXP917509:DXP917532 EHL917509:EHL917532 ERH917509:ERH917532 FBD917509:FBD917532 FKZ917509:FKZ917532 FUV917509:FUV917532 GER917509:GER917532 GON917509:GON917532 GYJ917509:GYJ917532 HIF917509:HIF917532 HSB917509:HSB917532 IBX917509:IBX917532 ILT917509:ILT917532 IVP917509:IVP917532 JFL917509:JFL917532 JPH917509:JPH917532 JZD917509:JZD917532 KIZ917509:KIZ917532 KSV917509:KSV917532 LCR917509:LCR917532 LMN917509:LMN917532 LWJ917509:LWJ917532 MGF917509:MGF917532 MQB917509:MQB917532 MZX917509:MZX917532 NJT917509:NJT917532 NTP917509:NTP917532 ODL917509:ODL917532 ONH917509:ONH917532 OXD917509:OXD917532 PGZ917509:PGZ917532 PQV917509:PQV917532 QAR917509:QAR917532 QKN917509:QKN917532 QUJ917509:QUJ917532 REF917509:REF917532 ROB917509:ROB917532 RXX917509:RXX917532 SHT917509:SHT917532 SRP917509:SRP917532 TBL917509:TBL917532 TLH917509:TLH917532 TVD917509:TVD917532 UEZ917509:UEZ917532 UOV917509:UOV917532 UYR917509:UYR917532 VIN917509:VIN917532 VSJ917509:VSJ917532 WCF917509:WCF917532 WMB917509:WMB917532 WVX917509:WVX917532 JL983045:JL983068 TH983045:TH983068 ADD983045:ADD983068 AMZ983045:AMZ983068 AWV983045:AWV983068 BGR983045:BGR983068 BQN983045:BQN983068 CAJ983045:CAJ983068 CKF983045:CKF983068 CUB983045:CUB983068 DDX983045:DDX983068 DNT983045:DNT983068 DXP983045:DXP983068 EHL983045:EHL983068 ERH983045:ERH983068 FBD983045:FBD983068 FKZ983045:FKZ983068 FUV983045:FUV983068 GER983045:GER983068 GON983045:GON983068 GYJ983045:GYJ983068 HIF983045:HIF983068 HSB983045:HSB983068 IBX983045:IBX983068 ILT983045:ILT983068 IVP983045:IVP983068 JFL983045:JFL983068 JPH983045:JPH983068 JZD983045:JZD983068 KIZ983045:KIZ983068 KSV983045:KSV983068 LCR983045:LCR983068 LMN983045:LMN983068 LWJ983045:LWJ983068 MGF983045:MGF983068 MQB983045:MQB983068 MZX983045:MZX983068 NJT983045:NJT983068 NTP983045:NTP983068 ODL983045:ODL983068 ONH983045:ONH983068 OXD983045:OXD983068 PGZ983045:PGZ983068 PQV983045:PQV983068 QAR983045:QAR983068 QKN983045:QKN983068 QUJ983045:QUJ983068 REF983045:REF983068 ROB983045:ROB983068 RXX983045:RXX983068 SHT983045:SHT983068 SRP983045:SRP983068 TBL983045:TBL983068 TLH983045:TLH983068 TVD983045:TVD983068 UEZ983045:UEZ983068 UOV983045:UOV983068 UYR983045:UYR983068 VIN983045:VIN983068 VSJ983045:VSJ983068 WCF983045:WCF983068 WMB983045:WMB983068 WVI11:WVI25 WLM11:WLM25 WBQ11:WBQ25 VRU11:VRU25 VHY11:VHY25 UYC11:UYC25 UOG11:UOG25 UEK11:UEK25 TUO11:TUO25 TKS11:TKS25 TAW11:TAW25 SRA11:SRA25 SHE11:SHE25 RXI11:RXI25 RNM11:RNM25 RDQ11:RDQ25 QTU11:QTU25 QJY11:QJY25 QAC11:QAC25 PQG11:PQG25 PGK11:PGK25 OWO11:OWO25 OMS11:OMS25 OCW11:OCW25 NTA11:NTA25 NJE11:NJE25 MZI11:MZI25 MPM11:MPM25 MFQ11:MFQ25 LVU11:LVU25 LLY11:LLY25 LCC11:LCC25 KSG11:KSG25 KIK11:KIK25 JYO11:JYO25 JOS11:JOS25 JEW11:JEW25 IVA11:IVA25 ILE11:ILE25 IBI11:IBI25 HRM11:HRM25 HHQ11:HHQ25 GXU11:GXU25 GNY11:GNY25 GEC11:GEC25 FUG11:FUG25 FKK11:FKK25 FAO11:FAO25 EQS11:EQS25 EGW11:EGW25 DXA11:DXA25 DNE11:DNE25 DDI11:DDI25 CTM11:CTM25 CJQ11:CJQ25 BZU11:BZU25 BPY11:BPY25 BGC11:BGC25 AWG11:AWG25 AMK11:AMK25 ACO11:ACO25 SS11:SS25 IW11:IW25 WVG11:WVG25 WLK11:WLK25 WBO11:WBO25 VRS11:VRS25 VHW11:VHW25 UYA11:UYA25 UOE11:UOE25 UEI11:UEI25 TUM11:TUM25 TKQ11:TKQ25 TAU11:TAU25 SQY11:SQY25 SHC11:SHC25 RXG11:RXG25 RNK11:RNK25 RDO11:RDO25 QTS11:QTS25 QJW11:QJW25 QAA11:QAA25 PQE11:PQE25 PGI11:PGI25 OWM11:OWM25 OMQ11:OMQ25 OCU11:OCU25 NSY11:NSY25 NJC11:NJC25 MZG11:MZG25 MPK11:MPK25 MFO11:MFO25 LVS11:LVS25 LLW11:LLW25 LCA11:LCA25 KSE11:KSE25 KII11:KII25 JYM11:JYM25 JOQ11:JOQ25 JEU11:JEU25 IUY11:IUY25 ILC11:ILC25 IBG11:IBG25 HRK11:HRK25 HHO11:HHO25 GXS11:GXS25 GNW11:GNW25 GEA11:GEA25 FUE11:FUE25 FKI11:FKI25 FAM11:FAM25 EQQ11:EQQ25 EGU11:EGU25 DWY11:DWY25 DNC11:DNC25 DDG11:DDG25 CTK11:CTK25 CJO11:CJO25 BZS11:BZS25 BPW11:BPW25 BGA11:BGA25 AWE11:AWE25 AMI11:AMI25 ACM11:ACM25 SQ11:SQ25 IU11:IU25 W11:W29 U11:U29" xr:uid="{00000000-0002-0000-0400-000001000000}">
      <formula1>"1,2,3,4"</formula1>
    </dataValidation>
  </dataValidations>
  <pageMargins left="0" right="0" top="0.39370078740157483" bottom="0.59055118110236227" header="0.51181102362204722" footer="0.39370078740157483"/>
  <pageSetup paperSize="9" scale="82" fitToHeight="0" orientation="landscape" r:id="rId1"/>
  <headerFooter alignWithMargins="0">
    <oddFooter>第 &amp;P 頁，共 &amp;N 頁</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6">
    <tabColor rgb="FFFF0000"/>
    <pageSetUpPr fitToPage="1"/>
  </sheetPr>
  <dimension ref="A1:Z34"/>
  <sheetViews>
    <sheetView topLeftCell="M22" zoomScale="97" zoomScaleNormal="97" workbookViewId="0">
      <selection activeCell="V11" sqref="V11"/>
    </sheetView>
  </sheetViews>
  <sheetFormatPr defaultRowHeight="15.5"/>
  <cols>
    <col min="1" max="1" width="7.90625" style="34" hidden="1" customWidth="1"/>
    <col min="2" max="2" width="11.90625" style="34" hidden="1" customWidth="1"/>
    <col min="3" max="4" width="9.90625" style="34" hidden="1" customWidth="1"/>
    <col min="5" max="5" width="5.90625" style="34" hidden="1" customWidth="1"/>
    <col min="6" max="6" width="7.90625" style="34" hidden="1" customWidth="1"/>
    <col min="7" max="7" width="3.08984375" style="34" hidden="1" customWidth="1"/>
    <col min="8" max="8" width="2.36328125" style="34" hidden="1" customWidth="1"/>
    <col min="9" max="9" width="3.08984375" style="34" hidden="1" customWidth="1"/>
    <col min="10" max="10" width="5.36328125" style="34" hidden="1" customWidth="1"/>
    <col min="11" max="11" width="9.90625" style="34" hidden="1" customWidth="1"/>
    <col min="12" max="12" width="5.90625" style="34" hidden="1" customWidth="1"/>
    <col min="13" max="13" width="21.08984375" style="6" customWidth="1"/>
    <col min="14" max="14" width="8.90625" style="6" customWidth="1"/>
    <col min="15" max="15" width="11.453125" style="6" customWidth="1"/>
    <col min="16" max="16" width="8.90625" style="6" customWidth="1"/>
    <col min="17" max="17" width="8.90625" style="35" customWidth="1"/>
    <col min="18" max="18" width="16.90625" style="6" customWidth="1"/>
    <col min="19" max="19" width="16.90625" style="35" customWidth="1"/>
    <col min="20" max="20" width="10" style="6" customWidth="1"/>
    <col min="21" max="21" width="10" style="35" customWidth="1"/>
    <col min="22" max="22" width="17.6328125" style="6" customWidth="1"/>
    <col min="23" max="23" width="10" style="6" customWidth="1"/>
    <col min="24" max="24" width="17.6328125" style="6" customWidth="1"/>
    <col min="25" max="25" width="10" style="6" customWidth="1"/>
    <col min="26" max="26" width="5.90625" style="6" customWidth="1"/>
    <col min="27" max="261" width="9" style="6"/>
    <col min="262" max="262" width="16.36328125" style="6" customWidth="1"/>
    <col min="263" max="263" width="9" style="6"/>
    <col min="264" max="264" width="11.453125" style="6" customWidth="1"/>
    <col min="265" max="266" width="9" style="6"/>
    <col min="267" max="267" width="23" style="6" bestFit="1" customWidth="1"/>
    <col min="268" max="268" width="10" style="6" customWidth="1"/>
    <col min="269" max="269" width="6.36328125" style="6" bestFit="1" customWidth="1"/>
    <col min="270" max="270" width="7.36328125" style="6" bestFit="1" customWidth="1"/>
    <col min="271" max="271" width="16.6328125" style="6" customWidth="1"/>
    <col min="272" max="272" width="7.36328125" style="6" bestFit="1" customWidth="1"/>
    <col min="273" max="273" width="16.6328125" style="6" customWidth="1"/>
    <col min="274" max="517" width="9" style="6"/>
    <col min="518" max="518" width="16.36328125" style="6" customWidth="1"/>
    <col min="519" max="519" width="9" style="6"/>
    <col min="520" max="520" width="11.453125" style="6" customWidth="1"/>
    <col min="521" max="522" width="9" style="6"/>
    <col min="523" max="523" width="23" style="6" bestFit="1" customWidth="1"/>
    <col min="524" max="524" width="10" style="6" customWidth="1"/>
    <col min="525" max="525" width="6.36328125" style="6" bestFit="1" customWidth="1"/>
    <col min="526" max="526" width="7.36328125" style="6" bestFit="1" customWidth="1"/>
    <col min="527" max="527" width="16.6328125" style="6" customWidth="1"/>
    <col min="528" max="528" width="7.36328125" style="6" bestFit="1" customWidth="1"/>
    <col min="529" max="529" width="16.6328125" style="6" customWidth="1"/>
    <col min="530" max="773" width="9" style="6"/>
    <col min="774" max="774" width="16.36328125" style="6" customWidth="1"/>
    <col min="775" max="775" width="9" style="6"/>
    <col min="776" max="776" width="11.453125" style="6" customWidth="1"/>
    <col min="777" max="778" width="9" style="6"/>
    <col min="779" max="779" width="23" style="6" bestFit="1" customWidth="1"/>
    <col min="780" max="780" width="10" style="6" customWidth="1"/>
    <col min="781" max="781" width="6.36328125" style="6" bestFit="1" customWidth="1"/>
    <col min="782" max="782" width="7.36328125" style="6" bestFit="1" customWidth="1"/>
    <col min="783" max="783" width="16.6328125" style="6" customWidth="1"/>
    <col min="784" max="784" width="7.36328125" style="6" bestFit="1" customWidth="1"/>
    <col min="785" max="785" width="16.6328125" style="6" customWidth="1"/>
    <col min="786" max="1029" width="9" style="6"/>
    <col min="1030" max="1030" width="16.36328125" style="6" customWidth="1"/>
    <col min="1031" max="1031" width="9" style="6"/>
    <col min="1032" max="1032" width="11.453125" style="6" customWidth="1"/>
    <col min="1033" max="1034" width="9" style="6"/>
    <col min="1035" max="1035" width="23" style="6" bestFit="1" customWidth="1"/>
    <col min="1036" max="1036" width="10" style="6" customWidth="1"/>
    <col min="1037" max="1037" width="6.36328125" style="6" bestFit="1" customWidth="1"/>
    <col min="1038" max="1038" width="7.36328125" style="6" bestFit="1" customWidth="1"/>
    <col min="1039" max="1039" width="16.6328125" style="6" customWidth="1"/>
    <col min="1040" max="1040" width="7.36328125" style="6" bestFit="1" customWidth="1"/>
    <col min="1041" max="1041" width="16.6328125" style="6" customWidth="1"/>
    <col min="1042" max="1285" width="9" style="6"/>
    <col min="1286" max="1286" width="16.36328125" style="6" customWidth="1"/>
    <col min="1287" max="1287" width="9" style="6"/>
    <col min="1288" max="1288" width="11.453125" style="6" customWidth="1"/>
    <col min="1289" max="1290" width="9" style="6"/>
    <col min="1291" max="1291" width="23" style="6" bestFit="1" customWidth="1"/>
    <col min="1292" max="1292" width="10" style="6" customWidth="1"/>
    <col min="1293" max="1293" width="6.36328125" style="6" bestFit="1" customWidth="1"/>
    <col min="1294" max="1294" width="7.36328125" style="6" bestFit="1" customWidth="1"/>
    <col min="1295" max="1295" width="16.6328125" style="6" customWidth="1"/>
    <col min="1296" max="1296" width="7.36328125" style="6" bestFit="1" customWidth="1"/>
    <col min="1297" max="1297" width="16.6328125" style="6" customWidth="1"/>
    <col min="1298" max="1541" width="9" style="6"/>
    <col min="1542" max="1542" width="16.36328125" style="6" customWidth="1"/>
    <col min="1543" max="1543" width="9" style="6"/>
    <col min="1544" max="1544" width="11.453125" style="6" customWidth="1"/>
    <col min="1545" max="1546" width="9" style="6"/>
    <col min="1547" max="1547" width="23" style="6" bestFit="1" customWidth="1"/>
    <col min="1548" max="1548" width="10" style="6" customWidth="1"/>
    <col min="1549" max="1549" width="6.36328125" style="6" bestFit="1" customWidth="1"/>
    <col min="1550" max="1550" width="7.36328125" style="6" bestFit="1" customWidth="1"/>
    <col min="1551" max="1551" width="16.6328125" style="6" customWidth="1"/>
    <col min="1552" max="1552" width="7.36328125" style="6" bestFit="1" customWidth="1"/>
    <col min="1553" max="1553" width="16.6328125" style="6" customWidth="1"/>
    <col min="1554" max="1797" width="9" style="6"/>
    <col min="1798" max="1798" width="16.36328125" style="6" customWidth="1"/>
    <col min="1799" max="1799" width="9" style="6"/>
    <col min="1800" max="1800" width="11.453125" style="6" customWidth="1"/>
    <col min="1801" max="1802" width="9" style="6"/>
    <col min="1803" max="1803" width="23" style="6" bestFit="1" customWidth="1"/>
    <col min="1804" max="1804" width="10" style="6" customWidth="1"/>
    <col min="1805" max="1805" width="6.36328125" style="6" bestFit="1" customWidth="1"/>
    <col min="1806" max="1806" width="7.36328125" style="6" bestFit="1" customWidth="1"/>
    <col min="1807" max="1807" width="16.6328125" style="6" customWidth="1"/>
    <col min="1808" max="1808" width="7.36328125" style="6" bestFit="1" customWidth="1"/>
    <col min="1809" max="1809" width="16.6328125" style="6" customWidth="1"/>
    <col min="1810" max="2053" width="9" style="6"/>
    <col min="2054" max="2054" width="16.36328125" style="6" customWidth="1"/>
    <col min="2055" max="2055" width="9" style="6"/>
    <col min="2056" max="2056" width="11.453125" style="6" customWidth="1"/>
    <col min="2057" max="2058" width="9" style="6"/>
    <col min="2059" max="2059" width="23" style="6" bestFit="1" customWidth="1"/>
    <col min="2060" max="2060" width="10" style="6" customWidth="1"/>
    <col min="2061" max="2061" width="6.36328125" style="6" bestFit="1" customWidth="1"/>
    <col min="2062" max="2062" width="7.36328125" style="6" bestFit="1" customWidth="1"/>
    <col min="2063" max="2063" width="16.6328125" style="6" customWidth="1"/>
    <col min="2064" max="2064" width="7.36328125" style="6" bestFit="1" customWidth="1"/>
    <col min="2065" max="2065" width="16.6328125" style="6" customWidth="1"/>
    <col min="2066" max="2309" width="9" style="6"/>
    <col min="2310" max="2310" width="16.36328125" style="6" customWidth="1"/>
    <col min="2311" max="2311" width="9" style="6"/>
    <col min="2312" max="2312" width="11.453125" style="6" customWidth="1"/>
    <col min="2313" max="2314" width="9" style="6"/>
    <col min="2315" max="2315" width="23" style="6" bestFit="1" customWidth="1"/>
    <col min="2316" max="2316" width="10" style="6" customWidth="1"/>
    <col min="2317" max="2317" width="6.36328125" style="6" bestFit="1" customWidth="1"/>
    <col min="2318" max="2318" width="7.36328125" style="6" bestFit="1" customWidth="1"/>
    <col min="2319" max="2319" width="16.6328125" style="6" customWidth="1"/>
    <col min="2320" max="2320" width="7.36328125" style="6" bestFit="1" customWidth="1"/>
    <col min="2321" max="2321" width="16.6328125" style="6" customWidth="1"/>
    <col min="2322" max="2565" width="9" style="6"/>
    <col min="2566" max="2566" width="16.36328125" style="6" customWidth="1"/>
    <col min="2567" max="2567" width="9" style="6"/>
    <col min="2568" max="2568" width="11.453125" style="6" customWidth="1"/>
    <col min="2569" max="2570" width="9" style="6"/>
    <col min="2571" max="2571" width="23" style="6" bestFit="1" customWidth="1"/>
    <col min="2572" max="2572" width="10" style="6" customWidth="1"/>
    <col min="2573" max="2573" width="6.36328125" style="6" bestFit="1" customWidth="1"/>
    <col min="2574" max="2574" width="7.36328125" style="6" bestFit="1" customWidth="1"/>
    <col min="2575" max="2575" width="16.6328125" style="6" customWidth="1"/>
    <col min="2576" max="2576" width="7.36328125" style="6" bestFit="1" customWidth="1"/>
    <col min="2577" max="2577" width="16.6328125" style="6" customWidth="1"/>
    <col min="2578" max="2821" width="9" style="6"/>
    <col min="2822" max="2822" width="16.36328125" style="6" customWidth="1"/>
    <col min="2823" max="2823" width="9" style="6"/>
    <col min="2824" max="2824" width="11.453125" style="6" customWidth="1"/>
    <col min="2825" max="2826" width="9" style="6"/>
    <col min="2827" max="2827" width="23" style="6" bestFit="1" customWidth="1"/>
    <col min="2828" max="2828" width="10" style="6" customWidth="1"/>
    <col min="2829" max="2829" width="6.36328125" style="6" bestFit="1" customWidth="1"/>
    <col min="2830" max="2830" width="7.36328125" style="6" bestFit="1" customWidth="1"/>
    <col min="2831" max="2831" width="16.6328125" style="6" customWidth="1"/>
    <col min="2832" max="2832" width="7.36328125" style="6" bestFit="1" customWidth="1"/>
    <col min="2833" max="2833" width="16.6328125" style="6" customWidth="1"/>
    <col min="2834" max="3077" width="9" style="6"/>
    <col min="3078" max="3078" width="16.36328125" style="6" customWidth="1"/>
    <col min="3079" max="3079" width="9" style="6"/>
    <col min="3080" max="3080" width="11.453125" style="6" customWidth="1"/>
    <col min="3081" max="3082" width="9" style="6"/>
    <col min="3083" max="3083" width="23" style="6" bestFit="1" customWidth="1"/>
    <col min="3084" max="3084" width="10" style="6" customWidth="1"/>
    <col min="3085" max="3085" width="6.36328125" style="6" bestFit="1" customWidth="1"/>
    <col min="3086" max="3086" width="7.36328125" style="6" bestFit="1" customWidth="1"/>
    <col min="3087" max="3087" width="16.6328125" style="6" customWidth="1"/>
    <col min="3088" max="3088" width="7.36328125" style="6" bestFit="1" customWidth="1"/>
    <col min="3089" max="3089" width="16.6328125" style="6" customWidth="1"/>
    <col min="3090" max="3333" width="9" style="6"/>
    <col min="3334" max="3334" width="16.36328125" style="6" customWidth="1"/>
    <col min="3335" max="3335" width="9" style="6"/>
    <col min="3336" max="3336" width="11.453125" style="6" customWidth="1"/>
    <col min="3337" max="3338" width="9" style="6"/>
    <col min="3339" max="3339" width="23" style="6" bestFit="1" customWidth="1"/>
    <col min="3340" max="3340" width="10" style="6" customWidth="1"/>
    <col min="3341" max="3341" width="6.36328125" style="6" bestFit="1" customWidth="1"/>
    <col min="3342" max="3342" width="7.36328125" style="6" bestFit="1" customWidth="1"/>
    <col min="3343" max="3343" width="16.6328125" style="6" customWidth="1"/>
    <col min="3344" max="3344" width="7.36328125" style="6" bestFit="1" customWidth="1"/>
    <col min="3345" max="3345" width="16.6328125" style="6" customWidth="1"/>
    <col min="3346" max="3589" width="9" style="6"/>
    <col min="3590" max="3590" width="16.36328125" style="6" customWidth="1"/>
    <col min="3591" max="3591" width="9" style="6"/>
    <col min="3592" max="3592" width="11.453125" style="6" customWidth="1"/>
    <col min="3593" max="3594" width="9" style="6"/>
    <col min="3595" max="3595" width="23" style="6" bestFit="1" customWidth="1"/>
    <col min="3596" max="3596" width="10" style="6" customWidth="1"/>
    <col min="3597" max="3597" width="6.36328125" style="6" bestFit="1" customWidth="1"/>
    <col min="3598" max="3598" width="7.36328125" style="6" bestFit="1" customWidth="1"/>
    <col min="3599" max="3599" width="16.6328125" style="6" customWidth="1"/>
    <col min="3600" max="3600" width="7.36328125" style="6" bestFit="1" customWidth="1"/>
    <col min="3601" max="3601" width="16.6328125" style="6" customWidth="1"/>
    <col min="3602" max="3845" width="9" style="6"/>
    <col min="3846" max="3846" width="16.36328125" style="6" customWidth="1"/>
    <col min="3847" max="3847" width="9" style="6"/>
    <col min="3848" max="3848" width="11.453125" style="6" customWidth="1"/>
    <col min="3849" max="3850" width="9" style="6"/>
    <col min="3851" max="3851" width="23" style="6" bestFit="1" customWidth="1"/>
    <col min="3852" max="3852" width="10" style="6" customWidth="1"/>
    <col min="3853" max="3853" width="6.36328125" style="6" bestFit="1" customWidth="1"/>
    <col min="3854" max="3854" width="7.36328125" style="6" bestFit="1" customWidth="1"/>
    <col min="3855" max="3855" width="16.6328125" style="6" customWidth="1"/>
    <col min="3856" max="3856" width="7.36328125" style="6" bestFit="1" customWidth="1"/>
    <col min="3857" max="3857" width="16.6328125" style="6" customWidth="1"/>
    <col min="3858" max="4101" width="9" style="6"/>
    <col min="4102" max="4102" width="16.36328125" style="6" customWidth="1"/>
    <col min="4103" max="4103" width="9" style="6"/>
    <col min="4104" max="4104" width="11.453125" style="6" customWidth="1"/>
    <col min="4105" max="4106" width="9" style="6"/>
    <col min="4107" max="4107" width="23" style="6" bestFit="1" customWidth="1"/>
    <col min="4108" max="4108" width="10" style="6" customWidth="1"/>
    <col min="4109" max="4109" width="6.36328125" style="6" bestFit="1" customWidth="1"/>
    <col min="4110" max="4110" width="7.36328125" style="6" bestFit="1" customWidth="1"/>
    <col min="4111" max="4111" width="16.6328125" style="6" customWidth="1"/>
    <col min="4112" max="4112" width="7.36328125" style="6" bestFit="1" customWidth="1"/>
    <col min="4113" max="4113" width="16.6328125" style="6" customWidth="1"/>
    <col min="4114" max="4357" width="9" style="6"/>
    <col min="4358" max="4358" width="16.36328125" style="6" customWidth="1"/>
    <col min="4359" max="4359" width="9" style="6"/>
    <col min="4360" max="4360" width="11.453125" style="6" customWidth="1"/>
    <col min="4361" max="4362" width="9" style="6"/>
    <col min="4363" max="4363" width="23" style="6" bestFit="1" customWidth="1"/>
    <col min="4364" max="4364" width="10" style="6" customWidth="1"/>
    <col min="4365" max="4365" width="6.36328125" style="6" bestFit="1" customWidth="1"/>
    <col min="4366" max="4366" width="7.36328125" style="6" bestFit="1" customWidth="1"/>
    <col min="4367" max="4367" width="16.6328125" style="6" customWidth="1"/>
    <col min="4368" max="4368" width="7.36328125" style="6" bestFit="1" customWidth="1"/>
    <col min="4369" max="4369" width="16.6328125" style="6" customWidth="1"/>
    <col min="4370" max="4613" width="9" style="6"/>
    <col min="4614" max="4614" width="16.36328125" style="6" customWidth="1"/>
    <col min="4615" max="4615" width="9" style="6"/>
    <col min="4616" max="4616" width="11.453125" style="6" customWidth="1"/>
    <col min="4617" max="4618" width="9" style="6"/>
    <col min="4619" max="4619" width="23" style="6" bestFit="1" customWidth="1"/>
    <col min="4620" max="4620" width="10" style="6" customWidth="1"/>
    <col min="4621" max="4621" width="6.36328125" style="6" bestFit="1" customWidth="1"/>
    <col min="4622" max="4622" width="7.36328125" style="6" bestFit="1" customWidth="1"/>
    <col min="4623" max="4623" width="16.6328125" style="6" customWidth="1"/>
    <col min="4624" max="4624" width="7.36328125" style="6" bestFit="1" customWidth="1"/>
    <col min="4625" max="4625" width="16.6328125" style="6" customWidth="1"/>
    <col min="4626" max="4869" width="9" style="6"/>
    <col min="4870" max="4870" width="16.36328125" style="6" customWidth="1"/>
    <col min="4871" max="4871" width="9" style="6"/>
    <col min="4872" max="4872" width="11.453125" style="6" customWidth="1"/>
    <col min="4873" max="4874" width="9" style="6"/>
    <col min="4875" max="4875" width="23" style="6" bestFit="1" customWidth="1"/>
    <col min="4876" max="4876" width="10" style="6" customWidth="1"/>
    <col min="4877" max="4877" width="6.36328125" style="6" bestFit="1" customWidth="1"/>
    <col min="4878" max="4878" width="7.36328125" style="6" bestFit="1" customWidth="1"/>
    <col min="4879" max="4879" width="16.6328125" style="6" customWidth="1"/>
    <col min="4880" max="4880" width="7.36328125" style="6" bestFit="1" customWidth="1"/>
    <col min="4881" max="4881" width="16.6328125" style="6" customWidth="1"/>
    <col min="4882" max="5125" width="9" style="6"/>
    <col min="5126" max="5126" width="16.36328125" style="6" customWidth="1"/>
    <col min="5127" max="5127" width="9" style="6"/>
    <col min="5128" max="5128" width="11.453125" style="6" customWidth="1"/>
    <col min="5129" max="5130" width="9" style="6"/>
    <col min="5131" max="5131" width="23" style="6" bestFit="1" customWidth="1"/>
    <col min="5132" max="5132" width="10" style="6" customWidth="1"/>
    <col min="5133" max="5133" width="6.36328125" style="6" bestFit="1" customWidth="1"/>
    <col min="5134" max="5134" width="7.36328125" style="6" bestFit="1" customWidth="1"/>
    <col min="5135" max="5135" width="16.6328125" style="6" customWidth="1"/>
    <col min="5136" max="5136" width="7.36328125" style="6" bestFit="1" customWidth="1"/>
    <col min="5137" max="5137" width="16.6328125" style="6" customWidth="1"/>
    <col min="5138" max="5381" width="9" style="6"/>
    <col min="5382" max="5382" width="16.36328125" style="6" customWidth="1"/>
    <col min="5383" max="5383" width="9" style="6"/>
    <col min="5384" max="5384" width="11.453125" style="6" customWidth="1"/>
    <col min="5385" max="5386" width="9" style="6"/>
    <col min="5387" max="5387" width="23" style="6" bestFit="1" customWidth="1"/>
    <col min="5388" max="5388" width="10" style="6" customWidth="1"/>
    <col min="5389" max="5389" width="6.36328125" style="6" bestFit="1" customWidth="1"/>
    <col min="5390" max="5390" width="7.36328125" style="6" bestFit="1" customWidth="1"/>
    <col min="5391" max="5391" width="16.6328125" style="6" customWidth="1"/>
    <col min="5392" max="5392" width="7.36328125" style="6" bestFit="1" customWidth="1"/>
    <col min="5393" max="5393" width="16.6328125" style="6" customWidth="1"/>
    <col min="5394" max="5637" width="9" style="6"/>
    <col min="5638" max="5638" width="16.36328125" style="6" customWidth="1"/>
    <col min="5639" max="5639" width="9" style="6"/>
    <col min="5640" max="5640" width="11.453125" style="6" customWidth="1"/>
    <col min="5641" max="5642" width="9" style="6"/>
    <col min="5643" max="5643" width="23" style="6" bestFit="1" customWidth="1"/>
    <col min="5644" max="5644" width="10" style="6" customWidth="1"/>
    <col min="5645" max="5645" width="6.36328125" style="6" bestFit="1" customWidth="1"/>
    <col min="5646" max="5646" width="7.36328125" style="6" bestFit="1" customWidth="1"/>
    <col min="5647" max="5647" width="16.6328125" style="6" customWidth="1"/>
    <col min="5648" max="5648" width="7.36328125" style="6" bestFit="1" customWidth="1"/>
    <col min="5649" max="5649" width="16.6328125" style="6" customWidth="1"/>
    <col min="5650" max="5893" width="9" style="6"/>
    <col min="5894" max="5894" width="16.36328125" style="6" customWidth="1"/>
    <col min="5895" max="5895" width="9" style="6"/>
    <col min="5896" max="5896" width="11.453125" style="6" customWidth="1"/>
    <col min="5897" max="5898" width="9" style="6"/>
    <col min="5899" max="5899" width="23" style="6" bestFit="1" customWidth="1"/>
    <col min="5900" max="5900" width="10" style="6" customWidth="1"/>
    <col min="5901" max="5901" width="6.36328125" style="6" bestFit="1" customWidth="1"/>
    <col min="5902" max="5902" width="7.36328125" style="6" bestFit="1" customWidth="1"/>
    <col min="5903" max="5903" width="16.6328125" style="6" customWidth="1"/>
    <col min="5904" max="5904" width="7.36328125" style="6" bestFit="1" customWidth="1"/>
    <col min="5905" max="5905" width="16.6328125" style="6" customWidth="1"/>
    <col min="5906" max="6149" width="9" style="6"/>
    <col min="6150" max="6150" width="16.36328125" style="6" customWidth="1"/>
    <col min="6151" max="6151" width="9" style="6"/>
    <col min="6152" max="6152" width="11.453125" style="6" customWidth="1"/>
    <col min="6153" max="6154" width="9" style="6"/>
    <col min="6155" max="6155" width="23" style="6" bestFit="1" customWidth="1"/>
    <col min="6156" max="6156" width="10" style="6" customWidth="1"/>
    <col min="6157" max="6157" width="6.36328125" style="6" bestFit="1" customWidth="1"/>
    <col min="6158" max="6158" width="7.36328125" style="6" bestFit="1" customWidth="1"/>
    <col min="6159" max="6159" width="16.6328125" style="6" customWidth="1"/>
    <col min="6160" max="6160" width="7.36328125" style="6" bestFit="1" customWidth="1"/>
    <col min="6161" max="6161" width="16.6328125" style="6" customWidth="1"/>
    <col min="6162" max="6405" width="9" style="6"/>
    <col min="6406" max="6406" width="16.36328125" style="6" customWidth="1"/>
    <col min="6407" max="6407" width="9" style="6"/>
    <col min="6408" max="6408" width="11.453125" style="6" customWidth="1"/>
    <col min="6409" max="6410" width="9" style="6"/>
    <col min="6411" max="6411" width="23" style="6" bestFit="1" customWidth="1"/>
    <col min="6412" max="6412" width="10" style="6" customWidth="1"/>
    <col min="6413" max="6413" width="6.36328125" style="6" bestFit="1" customWidth="1"/>
    <col min="6414" max="6414" width="7.36328125" style="6" bestFit="1" customWidth="1"/>
    <col min="6415" max="6415" width="16.6328125" style="6" customWidth="1"/>
    <col min="6416" max="6416" width="7.36328125" style="6" bestFit="1" customWidth="1"/>
    <col min="6417" max="6417" width="16.6328125" style="6" customWidth="1"/>
    <col min="6418" max="6661" width="9" style="6"/>
    <col min="6662" max="6662" width="16.36328125" style="6" customWidth="1"/>
    <col min="6663" max="6663" width="9" style="6"/>
    <col min="6664" max="6664" width="11.453125" style="6" customWidth="1"/>
    <col min="6665" max="6666" width="9" style="6"/>
    <col min="6667" max="6667" width="23" style="6" bestFit="1" customWidth="1"/>
    <col min="6668" max="6668" width="10" style="6" customWidth="1"/>
    <col min="6669" max="6669" width="6.36328125" style="6" bestFit="1" customWidth="1"/>
    <col min="6670" max="6670" width="7.36328125" style="6" bestFit="1" customWidth="1"/>
    <col min="6671" max="6671" width="16.6328125" style="6" customWidth="1"/>
    <col min="6672" max="6672" width="7.36328125" style="6" bestFit="1" customWidth="1"/>
    <col min="6673" max="6673" width="16.6328125" style="6" customWidth="1"/>
    <col min="6674" max="6917" width="9" style="6"/>
    <col min="6918" max="6918" width="16.36328125" style="6" customWidth="1"/>
    <col min="6919" max="6919" width="9" style="6"/>
    <col min="6920" max="6920" width="11.453125" style="6" customWidth="1"/>
    <col min="6921" max="6922" width="9" style="6"/>
    <col min="6923" max="6923" width="23" style="6" bestFit="1" customWidth="1"/>
    <col min="6924" max="6924" width="10" style="6" customWidth="1"/>
    <col min="6925" max="6925" width="6.36328125" style="6" bestFit="1" customWidth="1"/>
    <col min="6926" max="6926" width="7.36328125" style="6" bestFit="1" customWidth="1"/>
    <col min="6927" max="6927" width="16.6328125" style="6" customWidth="1"/>
    <col min="6928" max="6928" width="7.36328125" style="6" bestFit="1" customWidth="1"/>
    <col min="6929" max="6929" width="16.6328125" style="6" customWidth="1"/>
    <col min="6930" max="7173" width="9" style="6"/>
    <col min="7174" max="7174" width="16.36328125" style="6" customWidth="1"/>
    <col min="7175" max="7175" width="9" style="6"/>
    <col min="7176" max="7176" width="11.453125" style="6" customWidth="1"/>
    <col min="7177" max="7178" width="9" style="6"/>
    <col min="7179" max="7179" width="23" style="6" bestFit="1" customWidth="1"/>
    <col min="7180" max="7180" width="10" style="6" customWidth="1"/>
    <col min="7181" max="7181" width="6.36328125" style="6" bestFit="1" customWidth="1"/>
    <col min="7182" max="7182" width="7.36328125" style="6" bestFit="1" customWidth="1"/>
    <col min="7183" max="7183" width="16.6328125" style="6" customWidth="1"/>
    <col min="7184" max="7184" width="7.36328125" style="6" bestFit="1" customWidth="1"/>
    <col min="7185" max="7185" width="16.6328125" style="6" customWidth="1"/>
    <col min="7186" max="7429" width="9" style="6"/>
    <col min="7430" max="7430" width="16.36328125" style="6" customWidth="1"/>
    <col min="7431" max="7431" width="9" style="6"/>
    <col min="7432" max="7432" width="11.453125" style="6" customWidth="1"/>
    <col min="7433" max="7434" width="9" style="6"/>
    <col min="7435" max="7435" width="23" style="6" bestFit="1" customWidth="1"/>
    <col min="7436" max="7436" width="10" style="6" customWidth="1"/>
    <col min="7437" max="7437" width="6.36328125" style="6" bestFit="1" customWidth="1"/>
    <col min="7438" max="7438" width="7.36328125" style="6" bestFit="1" customWidth="1"/>
    <col min="7439" max="7439" width="16.6328125" style="6" customWidth="1"/>
    <col min="7440" max="7440" width="7.36328125" style="6" bestFit="1" customWidth="1"/>
    <col min="7441" max="7441" width="16.6328125" style="6" customWidth="1"/>
    <col min="7442" max="7685" width="9" style="6"/>
    <col min="7686" max="7686" width="16.36328125" style="6" customWidth="1"/>
    <col min="7687" max="7687" width="9" style="6"/>
    <col min="7688" max="7688" width="11.453125" style="6" customWidth="1"/>
    <col min="7689" max="7690" width="9" style="6"/>
    <col min="7691" max="7691" width="23" style="6" bestFit="1" customWidth="1"/>
    <col min="7692" max="7692" width="10" style="6" customWidth="1"/>
    <col min="7693" max="7693" width="6.36328125" style="6" bestFit="1" customWidth="1"/>
    <col min="7694" max="7694" width="7.36328125" style="6" bestFit="1" customWidth="1"/>
    <col min="7695" max="7695" width="16.6328125" style="6" customWidth="1"/>
    <col min="7696" max="7696" width="7.36328125" style="6" bestFit="1" customWidth="1"/>
    <col min="7697" max="7697" width="16.6328125" style="6" customWidth="1"/>
    <col min="7698" max="7941" width="9" style="6"/>
    <col min="7942" max="7942" width="16.36328125" style="6" customWidth="1"/>
    <col min="7943" max="7943" width="9" style="6"/>
    <col min="7944" max="7944" width="11.453125" style="6" customWidth="1"/>
    <col min="7945" max="7946" width="9" style="6"/>
    <col min="7947" max="7947" width="23" style="6" bestFit="1" customWidth="1"/>
    <col min="7948" max="7948" width="10" style="6" customWidth="1"/>
    <col min="7949" max="7949" width="6.36328125" style="6" bestFit="1" customWidth="1"/>
    <col min="7950" max="7950" width="7.36328125" style="6" bestFit="1" customWidth="1"/>
    <col min="7951" max="7951" width="16.6328125" style="6" customWidth="1"/>
    <col min="7952" max="7952" width="7.36328125" style="6" bestFit="1" customWidth="1"/>
    <col min="7953" max="7953" width="16.6328125" style="6" customWidth="1"/>
    <col min="7954" max="8197" width="9" style="6"/>
    <col min="8198" max="8198" width="16.36328125" style="6" customWidth="1"/>
    <col min="8199" max="8199" width="9" style="6"/>
    <col min="8200" max="8200" width="11.453125" style="6" customWidth="1"/>
    <col min="8201" max="8202" width="9" style="6"/>
    <col min="8203" max="8203" width="23" style="6" bestFit="1" customWidth="1"/>
    <col min="8204" max="8204" width="10" style="6" customWidth="1"/>
    <col min="8205" max="8205" width="6.36328125" style="6" bestFit="1" customWidth="1"/>
    <col min="8206" max="8206" width="7.36328125" style="6" bestFit="1" customWidth="1"/>
    <col min="8207" max="8207" width="16.6328125" style="6" customWidth="1"/>
    <col min="8208" max="8208" width="7.36328125" style="6" bestFit="1" customWidth="1"/>
    <col min="8209" max="8209" width="16.6328125" style="6" customWidth="1"/>
    <col min="8210" max="8453" width="9" style="6"/>
    <col min="8454" max="8454" width="16.36328125" style="6" customWidth="1"/>
    <col min="8455" max="8455" width="9" style="6"/>
    <col min="8456" max="8456" width="11.453125" style="6" customWidth="1"/>
    <col min="8457" max="8458" width="9" style="6"/>
    <col min="8459" max="8459" width="23" style="6" bestFit="1" customWidth="1"/>
    <col min="8460" max="8460" width="10" style="6" customWidth="1"/>
    <col min="8461" max="8461" width="6.36328125" style="6" bestFit="1" customWidth="1"/>
    <col min="8462" max="8462" width="7.36328125" style="6" bestFit="1" customWidth="1"/>
    <col min="8463" max="8463" width="16.6328125" style="6" customWidth="1"/>
    <col min="8464" max="8464" width="7.36328125" style="6" bestFit="1" customWidth="1"/>
    <col min="8465" max="8465" width="16.6328125" style="6" customWidth="1"/>
    <col min="8466" max="8709" width="9" style="6"/>
    <col min="8710" max="8710" width="16.36328125" style="6" customWidth="1"/>
    <col min="8711" max="8711" width="9" style="6"/>
    <col min="8712" max="8712" width="11.453125" style="6" customWidth="1"/>
    <col min="8713" max="8714" width="9" style="6"/>
    <col min="8715" max="8715" width="23" style="6" bestFit="1" customWidth="1"/>
    <col min="8716" max="8716" width="10" style="6" customWidth="1"/>
    <col min="8717" max="8717" width="6.36328125" style="6" bestFit="1" customWidth="1"/>
    <col min="8718" max="8718" width="7.36328125" style="6" bestFit="1" customWidth="1"/>
    <col min="8719" max="8719" width="16.6328125" style="6" customWidth="1"/>
    <col min="8720" max="8720" width="7.36328125" style="6" bestFit="1" customWidth="1"/>
    <col min="8721" max="8721" width="16.6328125" style="6" customWidth="1"/>
    <col min="8722" max="8965" width="9" style="6"/>
    <col min="8966" max="8966" width="16.36328125" style="6" customWidth="1"/>
    <col min="8967" max="8967" width="9" style="6"/>
    <col min="8968" max="8968" width="11.453125" style="6" customWidth="1"/>
    <col min="8969" max="8970" width="9" style="6"/>
    <col min="8971" max="8971" width="23" style="6" bestFit="1" customWidth="1"/>
    <col min="8972" max="8972" width="10" style="6" customWidth="1"/>
    <col min="8973" max="8973" width="6.36328125" style="6" bestFit="1" customWidth="1"/>
    <col min="8974" max="8974" width="7.36328125" style="6" bestFit="1" customWidth="1"/>
    <col min="8975" max="8975" width="16.6328125" style="6" customWidth="1"/>
    <col min="8976" max="8976" width="7.36328125" style="6" bestFit="1" customWidth="1"/>
    <col min="8977" max="8977" width="16.6328125" style="6" customWidth="1"/>
    <col min="8978" max="9221" width="9" style="6"/>
    <col min="9222" max="9222" width="16.36328125" style="6" customWidth="1"/>
    <col min="9223" max="9223" width="9" style="6"/>
    <col min="9224" max="9224" width="11.453125" style="6" customWidth="1"/>
    <col min="9225" max="9226" width="9" style="6"/>
    <col min="9227" max="9227" width="23" style="6" bestFit="1" customWidth="1"/>
    <col min="9228" max="9228" width="10" style="6" customWidth="1"/>
    <col min="9229" max="9229" width="6.36328125" style="6" bestFit="1" customWidth="1"/>
    <col min="9230" max="9230" width="7.36328125" style="6" bestFit="1" customWidth="1"/>
    <col min="9231" max="9231" width="16.6328125" style="6" customWidth="1"/>
    <col min="9232" max="9232" width="7.36328125" style="6" bestFit="1" customWidth="1"/>
    <col min="9233" max="9233" width="16.6328125" style="6" customWidth="1"/>
    <col min="9234" max="9477" width="9" style="6"/>
    <col min="9478" max="9478" width="16.36328125" style="6" customWidth="1"/>
    <col min="9479" max="9479" width="9" style="6"/>
    <col min="9480" max="9480" width="11.453125" style="6" customWidth="1"/>
    <col min="9481" max="9482" width="9" style="6"/>
    <col min="9483" max="9483" width="23" style="6" bestFit="1" customWidth="1"/>
    <col min="9484" max="9484" width="10" style="6" customWidth="1"/>
    <col min="9485" max="9485" width="6.36328125" style="6" bestFit="1" customWidth="1"/>
    <col min="9486" max="9486" width="7.36328125" style="6" bestFit="1" customWidth="1"/>
    <col min="9487" max="9487" width="16.6328125" style="6" customWidth="1"/>
    <col min="9488" max="9488" width="7.36328125" style="6" bestFit="1" customWidth="1"/>
    <col min="9489" max="9489" width="16.6328125" style="6" customWidth="1"/>
    <col min="9490" max="9733" width="9" style="6"/>
    <col min="9734" max="9734" width="16.36328125" style="6" customWidth="1"/>
    <col min="9735" max="9735" width="9" style="6"/>
    <col min="9736" max="9736" width="11.453125" style="6" customWidth="1"/>
    <col min="9737" max="9738" width="9" style="6"/>
    <col min="9739" max="9739" width="23" style="6" bestFit="1" customWidth="1"/>
    <col min="9740" max="9740" width="10" style="6" customWidth="1"/>
    <col min="9741" max="9741" width="6.36328125" style="6" bestFit="1" customWidth="1"/>
    <col min="9742" max="9742" width="7.36328125" style="6" bestFit="1" customWidth="1"/>
    <col min="9743" max="9743" width="16.6328125" style="6" customWidth="1"/>
    <col min="9744" max="9744" width="7.36328125" style="6" bestFit="1" customWidth="1"/>
    <col min="9745" max="9745" width="16.6328125" style="6" customWidth="1"/>
    <col min="9746" max="9989" width="9" style="6"/>
    <col min="9990" max="9990" width="16.36328125" style="6" customWidth="1"/>
    <col min="9991" max="9991" width="9" style="6"/>
    <col min="9992" max="9992" width="11.453125" style="6" customWidth="1"/>
    <col min="9993" max="9994" width="9" style="6"/>
    <col min="9995" max="9995" width="23" style="6" bestFit="1" customWidth="1"/>
    <col min="9996" max="9996" width="10" style="6" customWidth="1"/>
    <col min="9997" max="9997" width="6.36328125" style="6" bestFit="1" customWidth="1"/>
    <col min="9998" max="9998" width="7.36328125" style="6" bestFit="1" customWidth="1"/>
    <col min="9999" max="9999" width="16.6328125" style="6" customWidth="1"/>
    <col min="10000" max="10000" width="7.36328125" style="6" bestFit="1" customWidth="1"/>
    <col min="10001" max="10001" width="16.6328125" style="6" customWidth="1"/>
    <col min="10002" max="10245" width="9" style="6"/>
    <col min="10246" max="10246" width="16.36328125" style="6" customWidth="1"/>
    <col min="10247" max="10247" width="9" style="6"/>
    <col min="10248" max="10248" width="11.453125" style="6" customWidth="1"/>
    <col min="10249" max="10250" width="9" style="6"/>
    <col min="10251" max="10251" width="23" style="6" bestFit="1" customWidth="1"/>
    <col min="10252" max="10252" width="10" style="6" customWidth="1"/>
    <col min="10253" max="10253" width="6.36328125" style="6" bestFit="1" customWidth="1"/>
    <col min="10254" max="10254" width="7.36328125" style="6" bestFit="1" customWidth="1"/>
    <col min="10255" max="10255" width="16.6328125" style="6" customWidth="1"/>
    <col min="10256" max="10256" width="7.36328125" style="6" bestFit="1" customWidth="1"/>
    <col min="10257" max="10257" width="16.6328125" style="6" customWidth="1"/>
    <col min="10258" max="10501" width="9" style="6"/>
    <col min="10502" max="10502" width="16.36328125" style="6" customWidth="1"/>
    <col min="10503" max="10503" width="9" style="6"/>
    <col min="10504" max="10504" width="11.453125" style="6" customWidth="1"/>
    <col min="10505" max="10506" width="9" style="6"/>
    <col min="10507" max="10507" width="23" style="6" bestFit="1" customWidth="1"/>
    <col min="10508" max="10508" width="10" style="6" customWidth="1"/>
    <col min="10509" max="10509" width="6.36328125" style="6" bestFit="1" customWidth="1"/>
    <col min="10510" max="10510" width="7.36328125" style="6" bestFit="1" customWidth="1"/>
    <col min="10511" max="10511" width="16.6328125" style="6" customWidth="1"/>
    <col min="10512" max="10512" width="7.36328125" style="6" bestFit="1" customWidth="1"/>
    <col min="10513" max="10513" width="16.6328125" style="6" customWidth="1"/>
    <col min="10514" max="10757" width="9" style="6"/>
    <col min="10758" max="10758" width="16.36328125" style="6" customWidth="1"/>
    <col min="10759" max="10759" width="9" style="6"/>
    <col min="10760" max="10760" width="11.453125" style="6" customWidth="1"/>
    <col min="10761" max="10762" width="9" style="6"/>
    <col min="10763" max="10763" width="23" style="6" bestFit="1" customWidth="1"/>
    <col min="10764" max="10764" width="10" style="6" customWidth="1"/>
    <col min="10765" max="10765" width="6.36328125" style="6" bestFit="1" customWidth="1"/>
    <col min="10766" max="10766" width="7.36328125" style="6" bestFit="1" customWidth="1"/>
    <col min="10767" max="10767" width="16.6328125" style="6" customWidth="1"/>
    <col min="10768" max="10768" width="7.36328125" style="6" bestFit="1" customWidth="1"/>
    <col min="10769" max="10769" width="16.6328125" style="6" customWidth="1"/>
    <col min="10770" max="11013" width="9" style="6"/>
    <col min="11014" max="11014" width="16.36328125" style="6" customWidth="1"/>
    <col min="11015" max="11015" width="9" style="6"/>
    <col min="11016" max="11016" width="11.453125" style="6" customWidth="1"/>
    <col min="11017" max="11018" width="9" style="6"/>
    <col min="11019" max="11019" width="23" style="6" bestFit="1" customWidth="1"/>
    <col min="11020" max="11020" width="10" style="6" customWidth="1"/>
    <col min="11021" max="11021" width="6.36328125" style="6" bestFit="1" customWidth="1"/>
    <col min="11022" max="11022" width="7.36328125" style="6" bestFit="1" customWidth="1"/>
    <col min="11023" max="11023" width="16.6328125" style="6" customWidth="1"/>
    <col min="11024" max="11024" width="7.36328125" style="6" bestFit="1" customWidth="1"/>
    <col min="11025" max="11025" width="16.6328125" style="6" customWidth="1"/>
    <col min="11026" max="11269" width="9" style="6"/>
    <col min="11270" max="11270" width="16.36328125" style="6" customWidth="1"/>
    <col min="11271" max="11271" width="9" style="6"/>
    <col min="11272" max="11272" width="11.453125" style="6" customWidth="1"/>
    <col min="11273" max="11274" width="9" style="6"/>
    <col min="11275" max="11275" width="23" style="6" bestFit="1" customWidth="1"/>
    <col min="11276" max="11276" width="10" style="6" customWidth="1"/>
    <col min="11277" max="11277" width="6.36328125" style="6" bestFit="1" customWidth="1"/>
    <col min="11278" max="11278" width="7.36328125" style="6" bestFit="1" customWidth="1"/>
    <col min="11279" max="11279" width="16.6328125" style="6" customWidth="1"/>
    <col min="11280" max="11280" width="7.36328125" style="6" bestFit="1" customWidth="1"/>
    <col min="11281" max="11281" width="16.6328125" style="6" customWidth="1"/>
    <col min="11282" max="11525" width="9" style="6"/>
    <col min="11526" max="11526" width="16.36328125" style="6" customWidth="1"/>
    <col min="11527" max="11527" width="9" style="6"/>
    <col min="11528" max="11528" width="11.453125" style="6" customWidth="1"/>
    <col min="11529" max="11530" width="9" style="6"/>
    <col min="11531" max="11531" width="23" style="6" bestFit="1" customWidth="1"/>
    <col min="11532" max="11532" width="10" style="6" customWidth="1"/>
    <col min="11533" max="11533" width="6.36328125" style="6" bestFit="1" customWidth="1"/>
    <col min="11534" max="11534" width="7.36328125" style="6" bestFit="1" customWidth="1"/>
    <col min="11535" max="11535" width="16.6328125" style="6" customWidth="1"/>
    <col min="11536" max="11536" width="7.36328125" style="6" bestFit="1" customWidth="1"/>
    <col min="11537" max="11537" width="16.6328125" style="6" customWidth="1"/>
    <col min="11538" max="11781" width="9" style="6"/>
    <col min="11782" max="11782" width="16.36328125" style="6" customWidth="1"/>
    <col min="11783" max="11783" width="9" style="6"/>
    <col min="11784" max="11784" width="11.453125" style="6" customWidth="1"/>
    <col min="11785" max="11786" width="9" style="6"/>
    <col min="11787" max="11787" width="23" style="6" bestFit="1" customWidth="1"/>
    <col min="11788" max="11788" width="10" style="6" customWidth="1"/>
    <col min="11789" max="11789" width="6.36328125" style="6" bestFit="1" customWidth="1"/>
    <col min="11790" max="11790" width="7.36328125" style="6" bestFit="1" customWidth="1"/>
    <col min="11791" max="11791" width="16.6328125" style="6" customWidth="1"/>
    <col min="11792" max="11792" width="7.36328125" style="6" bestFit="1" customWidth="1"/>
    <col min="11793" max="11793" width="16.6328125" style="6" customWidth="1"/>
    <col min="11794" max="12037" width="9" style="6"/>
    <col min="12038" max="12038" width="16.36328125" style="6" customWidth="1"/>
    <col min="12039" max="12039" width="9" style="6"/>
    <col min="12040" max="12040" width="11.453125" style="6" customWidth="1"/>
    <col min="12041" max="12042" width="9" style="6"/>
    <col min="12043" max="12043" width="23" style="6" bestFit="1" customWidth="1"/>
    <col min="12044" max="12044" width="10" style="6" customWidth="1"/>
    <col min="12045" max="12045" width="6.36328125" style="6" bestFit="1" customWidth="1"/>
    <col min="12046" max="12046" width="7.36328125" style="6" bestFit="1" customWidth="1"/>
    <col min="12047" max="12047" width="16.6328125" style="6" customWidth="1"/>
    <col min="12048" max="12048" width="7.36328125" style="6" bestFit="1" customWidth="1"/>
    <col min="12049" max="12049" width="16.6328125" style="6" customWidth="1"/>
    <col min="12050" max="12293" width="9" style="6"/>
    <col min="12294" max="12294" width="16.36328125" style="6" customWidth="1"/>
    <col min="12295" max="12295" width="9" style="6"/>
    <col min="12296" max="12296" width="11.453125" style="6" customWidth="1"/>
    <col min="12297" max="12298" width="9" style="6"/>
    <col min="12299" max="12299" width="23" style="6" bestFit="1" customWidth="1"/>
    <col min="12300" max="12300" width="10" style="6" customWidth="1"/>
    <col min="12301" max="12301" width="6.36328125" style="6" bestFit="1" customWidth="1"/>
    <col min="12302" max="12302" width="7.36328125" style="6" bestFit="1" customWidth="1"/>
    <col min="12303" max="12303" width="16.6328125" style="6" customWidth="1"/>
    <col min="12304" max="12304" width="7.36328125" style="6" bestFit="1" customWidth="1"/>
    <col min="12305" max="12305" width="16.6328125" style="6" customWidth="1"/>
    <col min="12306" max="12549" width="9" style="6"/>
    <col min="12550" max="12550" width="16.36328125" style="6" customWidth="1"/>
    <col min="12551" max="12551" width="9" style="6"/>
    <col min="12552" max="12552" width="11.453125" style="6" customWidth="1"/>
    <col min="12553" max="12554" width="9" style="6"/>
    <col min="12555" max="12555" width="23" style="6" bestFit="1" customWidth="1"/>
    <col min="12556" max="12556" width="10" style="6" customWidth="1"/>
    <col min="12557" max="12557" width="6.36328125" style="6" bestFit="1" customWidth="1"/>
    <col min="12558" max="12558" width="7.36328125" style="6" bestFit="1" customWidth="1"/>
    <col min="12559" max="12559" width="16.6328125" style="6" customWidth="1"/>
    <col min="12560" max="12560" width="7.36328125" style="6" bestFit="1" customWidth="1"/>
    <col min="12561" max="12561" width="16.6328125" style="6" customWidth="1"/>
    <col min="12562" max="12805" width="9" style="6"/>
    <col min="12806" max="12806" width="16.36328125" style="6" customWidth="1"/>
    <col min="12807" max="12807" width="9" style="6"/>
    <col min="12808" max="12808" width="11.453125" style="6" customWidth="1"/>
    <col min="12809" max="12810" width="9" style="6"/>
    <col min="12811" max="12811" width="23" style="6" bestFit="1" customWidth="1"/>
    <col min="12812" max="12812" width="10" style="6" customWidth="1"/>
    <col min="12813" max="12813" width="6.36328125" style="6" bestFit="1" customWidth="1"/>
    <col min="12814" max="12814" width="7.36328125" style="6" bestFit="1" customWidth="1"/>
    <col min="12815" max="12815" width="16.6328125" style="6" customWidth="1"/>
    <col min="12816" max="12816" width="7.36328125" style="6" bestFit="1" customWidth="1"/>
    <col min="12817" max="12817" width="16.6328125" style="6" customWidth="1"/>
    <col min="12818" max="13061" width="9" style="6"/>
    <col min="13062" max="13062" width="16.36328125" style="6" customWidth="1"/>
    <col min="13063" max="13063" width="9" style="6"/>
    <col min="13064" max="13064" width="11.453125" style="6" customWidth="1"/>
    <col min="13065" max="13066" width="9" style="6"/>
    <col min="13067" max="13067" width="23" style="6" bestFit="1" customWidth="1"/>
    <col min="13068" max="13068" width="10" style="6" customWidth="1"/>
    <col min="13069" max="13069" width="6.36328125" style="6" bestFit="1" customWidth="1"/>
    <col min="13070" max="13070" width="7.36328125" style="6" bestFit="1" customWidth="1"/>
    <col min="13071" max="13071" width="16.6328125" style="6" customWidth="1"/>
    <col min="13072" max="13072" width="7.36328125" style="6" bestFit="1" customWidth="1"/>
    <col min="13073" max="13073" width="16.6328125" style="6" customWidth="1"/>
    <col min="13074" max="13317" width="9" style="6"/>
    <col min="13318" max="13318" width="16.36328125" style="6" customWidth="1"/>
    <col min="13319" max="13319" width="9" style="6"/>
    <col min="13320" max="13320" width="11.453125" style="6" customWidth="1"/>
    <col min="13321" max="13322" width="9" style="6"/>
    <col min="13323" max="13323" width="23" style="6" bestFit="1" customWidth="1"/>
    <col min="13324" max="13324" width="10" style="6" customWidth="1"/>
    <col min="13325" max="13325" width="6.36328125" style="6" bestFit="1" customWidth="1"/>
    <col min="13326" max="13326" width="7.36328125" style="6" bestFit="1" customWidth="1"/>
    <col min="13327" max="13327" width="16.6328125" style="6" customWidth="1"/>
    <col min="13328" max="13328" width="7.36328125" style="6" bestFit="1" customWidth="1"/>
    <col min="13329" max="13329" width="16.6328125" style="6" customWidth="1"/>
    <col min="13330" max="13573" width="9" style="6"/>
    <col min="13574" max="13574" width="16.36328125" style="6" customWidth="1"/>
    <col min="13575" max="13575" width="9" style="6"/>
    <col min="13576" max="13576" width="11.453125" style="6" customWidth="1"/>
    <col min="13577" max="13578" width="9" style="6"/>
    <col min="13579" max="13579" width="23" style="6" bestFit="1" customWidth="1"/>
    <col min="13580" max="13580" width="10" style="6" customWidth="1"/>
    <col min="13581" max="13581" width="6.36328125" style="6" bestFit="1" customWidth="1"/>
    <col min="13582" max="13582" width="7.36328125" style="6" bestFit="1" customWidth="1"/>
    <col min="13583" max="13583" width="16.6328125" style="6" customWidth="1"/>
    <col min="13584" max="13584" width="7.36328125" style="6" bestFit="1" customWidth="1"/>
    <col min="13585" max="13585" width="16.6328125" style="6" customWidth="1"/>
    <col min="13586" max="13829" width="9" style="6"/>
    <col min="13830" max="13830" width="16.36328125" style="6" customWidth="1"/>
    <col min="13831" max="13831" width="9" style="6"/>
    <col min="13832" max="13832" width="11.453125" style="6" customWidth="1"/>
    <col min="13833" max="13834" width="9" style="6"/>
    <col min="13835" max="13835" width="23" style="6" bestFit="1" customWidth="1"/>
    <col min="13836" max="13836" width="10" style="6" customWidth="1"/>
    <col min="13837" max="13837" width="6.36328125" style="6" bestFit="1" customWidth="1"/>
    <col min="13838" max="13838" width="7.36328125" style="6" bestFit="1" customWidth="1"/>
    <col min="13839" max="13839" width="16.6328125" style="6" customWidth="1"/>
    <col min="13840" max="13840" width="7.36328125" style="6" bestFit="1" customWidth="1"/>
    <col min="13841" max="13841" width="16.6328125" style="6" customWidth="1"/>
    <col min="13842" max="14085" width="9" style="6"/>
    <col min="14086" max="14086" width="16.36328125" style="6" customWidth="1"/>
    <col min="14087" max="14087" width="9" style="6"/>
    <col min="14088" max="14088" width="11.453125" style="6" customWidth="1"/>
    <col min="14089" max="14090" width="9" style="6"/>
    <col min="14091" max="14091" width="23" style="6" bestFit="1" customWidth="1"/>
    <col min="14092" max="14092" width="10" style="6" customWidth="1"/>
    <col min="14093" max="14093" width="6.36328125" style="6" bestFit="1" customWidth="1"/>
    <col min="14094" max="14094" width="7.36328125" style="6" bestFit="1" customWidth="1"/>
    <col min="14095" max="14095" width="16.6328125" style="6" customWidth="1"/>
    <col min="14096" max="14096" width="7.36328125" style="6" bestFit="1" customWidth="1"/>
    <col min="14097" max="14097" width="16.6328125" style="6" customWidth="1"/>
    <col min="14098" max="14341" width="9" style="6"/>
    <col min="14342" max="14342" width="16.36328125" style="6" customWidth="1"/>
    <col min="14343" max="14343" width="9" style="6"/>
    <col min="14344" max="14344" width="11.453125" style="6" customWidth="1"/>
    <col min="14345" max="14346" width="9" style="6"/>
    <col min="14347" max="14347" width="23" style="6" bestFit="1" customWidth="1"/>
    <col min="14348" max="14348" width="10" style="6" customWidth="1"/>
    <col min="14349" max="14349" width="6.36328125" style="6" bestFit="1" customWidth="1"/>
    <col min="14350" max="14350" width="7.36328125" style="6" bestFit="1" customWidth="1"/>
    <col min="14351" max="14351" width="16.6328125" style="6" customWidth="1"/>
    <col min="14352" max="14352" width="7.36328125" style="6" bestFit="1" customWidth="1"/>
    <col min="14353" max="14353" width="16.6328125" style="6" customWidth="1"/>
    <col min="14354" max="14597" width="9" style="6"/>
    <col min="14598" max="14598" width="16.36328125" style="6" customWidth="1"/>
    <col min="14599" max="14599" width="9" style="6"/>
    <col min="14600" max="14600" width="11.453125" style="6" customWidth="1"/>
    <col min="14601" max="14602" width="9" style="6"/>
    <col min="14603" max="14603" width="23" style="6" bestFit="1" customWidth="1"/>
    <col min="14604" max="14604" width="10" style="6" customWidth="1"/>
    <col min="14605" max="14605" width="6.36328125" style="6" bestFit="1" customWidth="1"/>
    <col min="14606" max="14606" width="7.36328125" style="6" bestFit="1" customWidth="1"/>
    <col min="14607" max="14607" width="16.6328125" style="6" customWidth="1"/>
    <col min="14608" max="14608" width="7.36328125" style="6" bestFit="1" customWidth="1"/>
    <col min="14609" max="14609" width="16.6328125" style="6" customWidth="1"/>
    <col min="14610" max="14853" width="9" style="6"/>
    <col min="14854" max="14854" width="16.36328125" style="6" customWidth="1"/>
    <col min="14855" max="14855" width="9" style="6"/>
    <col min="14856" max="14856" width="11.453125" style="6" customWidth="1"/>
    <col min="14857" max="14858" width="9" style="6"/>
    <col min="14859" max="14859" width="23" style="6" bestFit="1" customWidth="1"/>
    <col min="14860" max="14860" width="10" style="6" customWidth="1"/>
    <col min="14861" max="14861" width="6.36328125" style="6" bestFit="1" customWidth="1"/>
    <col min="14862" max="14862" width="7.36328125" style="6" bestFit="1" customWidth="1"/>
    <col min="14863" max="14863" width="16.6328125" style="6" customWidth="1"/>
    <col min="14864" max="14864" width="7.36328125" style="6" bestFit="1" customWidth="1"/>
    <col min="14865" max="14865" width="16.6328125" style="6" customWidth="1"/>
    <col min="14866" max="15109" width="9" style="6"/>
    <col min="15110" max="15110" width="16.36328125" style="6" customWidth="1"/>
    <col min="15111" max="15111" width="9" style="6"/>
    <col min="15112" max="15112" width="11.453125" style="6" customWidth="1"/>
    <col min="15113" max="15114" width="9" style="6"/>
    <col min="15115" max="15115" width="23" style="6" bestFit="1" customWidth="1"/>
    <col min="15116" max="15116" width="10" style="6" customWidth="1"/>
    <col min="15117" max="15117" width="6.36328125" style="6" bestFit="1" customWidth="1"/>
    <col min="15118" max="15118" width="7.36328125" style="6" bestFit="1" customWidth="1"/>
    <col min="15119" max="15119" width="16.6328125" style="6" customWidth="1"/>
    <col min="15120" max="15120" width="7.36328125" style="6" bestFit="1" customWidth="1"/>
    <col min="15121" max="15121" width="16.6328125" style="6" customWidth="1"/>
    <col min="15122" max="15365" width="9" style="6"/>
    <col min="15366" max="15366" width="16.36328125" style="6" customWidth="1"/>
    <col min="15367" max="15367" width="9" style="6"/>
    <col min="15368" max="15368" width="11.453125" style="6" customWidth="1"/>
    <col min="15369" max="15370" width="9" style="6"/>
    <col min="15371" max="15371" width="23" style="6" bestFit="1" customWidth="1"/>
    <col min="15372" max="15372" width="10" style="6" customWidth="1"/>
    <col min="15373" max="15373" width="6.36328125" style="6" bestFit="1" customWidth="1"/>
    <col min="15374" max="15374" width="7.36328125" style="6" bestFit="1" customWidth="1"/>
    <col min="15375" max="15375" width="16.6328125" style="6" customWidth="1"/>
    <col min="15376" max="15376" width="7.36328125" style="6" bestFit="1" customWidth="1"/>
    <col min="15377" max="15377" width="16.6328125" style="6" customWidth="1"/>
    <col min="15378" max="15621" width="9" style="6"/>
    <col min="15622" max="15622" width="16.36328125" style="6" customWidth="1"/>
    <col min="15623" max="15623" width="9" style="6"/>
    <col min="15624" max="15624" width="11.453125" style="6" customWidth="1"/>
    <col min="15625" max="15626" width="9" style="6"/>
    <col min="15627" max="15627" width="23" style="6" bestFit="1" customWidth="1"/>
    <col min="15628" max="15628" width="10" style="6" customWidth="1"/>
    <col min="15629" max="15629" width="6.36328125" style="6" bestFit="1" customWidth="1"/>
    <col min="15630" max="15630" width="7.36328125" style="6" bestFit="1" customWidth="1"/>
    <col min="15631" max="15631" width="16.6328125" style="6" customWidth="1"/>
    <col min="15632" max="15632" width="7.36328125" style="6" bestFit="1" customWidth="1"/>
    <col min="15633" max="15633" width="16.6328125" style="6" customWidth="1"/>
    <col min="15634" max="15877" width="9" style="6"/>
    <col min="15878" max="15878" width="16.36328125" style="6" customWidth="1"/>
    <col min="15879" max="15879" width="9" style="6"/>
    <col min="15880" max="15880" width="11.453125" style="6" customWidth="1"/>
    <col min="15881" max="15882" width="9" style="6"/>
    <col min="15883" max="15883" width="23" style="6" bestFit="1" customWidth="1"/>
    <col min="15884" max="15884" width="10" style="6" customWidth="1"/>
    <col min="15885" max="15885" width="6.36328125" style="6" bestFit="1" customWidth="1"/>
    <col min="15886" max="15886" width="7.36328125" style="6" bestFit="1" customWidth="1"/>
    <col min="15887" max="15887" width="16.6328125" style="6" customWidth="1"/>
    <col min="15888" max="15888" width="7.36328125" style="6" bestFit="1" customWidth="1"/>
    <col min="15889" max="15889" width="16.6328125" style="6" customWidth="1"/>
    <col min="15890" max="16133" width="9" style="6"/>
    <col min="16134" max="16134" width="16.36328125" style="6" customWidth="1"/>
    <col min="16135" max="16135" width="9" style="6"/>
    <col min="16136" max="16136" width="11.453125" style="6" customWidth="1"/>
    <col min="16137" max="16138" width="9" style="6"/>
    <col min="16139" max="16139" width="23" style="6" bestFit="1" customWidth="1"/>
    <col min="16140" max="16140" width="10" style="6" customWidth="1"/>
    <col min="16141" max="16141" width="6.36328125" style="6" bestFit="1" customWidth="1"/>
    <col min="16142" max="16142" width="7.36328125" style="6" bestFit="1" customWidth="1"/>
    <col min="16143" max="16143" width="16.6328125" style="6" customWidth="1"/>
    <col min="16144" max="16144" width="7.36328125" style="6" bestFit="1" customWidth="1"/>
    <col min="16145" max="16145" width="16.6328125" style="6" customWidth="1"/>
    <col min="16146" max="16384" width="9" style="6"/>
  </cols>
  <sheetData>
    <row r="1" spans="1:26" s="17" customFormat="1" ht="23.5" customHeight="1">
      <c r="A1" s="34"/>
      <c r="B1" s="34"/>
      <c r="C1" s="34"/>
      <c r="D1" s="34"/>
      <c r="E1" s="34"/>
      <c r="F1" s="34"/>
      <c r="G1" s="34"/>
      <c r="H1" s="34"/>
      <c r="I1" s="34"/>
      <c r="J1" s="34"/>
      <c r="K1" s="34"/>
      <c r="L1" s="34"/>
      <c r="M1" s="129" t="str">
        <f>資訊清單資訊!B3 &amp;資訊清單資訊!B7 &amp;資訊清單資訊!B5</f>
        <v>石油與天然氣輸儲查核與檢測雲端平台硬體類(HW)資訊資產風險評鑑</v>
      </c>
      <c r="N1" s="129"/>
      <c r="O1" s="129"/>
      <c r="P1" s="129"/>
      <c r="Q1" s="129"/>
      <c r="R1" s="129"/>
      <c r="S1" s="129"/>
      <c r="T1" s="129"/>
      <c r="U1" s="129"/>
      <c r="V1" s="129"/>
      <c r="W1" s="129"/>
      <c r="X1" s="129"/>
      <c r="Y1" s="129"/>
      <c r="Z1" s="129"/>
    </row>
    <row r="2" spans="1:26">
      <c r="M2" s="36" t="s">
        <v>9</v>
      </c>
      <c r="N2" s="164" t="str">
        <f>資訊清單資訊!B7</f>
        <v>硬體類(HW)</v>
      </c>
      <c r="O2" s="165"/>
      <c r="P2" s="166"/>
      <c r="Q2" s="65"/>
      <c r="R2" s="28" t="s">
        <v>11</v>
      </c>
      <c r="S2" s="15">
        <f>IF(ISNA(VLOOKUP($N$3,ALL_LIST,16,FALSE)), "",VLOOKUP($N$3,ALL_LIST,16,FALSE))</f>
        <v>3</v>
      </c>
    </row>
    <row r="3" spans="1:26" ht="32" customHeight="1">
      <c r="M3" s="39" t="s">
        <v>5</v>
      </c>
      <c r="N3" s="167" t="s">
        <v>172</v>
      </c>
      <c r="O3" s="168"/>
      <c r="P3" s="169"/>
      <c r="R3" s="27" t="s">
        <v>74</v>
      </c>
      <c r="S3" s="16">
        <f>IF(ISNA(VLOOKUP($N$3,ALL_LIST,8,FALSE)), "",VLOOKUP($N$3,ALL_LIST,8,FALSE))</f>
        <v>3</v>
      </c>
    </row>
    <row r="4" spans="1:26">
      <c r="M4" s="37" t="s">
        <v>10</v>
      </c>
      <c r="N4" s="170" t="str">
        <f>IF(ISNA(VLOOKUP($N$3,ALL_LIST,3,FALSE)), "",VLOOKUP($N$3,ALL_LIST,3,FALSE))</f>
        <v>網站負責人之個人電腦</v>
      </c>
      <c r="O4" s="171"/>
      <c r="P4" s="172"/>
      <c r="Q4" s="65"/>
      <c r="R4" s="27" t="s">
        <v>75</v>
      </c>
      <c r="S4" s="16">
        <f>IF(ISNA(VLOOKUP($N$3,ALL_LIST,10,FALSE)), "",VLOOKUP($N$3,ALL_LIST,10,FALSE))</f>
        <v>2</v>
      </c>
    </row>
    <row r="5" spans="1:26">
      <c r="M5" s="36" t="s">
        <v>6</v>
      </c>
      <c r="N5" s="173" t="str">
        <f>IF(ISNA(VLOOKUP($N$3,ALL_LIST,17,FALSE)), "",VLOOKUP($N$3,ALL_LIST,17,FALSE))</f>
        <v>賴斐瓔 </v>
      </c>
      <c r="O5" s="174"/>
      <c r="P5" s="175"/>
      <c r="Q5" s="65"/>
      <c r="R5" s="27" t="s">
        <v>76</v>
      </c>
      <c r="S5" s="16">
        <f>IF(ISNA(VLOOKUP($N$3,ALL_LIST,12,FALSE)), " ",VLOOKUP($N$3,ALL_LIST,12,FALSE))</f>
        <v>2</v>
      </c>
    </row>
    <row r="6" spans="1:26">
      <c r="M6" s="38" t="s">
        <v>7</v>
      </c>
      <c r="N6" s="176" t="s">
        <v>219</v>
      </c>
      <c r="O6" s="177"/>
      <c r="P6" s="178"/>
      <c r="R6" s="27" t="s">
        <v>77</v>
      </c>
      <c r="S6" s="16">
        <f>IF(ISNA(VLOOKUP($N$3,ALL_LIST,14,FALSE)), "",VLOOKUP($N$3,ALL_LIST,14,FALSE))</f>
        <v>3</v>
      </c>
    </row>
    <row r="7" spans="1:26">
      <c r="M7" s="38" t="s">
        <v>8</v>
      </c>
      <c r="N7" s="179" t="s">
        <v>144</v>
      </c>
      <c r="O7" s="180"/>
      <c r="P7" s="181"/>
      <c r="Q7" s="65"/>
      <c r="R7" s="29" t="s">
        <v>12</v>
      </c>
      <c r="S7" s="21">
        <f>MAX(Y11:Y29)</f>
        <v>6</v>
      </c>
    </row>
    <row r="10" spans="1:26" s="18" customFormat="1" ht="16">
      <c r="A10" s="30" t="s">
        <v>13</v>
      </c>
      <c r="B10" s="30" t="s">
        <v>2</v>
      </c>
      <c r="C10" s="30" t="s">
        <v>15</v>
      </c>
      <c r="D10" s="30" t="s">
        <v>16</v>
      </c>
      <c r="E10" s="30" t="s">
        <v>3</v>
      </c>
      <c r="F10" s="30" t="s">
        <v>17</v>
      </c>
      <c r="G10" s="31" t="s">
        <v>18</v>
      </c>
      <c r="H10" s="31" t="s">
        <v>19</v>
      </c>
      <c r="I10" s="31" t="s">
        <v>20</v>
      </c>
      <c r="J10" s="31" t="s">
        <v>21</v>
      </c>
      <c r="K10" s="32" t="s">
        <v>22</v>
      </c>
      <c r="L10" s="33" t="s">
        <v>32</v>
      </c>
      <c r="M10" s="144" t="s">
        <v>23</v>
      </c>
      <c r="N10" s="145"/>
      <c r="O10" s="146"/>
      <c r="P10" s="144" t="s">
        <v>4</v>
      </c>
      <c r="Q10" s="145"/>
      <c r="R10" s="145"/>
      <c r="S10" s="146"/>
      <c r="T10" s="26" t="s">
        <v>24</v>
      </c>
      <c r="U10" s="26" t="s">
        <v>25</v>
      </c>
      <c r="V10" s="26" t="s">
        <v>26</v>
      </c>
      <c r="W10" s="26" t="s">
        <v>27</v>
      </c>
      <c r="X10" s="26" t="s">
        <v>26</v>
      </c>
      <c r="Y10" s="26" t="s">
        <v>28</v>
      </c>
      <c r="Z10" s="26" t="s">
        <v>29</v>
      </c>
    </row>
    <row r="11" spans="1:26" ht="51" customHeight="1">
      <c r="A11" s="54" t="str">
        <f>$N$3</f>
        <v>材1-1-HW-03</v>
      </c>
      <c r="B11" s="55">
        <f t="shared" ref="B11:B20" si="0">VLOOKUP($N$3,ALL_LIST,2,FALSE)</f>
        <v>0</v>
      </c>
      <c r="C11" s="55" t="str">
        <f t="shared" ref="C11:C20" si="1">VLOOKUP($N$3,ALL_LIST,3,FALSE)</f>
        <v>網站負責人之個人電腦</v>
      </c>
      <c r="D11" s="55" t="str">
        <f t="shared" ref="D11:D20" si="2">VLOOKUP($N$3,ALL_LIST,4,FALSE)</f>
        <v>賴斐瓔之個人電腦</v>
      </c>
      <c r="E11" s="55">
        <f t="shared" ref="E11:E20" si="3">VLOOKUP($N$3,ALL_LIST,6,FALSE)</f>
        <v>1</v>
      </c>
      <c r="F11" s="55" t="str">
        <f t="shared" ref="F11:F20" si="4">VLOOKUP($N$3,ALL_LIST,7,FALSE)</f>
        <v>賴斐瓔 </v>
      </c>
      <c r="G11" s="55">
        <f t="shared" ref="G11:G20" si="5">VLOOKUP($N$3,ALL_LIST,8,FALSE)</f>
        <v>3</v>
      </c>
      <c r="H11" s="55">
        <f t="shared" ref="H11:H20" si="6">VLOOKUP($N$3,ALL_LIST,10,FALSE)</f>
        <v>2</v>
      </c>
      <c r="I11" s="55">
        <f t="shared" ref="I11:I20" si="7">VLOOKUP($N$3,ALL_LIST,12,FALSE)</f>
        <v>2</v>
      </c>
      <c r="J11" s="55">
        <f t="shared" ref="J11:J20" si="8">VLOOKUP($N$3,ALL_LIST,14,FALSE)</f>
        <v>3</v>
      </c>
      <c r="K11" s="56">
        <f t="shared" ref="K11:K20" si="9">VLOOKUP($N$3,ALL_LIST,16,FALSE)</f>
        <v>3</v>
      </c>
      <c r="L11" s="56">
        <f t="shared" ref="L11:L18" si="10">$S$7</f>
        <v>6</v>
      </c>
      <c r="M11" s="138" t="s">
        <v>80</v>
      </c>
      <c r="N11" s="139"/>
      <c r="O11" s="140"/>
      <c r="P11" s="141" t="s">
        <v>211</v>
      </c>
      <c r="Q11" s="142"/>
      <c r="R11" s="142"/>
      <c r="S11" s="133"/>
      <c r="T11" s="69" t="s">
        <v>119</v>
      </c>
      <c r="U11" s="69">
        <v>1</v>
      </c>
      <c r="V11" s="77" t="s">
        <v>203</v>
      </c>
      <c r="W11" s="69">
        <v>1</v>
      </c>
      <c r="X11" s="70" t="s">
        <v>188</v>
      </c>
      <c r="Y11" s="58">
        <f>IF((T11="N"),"不適用",IF(COUNTA(U11,W11)&lt;2,"評鑑中",$S$2*U11*W11))</f>
        <v>3</v>
      </c>
      <c r="Z11" s="41"/>
    </row>
    <row r="12" spans="1:26" ht="31">
      <c r="A12" s="54" t="str">
        <f t="shared" ref="A12:A20" si="11">$N$3</f>
        <v>材1-1-HW-03</v>
      </c>
      <c r="B12" s="55">
        <f t="shared" si="0"/>
        <v>0</v>
      </c>
      <c r="C12" s="55" t="str">
        <f t="shared" si="1"/>
        <v>網站負責人之個人電腦</v>
      </c>
      <c r="D12" s="55" t="str">
        <f t="shared" si="2"/>
        <v>賴斐瓔之個人電腦</v>
      </c>
      <c r="E12" s="55">
        <f t="shared" si="3"/>
        <v>1</v>
      </c>
      <c r="F12" s="55" t="str">
        <f t="shared" si="4"/>
        <v>賴斐瓔 </v>
      </c>
      <c r="G12" s="55">
        <f t="shared" si="5"/>
        <v>3</v>
      </c>
      <c r="H12" s="55">
        <f t="shared" si="6"/>
        <v>2</v>
      </c>
      <c r="I12" s="55">
        <f t="shared" si="7"/>
        <v>2</v>
      </c>
      <c r="J12" s="55">
        <f t="shared" si="8"/>
        <v>3</v>
      </c>
      <c r="K12" s="56">
        <f t="shared" si="9"/>
        <v>3</v>
      </c>
      <c r="L12" s="56">
        <f t="shared" si="10"/>
        <v>6</v>
      </c>
      <c r="M12" s="135" t="s">
        <v>120</v>
      </c>
      <c r="N12" s="136"/>
      <c r="O12" s="137"/>
      <c r="P12" s="182" t="s">
        <v>121</v>
      </c>
      <c r="Q12" s="183"/>
      <c r="R12" s="183"/>
      <c r="S12" s="184"/>
      <c r="T12" s="69" t="s">
        <v>119</v>
      </c>
      <c r="U12" s="69">
        <v>1</v>
      </c>
      <c r="V12" s="77" t="s">
        <v>203</v>
      </c>
      <c r="W12" s="69">
        <v>1</v>
      </c>
      <c r="X12" s="70"/>
      <c r="Y12" s="58">
        <f t="shared" ref="Y12:Y29" si="12">IF((T12="N"),"不適用",IF(COUNTA(U12,W12)&lt;2,"評鑑中",$S$2*U12*W12))</f>
        <v>3</v>
      </c>
      <c r="Z12" s="41"/>
    </row>
    <row r="13" spans="1:26" ht="46.5">
      <c r="A13" s="54" t="str">
        <f t="shared" si="11"/>
        <v>材1-1-HW-03</v>
      </c>
      <c r="B13" s="55">
        <f t="shared" si="0"/>
        <v>0</v>
      </c>
      <c r="C13" s="55" t="str">
        <f t="shared" si="1"/>
        <v>網站負責人之個人電腦</v>
      </c>
      <c r="D13" s="55" t="str">
        <f t="shared" si="2"/>
        <v>賴斐瓔之個人電腦</v>
      </c>
      <c r="E13" s="55">
        <f t="shared" si="3"/>
        <v>1</v>
      </c>
      <c r="F13" s="55" t="str">
        <f t="shared" si="4"/>
        <v>賴斐瓔 </v>
      </c>
      <c r="G13" s="55">
        <f t="shared" si="5"/>
        <v>3</v>
      </c>
      <c r="H13" s="55">
        <f t="shared" si="6"/>
        <v>2</v>
      </c>
      <c r="I13" s="55">
        <f t="shared" si="7"/>
        <v>2</v>
      </c>
      <c r="J13" s="55">
        <f t="shared" si="8"/>
        <v>3</v>
      </c>
      <c r="K13" s="56">
        <f t="shared" si="9"/>
        <v>3</v>
      </c>
      <c r="L13" s="56">
        <f t="shared" si="10"/>
        <v>6</v>
      </c>
      <c r="M13" s="135" t="s">
        <v>120</v>
      </c>
      <c r="N13" s="136"/>
      <c r="O13" s="137"/>
      <c r="P13" s="182" t="s">
        <v>122</v>
      </c>
      <c r="Q13" s="183"/>
      <c r="R13" s="183"/>
      <c r="S13" s="184"/>
      <c r="T13" s="69" t="s">
        <v>119</v>
      </c>
      <c r="U13" s="69">
        <v>1</v>
      </c>
      <c r="V13" s="41" t="s">
        <v>204</v>
      </c>
      <c r="W13" s="69">
        <v>1</v>
      </c>
      <c r="X13" s="70" t="s">
        <v>189</v>
      </c>
      <c r="Y13" s="58">
        <f>IF((T13="N"),"不適用",IF(COUNTA(U13,W13)&lt;2,"評鑑中",$S$2*U13*W13))</f>
        <v>3</v>
      </c>
      <c r="Z13" s="41"/>
    </row>
    <row r="14" spans="1:26">
      <c r="A14" s="54" t="str">
        <f t="shared" si="11"/>
        <v>材1-1-HW-03</v>
      </c>
      <c r="B14" s="55">
        <f t="shared" si="0"/>
        <v>0</v>
      </c>
      <c r="C14" s="55" t="str">
        <f t="shared" si="1"/>
        <v>網站負責人之個人電腦</v>
      </c>
      <c r="D14" s="55" t="str">
        <f t="shared" si="2"/>
        <v>賴斐瓔之個人電腦</v>
      </c>
      <c r="E14" s="55">
        <f t="shared" si="3"/>
        <v>1</v>
      </c>
      <c r="F14" s="55" t="str">
        <f t="shared" si="4"/>
        <v>賴斐瓔 </v>
      </c>
      <c r="G14" s="55">
        <f t="shared" si="5"/>
        <v>3</v>
      </c>
      <c r="H14" s="55">
        <f t="shared" si="6"/>
        <v>2</v>
      </c>
      <c r="I14" s="55">
        <f t="shared" si="7"/>
        <v>2</v>
      </c>
      <c r="J14" s="55">
        <f t="shared" si="8"/>
        <v>3</v>
      </c>
      <c r="K14" s="56">
        <f t="shared" si="9"/>
        <v>3</v>
      </c>
      <c r="L14" s="56">
        <f t="shared" si="10"/>
        <v>6</v>
      </c>
      <c r="M14" s="138" t="s">
        <v>82</v>
      </c>
      <c r="N14" s="139"/>
      <c r="O14" s="140"/>
      <c r="P14" s="141" t="s">
        <v>123</v>
      </c>
      <c r="Q14" s="142" t="s">
        <v>30</v>
      </c>
      <c r="R14" s="142" t="s">
        <v>30</v>
      </c>
      <c r="S14" s="133" t="s">
        <v>30</v>
      </c>
      <c r="T14" s="69" t="s">
        <v>119</v>
      </c>
      <c r="U14" s="69">
        <v>1</v>
      </c>
      <c r="V14" s="77" t="s">
        <v>205</v>
      </c>
      <c r="W14" s="69">
        <v>2</v>
      </c>
      <c r="X14" s="71"/>
      <c r="Y14" s="58">
        <f t="shared" si="12"/>
        <v>6</v>
      </c>
      <c r="Z14" s="41"/>
    </row>
    <row r="15" spans="1:26" ht="46.5">
      <c r="A15" s="54" t="str">
        <f t="shared" si="11"/>
        <v>材1-1-HW-03</v>
      </c>
      <c r="B15" s="55">
        <f t="shared" si="0"/>
        <v>0</v>
      </c>
      <c r="C15" s="55" t="str">
        <f t="shared" si="1"/>
        <v>網站負責人之個人電腦</v>
      </c>
      <c r="D15" s="55" t="str">
        <f t="shared" si="2"/>
        <v>賴斐瓔之個人電腦</v>
      </c>
      <c r="E15" s="55">
        <f t="shared" si="3"/>
        <v>1</v>
      </c>
      <c r="F15" s="55" t="str">
        <f t="shared" si="4"/>
        <v>賴斐瓔 </v>
      </c>
      <c r="G15" s="55">
        <f t="shared" si="5"/>
        <v>3</v>
      </c>
      <c r="H15" s="55">
        <f t="shared" si="6"/>
        <v>2</v>
      </c>
      <c r="I15" s="55">
        <f t="shared" si="7"/>
        <v>2</v>
      </c>
      <c r="J15" s="55">
        <f t="shared" si="8"/>
        <v>3</v>
      </c>
      <c r="K15" s="56">
        <f t="shared" si="9"/>
        <v>3</v>
      </c>
      <c r="L15" s="56">
        <f t="shared" si="10"/>
        <v>6</v>
      </c>
      <c r="M15" s="135" t="s">
        <v>124</v>
      </c>
      <c r="N15" s="136"/>
      <c r="O15" s="137"/>
      <c r="P15" s="141" t="s">
        <v>125</v>
      </c>
      <c r="Q15" s="142" t="s">
        <v>125</v>
      </c>
      <c r="R15" s="142" t="s">
        <v>125</v>
      </c>
      <c r="S15" s="133" t="s">
        <v>125</v>
      </c>
      <c r="T15" s="69" t="s">
        <v>119</v>
      </c>
      <c r="U15" s="69">
        <v>1</v>
      </c>
      <c r="V15" s="41" t="s">
        <v>206</v>
      </c>
      <c r="W15" s="69">
        <v>2</v>
      </c>
      <c r="X15" s="71"/>
      <c r="Y15" s="58">
        <f t="shared" si="12"/>
        <v>6</v>
      </c>
      <c r="Z15" s="41"/>
    </row>
    <row r="16" spans="1:26">
      <c r="A16" s="54" t="str">
        <f t="shared" si="11"/>
        <v>材1-1-HW-03</v>
      </c>
      <c r="B16" s="55">
        <f t="shared" si="0"/>
        <v>0</v>
      </c>
      <c r="C16" s="55" t="str">
        <f t="shared" si="1"/>
        <v>網站負責人之個人電腦</v>
      </c>
      <c r="D16" s="55" t="str">
        <f t="shared" si="2"/>
        <v>賴斐瓔之個人電腦</v>
      </c>
      <c r="E16" s="55">
        <f t="shared" si="3"/>
        <v>1</v>
      </c>
      <c r="F16" s="55" t="str">
        <f t="shared" si="4"/>
        <v>賴斐瓔 </v>
      </c>
      <c r="G16" s="55">
        <f t="shared" si="5"/>
        <v>3</v>
      </c>
      <c r="H16" s="55">
        <f t="shared" si="6"/>
        <v>2</v>
      </c>
      <c r="I16" s="55">
        <f t="shared" si="7"/>
        <v>2</v>
      </c>
      <c r="J16" s="55">
        <f t="shared" si="8"/>
        <v>3</v>
      </c>
      <c r="K16" s="56">
        <f t="shared" si="9"/>
        <v>3</v>
      </c>
      <c r="L16" s="56">
        <f t="shared" si="10"/>
        <v>6</v>
      </c>
      <c r="M16" s="135" t="s">
        <v>124</v>
      </c>
      <c r="N16" s="136"/>
      <c r="O16" s="137"/>
      <c r="P16" s="141" t="s">
        <v>126</v>
      </c>
      <c r="Q16" s="142" t="s">
        <v>127</v>
      </c>
      <c r="R16" s="142" t="s">
        <v>127</v>
      </c>
      <c r="S16" s="133" t="s">
        <v>127</v>
      </c>
      <c r="T16" s="69" t="s">
        <v>119</v>
      </c>
      <c r="U16" s="69">
        <v>1</v>
      </c>
      <c r="V16" s="77" t="s">
        <v>205</v>
      </c>
      <c r="W16" s="69">
        <v>2</v>
      </c>
      <c r="X16" s="71"/>
      <c r="Y16" s="58">
        <f t="shared" si="12"/>
        <v>6</v>
      </c>
      <c r="Z16" s="41"/>
    </row>
    <row r="17" spans="1:26" ht="62">
      <c r="A17" s="54" t="str">
        <f t="shared" si="11"/>
        <v>材1-1-HW-03</v>
      </c>
      <c r="B17" s="55">
        <f t="shared" si="0"/>
        <v>0</v>
      </c>
      <c r="C17" s="55" t="str">
        <f t="shared" si="1"/>
        <v>網站負責人之個人電腦</v>
      </c>
      <c r="D17" s="55" t="str">
        <f t="shared" si="2"/>
        <v>賴斐瓔之個人電腦</v>
      </c>
      <c r="E17" s="55">
        <f t="shared" si="3"/>
        <v>1</v>
      </c>
      <c r="F17" s="55" t="str">
        <f t="shared" si="4"/>
        <v>賴斐瓔 </v>
      </c>
      <c r="G17" s="55">
        <f t="shared" si="5"/>
        <v>3</v>
      </c>
      <c r="H17" s="55">
        <f t="shared" si="6"/>
        <v>2</v>
      </c>
      <c r="I17" s="55">
        <f t="shared" si="7"/>
        <v>2</v>
      </c>
      <c r="J17" s="55">
        <f t="shared" si="8"/>
        <v>3</v>
      </c>
      <c r="K17" s="56">
        <f t="shared" si="9"/>
        <v>3</v>
      </c>
      <c r="L17" s="56">
        <f t="shared" si="10"/>
        <v>6</v>
      </c>
      <c r="M17" s="135" t="s">
        <v>124</v>
      </c>
      <c r="N17" s="136"/>
      <c r="O17" s="137"/>
      <c r="P17" s="124" t="s">
        <v>128</v>
      </c>
      <c r="Q17" s="125" t="s">
        <v>129</v>
      </c>
      <c r="R17" s="125" t="s">
        <v>129</v>
      </c>
      <c r="S17" s="126" t="s">
        <v>129</v>
      </c>
      <c r="T17" s="69" t="s">
        <v>119</v>
      </c>
      <c r="U17" s="69">
        <v>1</v>
      </c>
      <c r="V17" s="77" t="s">
        <v>216</v>
      </c>
      <c r="W17" s="69">
        <v>2</v>
      </c>
      <c r="X17" s="71"/>
      <c r="Y17" s="58">
        <f t="shared" si="12"/>
        <v>6</v>
      </c>
      <c r="Z17" s="41"/>
    </row>
    <row r="18" spans="1:26" ht="46.5">
      <c r="A18" s="54" t="str">
        <f t="shared" si="11"/>
        <v>材1-1-HW-03</v>
      </c>
      <c r="B18" s="55">
        <f t="shared" si="0"/>
        <v>0</v>
      </c>
      <c r="C18" s="55" t="str">
        <f t="shared" si="1"/>
        <v>網站負責人之個人電腦</v>
      </c>
      <c r="D18" s="55" t="str">
        <f t="shared" si="2"/>
        <v>賴斐瓔之個人電腦</v>
      </c>
      <c r="E18" s="55">
        <f t="shared" si="3"/>
        <v>1</v>
      </c>
      <c r="F18" s="55" t="str">
        <f t="shared" si="4"/>
        <v>賴斐瓔 </v>
      </c>
      <c r="G18" s="55">
        <f t="shared" si="5"/>
        <v>3</v>
      </c>
      <c r="H18" s="55">
        <f t="shared" si="6"/>
        <v>2</v>
      </c>
      <c r="I18" s="55">
        <f t="shared" si="7"/>
        <v>2</v>
      </c>
      <c r="J18" s="55">
        <f t="shared" si="8"/>
        <v>3</v>
      </c>
      <c r="K18" s="56">
        <f t="shared" si="9"/>
        <v>3</v>
      </c>
      <c r="L18" s="56">
        <f t="shared" si="10"/>
        <v>6</v>
      </c>
      <c r="M18" s="135" t="s">
        <v>124</v>
      </c>
      <c r="N18" s="136"/>
      <c r="O18" s="137"/>
      <c r="P18" s="124" t="s">
        <v>130</v>
      </c>
      <c r="Q18" s="125" t="s">
        <v>131</v>
      </c>
      <c r="R18" s="125" t="s">
        <v>131</v>
      </c>
      <c r="S18" s="126" t="s">
        <v>131</v>
      </c>
      <c r="T18" s="69" t="s">
        <v>119</v>
      </c>
      <c r="U18" s="69">
        <v>1</v>
      </c>
      <c r="V18" s="41" t="s">
        <v>206</v>
      </c>
      <c r="W18" s="69">
        <v>2</v>
      </c>
      <c r="X18" s="71"/>
      <c r="Y18" s="58">
        <f t="shared" si="12"/>
        <v>6</v>
      </c>
      <c r="Z18" s="41"/>
    </row>
    <row r="19" spans="1:26" ht="31">
      <c r="A19" s="54"/>
      <c r="B19" s="55"/>
      <c r="C19" s="55"/>
      <c r="D19" s="55"/>
      <c r="E19" s="55"/>
      <c r="F19" s="55"/>
      <c r="G19" s="55"/>
      <c r="H19" s="55"/>
      <c r="I19" s="55"/>
      <c r="J19" s="55"/>
      <c r="K19" s="56"/>
      <c r="L19" s="56"/>
      <c r="M19" s="135" t="s">
        <v>124</v>
      </c>
      <c r="N19" s="136"/>
      <c r="O19" s="137"/>
      <c r="P19" s="124" t="s">
        <v>132</v>
      </c>
      <c r="Q19" s="125"/>
      <c r="R19" s="125"/>
      <c r="S19" s="126"/>
      <c r="T19" s="69" t="s">
        <v>119</v>
      </c>
      <c r="U19" s="69">
        <v>1</v>
      </c>
      <c r="V19" s="41" t="s">
        <v>207</v>
      </c>
      <c r="W19" s="69">
        <v>2</v>
      </c>
      <c r="X19" s="71"/>
      <c r="Y19" s="58">
        <f t="shared" si="12"/>
        <v>6</v>
      </c>
      <c r="Z19" s="41"/>
    </row>
    <row r="20" spans="1:26" ht="46.5">
      <c r="A20" s="54" t="str">
        <f t="shared" si="11"/>
        <v>材1-1-HW-03</v>
      </c>
      <c r="B20" s="55">
        <f t="shared" si="0"/>
        <v>0</v>
      </c>
      <c r="C20" s="55" t="str">
        <f t="shared" si="1"/>
        <v>網站負責人之個人電腦</v>
      </c>
      <c r="D20" s="55" t="str">
        <f t="shared" si="2"/>
        <v>賴斐瓔之個人電腦</v>
      </c>
      <c r="E20" s="55">
        <f t="shared" si="3"/>
        <v>1</v>
      </c>
      <c r="F20" s="55" t="str">
        <f t="shared" si="4"/>
        <v>賴斐瓔 </v>
      </c>
      <c r="G20" s="55">
        <f t="shared" si="5"/>
        <v>3</v>
      </c>
      <c r="H20" s="55">
        <f t="shared" si="6"/>
        <v>2</v>
      </c>
      <c r="I20" s="55">
        <f t="shared" si="7"/>
        <v>2</v>
      </c>
      <c r="J20" s="55">
        <f t="shared" si="8"/>
        <v>3</v>
      </c>
      <c r="K20" s="56">
        <f t="shared" si="9"/>
        <v>3</v>
      </c>
      <c r="L20" s="56">
        <f>$S$7</f>
        <v>6</v>
      </c>
      <c r="M20" s="138" t="s">
        <v>84</v>
      </c>
      <c r="N20" s="139"/>
      <c r="O20" s="140"/>
      <c r="P20" s="143" t="s">
        <v>133</v>
      </c>
      <c r="Q20" s="143" t="s">
        <v>134</v>
      </c>
      <c r="R20" s="143" t="s">
        <v>134</v>
      </c>
      <c r="S20" s="143" t="s">
        <v>134</v>
      </c>
      <c r="T20" s="69" t="s">
        <v>119</v>
      </c>
      <c r="U20" s="69">
        <v>1</v>
      </c>
      <c r="V20" s="78" t="s">
        <v>208</v>
      </c>
      <c r="W20" s="69">
        <v>1</v>
      </c>
      <c r="X20" s="73" t="s">
        <v>192</v>
      </c>
      <c r="Y20" s="58">
        <f t="shared" si="12"/>
        <v>3</v>
      </c>
      <c r="Z20" s="61"/>
    </row>
    <row r="21" spans="1:26" ht="35.25" customHeight="1">
      <c r="A21" s="59"/>
      <c r="B21" s="60"/>
      <c r="C21" s="60"/>
      <c r="D21" s="60"/>
      <c r="E21" s="60"/>
      <c r="F21" s="60"/>
      <c r="G21" s="60"/>
      <c r="H21" s="60"/>
      <c r="I21" s="60"/>
      <c r="J21" s="60"/>
      <c r="K21" s="60"/>
      <c r="L21" s="60"/>
      <c r="M21" s="138" t="s">
        <v>85</v>
      </c>
      <c r="N21" s="139"/>
      <c r="O21" s="140"/>
      <c r="P21" s="133" t="s">
        <v>135</v>
      </c>
      <c r="Q21" s="134"/>
      <c r="R21" s="134"/>
      <c r="S21" s="134"/>
      <c r="T21" s="69" t="s">
        <v>119</v>
      </c>
      <c r="U21" s="69">
        <v>1</v>
      </c>
      <c r="V21" s="61" t="s">
        <v>209</v>
      </c>
      <c r="W21" s="69">
        <v>2</v>
      </c>
      <c r="X21" s="70" t="s">
        <v>193</v>
      </c>
      <c r="Y21" s="58">
        <f t="shared" si="12"/>
        <v>6</v>
      </c>
      <c r="Z21" s="61"/>
    </row>
    <row r="22" spans="1:26" ht="31">
      <c r="A22" s="59"/>
      <c r="B22" s="60"/>
      <c r="C22" s="60"/>
      <c r="D22" s="60"/>
      <c r="E22" s="60"/>
      <c r="F22" s="60"/>
      <c r="G22" s="60"/>
      <c r="H22" s="60"/>
      <c r="I22" s="60"/>
      <c r="J22" s="60"/>
      <c r="K22" s="60"/>
      <c r="L22" s="60"/>
      <c r="M22" s="158" t="s">
        <v>85</v>
      </c>
      <c r="N22" s="159"/>
      <c r="O22" s="160"/>
      <c r="P22" s="133" t="s">
        <v>136</v>
      </c>
      <c r="Q22" s="134"/>
      <c r="R22" s="134"/>
      <c r="S22" s="134"/>
      <c r="T22" s="69" t="s">
        <v>119</v>
      </c>
      <c r="U22" s="69">
        <v>1</v>
      </c>
      <c r="V22" s="61" t="s">
        <v>209</v>
      </c>
      <c r="W22" s="69">
        <v>2</v>
      </c>
      <c r="X22" s="70" t="s">
        <v>193</v>
      </c>
      <c r="Y22" s="58">
        <f t="shared" si="12"/>
        <v>6</v>
      </c>
      <c r="Z22" s="61"/>
    </row>
    <row r="23" spans="1:26" ht="36" customHeight="1">
      <c r="A23" s="59"/>
      <c r="B23" s="60"/>
      <c r="C23" s="60"/>
      <c r="D23" s="60"/>
      <c r="E23" s="60"/>
      <c r="F23" s="60"/>
      <c r="G23" s="60"/>
      <c r="H23" s="60"/>
      <c r="I23" s="60"/>
      <c r="J23" s="60"/>
      <c r="K23" s="60"/>
      <c r="L23" s="60"/>
      <c r="M23" s="138" t="s">
        <v>86</v>
      </c>
      <c r="N23" s="139"/>
      <c r="O23" s="140"/>
      <c r="P23" s="133" t="s">
        <v>137</v>
      </c>
      <c r="Q23" s="134"/>
      <c r="R23" s="134"/>
      <c r="S23" s="134"/>
      <c r="T23" s="69" t="s">
        <v>119</v>
      </c>
      <c r="U23" s="69">
        <v>1</v>
      </c>
      <c r="V23" s="61" t="s">
        <v>209</v>
      </c>
      <c r="W23" s="69">
        <v>2</v>
      </c>
      <c r="X23" s="70" t="s">
        <v>193</v>
      </c>
      <c r="Y23" s="58">
        <f t="shared" si="12"/>
        <v>6</v>
      </c>
      <c r="Z23" s="61"/>
    </row>
    <row r="24" spans="1:26" ht="31">
      <c r="A24" s="59"/>
      <c r="B24" s="60"/>
      <c r="C24" s="60"/>
      <c r="D24" s="60"/>
      <c r="E24" s="60"/>
      <c r="F24" s="60"/>
      <c r="G24" s="60"/>
      <c r="H24" s="60"/>
      <c r="I24" s="60"/>
      <c r="J24" s="60"/>
      <c r="K24" s="60"/>
      <c r="L24" s="60"/>
      <c r="M24" s="158" t="s">
        <v>86</v>
      </c>
      <c r="N24" s="159"/>
      <c r="O24" s="160"/>
      <c r="P24" s="133" t="s">
        <v>138</v>
      </c>
      <c r="Q24" s="134"/>
      <c r="R24" s="134"/>
      <c r="S24" s="134"/>
      <c r="T24" s="69" t="s">
        <v>119</v>
      </c>
      <c r="U24" s="69">
        <v>1</v>
      </c>
      <c r="V24" s="61" t="s">
        <v>209</v>
      </c>
      <c r="W24" s="69">
        <v>2</v>
      </c>
      <c r="X24" s="70" t="s">
        <v>193</v>
      </c>
      <c r="Y24" s="58">
        <f t="shared" si="12"/>
        <v>6</v>
      </c>
      <c r="Z24" s="61"/>
    </row>
    <row r="25" spans="1:26" ht="46.5">
      <c r="A25" s="59"/>
      <c r="B25" s="60"/>
      <c r="C25" s="60"/>
      <c r="D25" s="60"/>
      <c r="E25" s="60"/>
      <c r="F25" s="60"/>
      <c r="G25" s="60"/>
      <c r="H25" s="60"/>
      <c r="I25" s="60"/>
      <c r="J25" s="60"/>
      <c r="K25" s="60"/>
      <c r="L25" s="60"/>
      <c r="M25" s="130" t="s">
        <v>87</v>
      </c>
      <c r="N25" s="131"/>
      <c r="O25" s="132"/>
      <c r="P25" s="133" t="s">
        <v>139</v>
      </c>
      <c r="Q25" s="134"/>
      <c r="R25" s="134"/>
      <c r="S25" s="134"/>
      <c r="T25" s="69" t="s">
        <v>119</v>
      </c>
      <c r="U25" s="69">
        <v>1</v>
      </c>
      <c r="V25" s="61" t="s">
        <v>209</v>
      </c>
      <c r="W25" s="69">
        <v>2</v>
      </c>
      <c r="X25" s="70" t="s">
        <v>194</v>
      </c>
      <c r="Y25" s="58">
        <f t="shared" si="12"/>
        <v>6</v>
      </c>
      <c r="Z25" s="61"/>
    </row>
    <row r="26" spans="1:26" s="76" customFormat="1" ht="47" customHeight="1">
      <c r="A26" s="74"/>
      <c r="B26" s="74"/>
      <c r="C26" s="74"/>
      <c r="D26" s="74"/>
      <c r="E26" s="74"/>
      <c r="F26" s="74"/>
      <c r="G26" s="74"/>
      <c r="H26" s="74"/>
      <c r="I26" s="74"/>
      <c r="J26" s="74"/>
      <c r="K26" s="74"/>
      <c r="L26" s="74"/>
      <c r="M26" s="138" t="s">
        <v>198</v>
      </c>
      <c r="N26" s="139"/>
      <c r="O26" s="140"/>
      <c r="P26" s="127" t="s">
        <v>199</v>
      </c>
      <c r="Q26" s="127"/>
      <c r="R26" s="127"/>
      <c r="S26" s="128"/>
      <c r="T26" s="84" t="s">
        <v>119</v>
      </c>
      <c r="U26" s="84">
        <v>1</v>
      </c>
      <c r="V26" s="73" t="s">
        <v>200</v>
      </c>
      <c r="W26" s="84">
        <v>2</v>
      </c>
      <c r="X26" s="73" t="s">
        <v>201</v>
      </c>
      <c r="Y26" s="58">
        <f t="shared" si="12"/>
        <v>6</v>
      </c>
      <c r="Z26" s="75"/>
    </row>
    <row r="27" spans="1:26" s="76" customFormat="1" ht="51" customHeight="1">
      <c r="A27" s="74"/>
      <c r="B27" s="74"/>
      <c r="C27" s="74"/>
      <c r="D27" s="74"/>
      <c r="E27" s="74"/>
      <c r="F27" s="74"/>
      <c r="G27" s="74"/>
      <c r="H27" s="74"/>
      <c r="I27" s="74"/>
      <c r="J27" s="74"/>
      <c r="K27" s="74"/>
      <c r="L27" s="74"/>
      <c r="M27" s="161"/>
      <c r="N27" s="162"/>
      <c r="O27" s="163"/>
      <c r="P27" s="127" t="s">
        <v>212</v>
      </c>
      <c r="Q27" s="127"/>
      <c r="R27" s="127"/>
      <c r="S27" s="128"/>
      <c r="T27" s="85" t="s">
        <v>119</v>
      </c>
      <c r="U27" s="85">
        <v>1</v>
      </c>
      <c r="V27" s="73" t="s">
        <v>200</v>
      </c>
      <c r="W27" s="85">
        <v>2</v>
      </c>
      <c r="X27" s="73" t="s">
        <v>213</v>
      </c>
      <c r="Y27" s="58">
        <f t="shared" si="12"/>
        <v>6</v>
      </c>
      <c r="Z27" s="75"/>
    </row>
    <row r="28" spans="1:26" s="76" customFormat="1" ht="31" customHeight="1">
      <c r="A28" s="74"/>
      <c r="B28" s="74"/>
      <c r="C28" s="74"/>
      <c r="D28" s="74"/>
      <c r="E28" s="74"/>
      <c r="F28" s="74"/>
      <c r="G28" s="74"/>
      <c r="H28" s="74"/>
      <c r="I28" s="74"/>
      <c r="J28" s="74"/>
      <c r="K28" s="74"/>
      <c r="L28" s="74"/>
      <c r="M28" s="130"/>
      <c r="N28" s="131"/>
      <c r="O28" s="132"/>
      <c r="P28" s="127" t="s">
        <v>214</v>
      </c>
      <c r="Q28" s="127"/>
      <c r="R28" s="127"/>
      <c r="S28" s="128"/>
      <c r="T28" s="85" t="s">
        <v>142</v>
      </c>
      <c r="U28" s="85"/>
      <c r="V28" s="73"/>
      <c r="W28" s="85"/>
      <c r="X28" s="73"/>
      <c r="Y28" s="58" t="str">
        <f t="shared" si="12"/>
        <v>不適用</v>
      </c>
      <c r="Z28" s="75"/>
    </row>
    <row r="29" spans="1:26">
      <c r="A29" s="147"/>
      <c r="B29" s="148"/>
      <c r="C29" s="148"/>
      <c r="D29" s="149"/>
      <c r="E29" s="150" t="s">
        <v>140</v>
      </c>
      <c r="F29" s="151"/>
      <c r="G29" s="151"/>
      <c r="H29" s="151"/>
      <c r="I29" s="151"/>
      <c r="J29" s="151"/>
      <c r="K29" s="151"/>
      <c r="L29" s="151"/>
      <c r="M29" s="152" t="s">
        <v>88</v>
      </c>
      <c r="N29" s="153"/>
      <c r="O29" s="154"/>
      <c r="P29" s="155" t="s">
        <v>141</v>
      </c>
      <c r="Q29" s="156"/>
      <c r="R29" s="156"/>
      <c r="S29" s="157"/>
      <c r="T29" s="62" t="s">
        <v>142</v>
      </c>
      <c r="U29" s="62"/>
      <c r="V29" s="63"/>
      <c r="W29" s="62"/>
      <c r="X29" s="63"/>
      <c r="Y29" s="64" t="str">
        <f t="shared" si="12"/>
        <v>不適用</v>
      </c>
      <c r="Z29" s="57"/>
    </row>
    <row r="34" spans="13:13">
      <c r="M34" s="7"/>
    </row>
  </sheetData>
  <sheetProtection formatCells="0" formatColumns="0" formatRows="0" insertColumns="0" insertRows="0" insertHyperlinks="0" deleteColumns="0" deleteRows="0" sort="0" autoFilter="0" pivotTables="0"/>
  <autoFilter ref="M10:Z10" xr:uid="{00000000-0009-0000-0000-000005000000}">
    <filterColumn colId="0" showButton="0"/>
    <filterColumn colId="1" showButton="0"/>
    <filterColumn colId="3" showButton="0"/>
    <filterColumn colId="4" showButton="0"/>
    <filterColumn colId="5" showButton="0"/>
  </autoFilter>
  <mergeCells count="49">
    <mergeCell ref="M25:O25"/>
    <mergeCell ref="P25:S25"/>
    <mergeCell ref="A29:D29"/>
    <mergeCell ref="E29:L29"/>
    <mergeCell ref="M29:O29"/>
    <mergeCell ref="P29:S29"/>
    <mergeCell ref="M26:O26"/>
    <mergeCell ref="P26:S26"/>
    <mergeCell ref="M27:O27"/>
    <mergeCell ref="P27:S27"/>
    <mergeCell ref="M28:O28"/>
    <mergeCell ref="P28:S28"/>
    <mergeCell ref="M22:O22"/>
    <mergeCell ref="P22:S22"/>
    <mergeCell ref="M23:O23"/>
    <mergeCell ref="P23:S23"/>
    <mergeCell ref="M24:O24"/>
    <mergeCell ref="P24:S24"/>
    <mergeCell ref="M19:O19"/>
    <mergeCell ref="P19:S19"/>
    <mergeCell ref="M20:O20"/>
    <mergeCell ref="P20:S20"/>
    <mergeCell ref="M21:O21"/>
    <mergeCell ref="P21:S21"/>
    <mergeCell ref="M16:O16"/>
    <mergeCell ref="P16:S16"/>
    <mergeCell ref="M17:O17"/>
    <mergeCell ref="P17:S17"/>
    <mergeCell ref="M18:O18"/>
    <mergeCell ref="P18:S18"/>
    <mergeCell ref="M13:O13"/>
    <mergeCell ref="P13:S13"/>
    <mergeCell ref="M14:O14"/>
    <mergeCell ref="P14:S14"/>
    <mergeCell ref="M15:O15"/>
    <mergeCell ref="P15:S15"/>
    <mergeCell ref="M12:O12"/>
    <mergeCell ref="P12:S12"/>
    <mergeCell ref="M1:Z1"/>
    <mergeCell ref="N2:P2"/>
    <mergeCell ref="N3:P3"/>
    <mergeCell ref="N4:P4"/>
    <mergeCell ref="N5:P5"/>
    <mergeCell ref="N6:P6"/>
    <mergeCell ref="N7:P7"/>
    <mergeCell ref="M10:O10"/>
    <mergeCell ref="P10:S10"/>
    <mergeCell ref="M11:O11"/>
    <mergeCell ref="P11:S11"/>
  </mergeCells>
  <phoneticPr fontId="1" type="noConversion"/>
  <dataValidations count="2">
    <dataValidation type="list" allowBlank="1" showInputMessage="1" showErrorMessage="1" sqref="T65541:T65564 JI65541:JI65564 TE65541:TE65564 ADA65541:ADA65564 AMW65541:AMW65564 AWS65541:AWS65564 BGO65541:BGO65564 BQK65541:BQK65564 CAG65541:CAG65564 CKC65541:CKC65564 CTY65541:CTY65564 DDU65541:DDU65564 DNQ65541:DNQ65564 DXM65541:DXM65564 EHI65541:EHI65564 ERE65541:ERE65564 FBA65541:FBA65564 FKW65541:FKW65564 FUS65541:FUS65564 GEO65541:GEO65564 GOK65541:GOK65564 GYG65541:GYG65564 HIC65541:HIC65564 HRY65541:HRY65564 IBU65541:IBU65564 ILQ65541:ILQ65564 IVM65541:IVM65564 JFI65541:JFI65564 JPE65541:JPE65564 JZA65541:JZA65564 KIW65541:KIW65564 KSS65541:KSS65564 LCO65541:LCO65564 LMK65541:LMK65564 LWG65541:LWG65564 MGC65541:MGC65564 MPY65541:MPY65564 MZU65541:MZU65564 NJQ65541:NJQ65564 NTM65541:NTM65564 ODI65541:ODI65564 ONE65541:ONE65564 OXA65541:OXA65564 PGW65541:PGW65564 PQS65541:PQS65564 QAO65541:QAO65564 QKK65541:QKK65564 QUG65541:QUG65564 REC65541:REC65564 RNY65541:RNY65564 RXU65541:RXU65564 SHQ65541:SHQ65564 SRM65541:SRM65564 TBI65541:TBI65564 TLE65541:TLE65564 TVA65541:TVA65564 UEW65541:UEW65564 UOS65541:UOS65564 UYO65541:UYO65564 VIK65541:VIK65564 VSG65541:VSG65564 WCC65541:WCC65564 WLY65541:WLY65564 WVU65541:WVU65564 T131077:T131100 JI131077:JI131100 TE131077:TE131100 ADA131077:ADA131100 AMW131077:AMW131100 AWS131077:AWS131100 BGO131077:BGO131100 BQK131077:BQK131100 CAG131077:CAG131100 CKC131077:CKC131100 CTY131077:CTY131100 DDU131077:DDU131100 DNQ131077:DNQ131100 DXM131077:DXM131100 EHI131077:EHI131100 ERE131077:ERE131100 FBA131077:FBA131100 FKW131077:FKW131100 FUS131077:FUS131100 GEO131077:GEO131100 GOK131077:GOK131100 GYG131077:GYG131100 HIC131077:HIC131100 HRY131077:HRY131100 IBU131077:IBU131100 ILQ131077:ILQ131100 IVM131077:IVM131100 JFI131077:JFI131100 JPE131077:JPE131100 JZA131077:JZA131100 KIW131077:KIW131100 KSS131077:KSS131100 LCO131077:LCO131100 LMK131077:LMK131100 LWG131077:LWG131100 MGC131077:MGC131100 MPY131077:MPY131100 MZU131077:MZU131100 NJQ131077:NJQ131100 NTM131077:NTM131100 ODI131077:ODI131100 ONE131077:ONE131100 OXA131077:OXA131100 PGW131077:PGW131100 PQS131077:PQS131100 QAO131077:QAO131100 QKK131077:QKK131100 QUG131077:QUG131100 REC131077:REC131100 RNY131077:RNY131100 RXU131077:RXU131100 SHQ131077:SHQ131100 SRM131077:SRM131100 TBI131077:TBI131100 TLE131077:TLE131100 TVA131077:TVA131100 UEW131077:UEW131100 UOS131077:UOS131100 UYO131077:UYO131100 VIK131077:VIK131100 VSG131077:VSG131100 WCC131077:WCC131100 WLY131077:WLY131100 WVU131077:WVU131100 T196613:T196636 JI196613:JI196636 TE196613:TE196636 ADA196613:ADA196636 AMW196613:AMW196636 AWS196613:AWS196636 BGO196613:BGO196636 BQK196613:BQK196636 CAG196613:CAG196636 CKC196613:CKC196636 CTY196613:CTY196636 DDU196613:DDU196636 DNQ196613:DNQ196636 DXM196613:DXM196636 EHI196613:EHI196636 ERE196613:ERE196636 FBA196613:FBA196636 FKW196613:FKW196636 FUS196613:FUS196636 GEO196613:GEO196636 GOK196613:GOK196636 GYG196613:GYG196636 HIC196613:HIC196636 HRY196613:HRY196636 IBU196613:IBU196636 ILQ196613:ILQ196636 IVM196613:IVM196636 JFI196613:JFI196636 JPE196613:JPE196636 JZA196613:JZA196636 KIW196613:KIW196636 KSS196613:KSS196636 LCO196613:LCO196636 LMK196613:LMK196636 LWG196613:LWG196636 MGC196613:MGC196636 MPY196613:MPY196636 MZU196613:MZU196636 NJQ196613:NJQ196636 NTM196613:NTM196636 ODI196613:ODI196636 ONE196613:ONE196636 OXA196613:OXA196636 PGW196613:PGW196636 PQS196613:PQS196636 QAO196613:QAO196636 QKK196613:QKK196636 QUG196613:QUG196636 REC196613:REC196636 RNY196613:RNY196636 RXU196613:RXU196636 SHQ196613:SHQ196636 SRM196613:SRM196636 TBI196613:TBI196636 TLE196613:TLE196636 TVA196613:TVA196636 UEW196613:UEW196636 UOS196613:UOS196636 UYO196613:UYO196636 VIK196613:VIK196636 VSG196613:VSG196636 WCC196613:WCC196636 WLY196613:WLY196636 WVU196613:WVU196636 T262149:T262172 JI262149:JI262172 TE262149:TE262172 ADA262149:ADA262172 AMW262149:AMW262172 AWS262149:AWS262172 BGO262149:BGO262172 BQK262149:BQK262172 CAG262149:CAG262172 CKC262149:CKC262172 CTY262149:CTY262172 DDU262149:DDU262172 DNQ262149:DNQ262172 DXM262149:DXM262172 EHI262149:EHI262172 ERE262149:ERE262172 FBA262149:FBA262172 FKW262149:FKW262172 FUS262149:FUS262172 GEO262149:GEO262172 GOK262149:GOK262172 GYG262149:GYG262172 HIC262149:HIC262172 HRY262149:HRY262172 IBU262149:IBU262172 ILQ262149:ILQ262172 IVM262149:IVM262172 JFI262149:JFI262172 JPE262149:JPE262172 JZA262149:JZA262172 KIW262149:KIW262172 KSS262149:KSS262172 LCO262149:LCO262172 LMK262149:LMK262172 LWG262149:LWG262172 MGC262149:MGC262172 MPY262149:MPY262172 MZU262149:MZU262172 NJQ262149:NJQ262172 NTM262149:NTM262172 ODI262149:ODI262172 ONE262149:ONE262172 OXA262149:OXA262172 PGW262149:PGW262172 PQS262149:PQS262172 QAO262149:QAO262172 QKK262149:QKK262172 QUG262149:QUG262172 REC262149:REC262172 RNY262149:RNY262172 RXU262149:RXU262172 SHQ262149:SHQ262172 SRM262149:SRM262172 TBI262149:TBI262172 TLE262149:TLE262172 TVA262149:TVA262172 UEW262149:UEW262172 UOS262149:UOS262172 UYO262149:UYO262172 VIK262149:VIK262172 VSG262149:VSG262172 WCC262149:WCC262172 WLY262149:WLY262172 WVU262149:WVU262172 T327685:T327708 JI327685:JI327708 TE327685:TE327708 ADA327685:ADA327708 AMW327685:AMW327708 AWS327685:AWS327708 BGO327685:BGO327708 BQK327685:BQK327708 CAG327685:CAG327708 CKC327685:CKC327708 CTY327685:CTY327708 DDU327685:DDU327708 DNQ327685:DNQ327708 DXM327685:DXM327708 EHI327685:EHI327708 ERE327685:ERE327708 FBA327685:FBA327708 FKW327685:FKW327708 FUS327685:FUS327708 GEO327685:GEO327708 GOK327685:GOK327708 GYG327685:GYG327708 HIC327685:HIC327708 HRY327685:HRY327708 IBU327685:IBU327708 ILQ327685:ILQ327708 IVM327685:IVM327708 JFI327685:JFI327708 JPE327685:JPE327708 JZA327685:JZA327708 KIW327685:KIW327708 KSS327685:KSS327708 LCO327685:LCO327708 LMK327685:LMK327708 LWG327685:LWG327708 MGC327685:MGC327708 MPY327685:MPY327708 MZU327685:MZU327708 NJQ327685:NJQ327708 NTM327685:NTM327708 ODI327685:ODI327708 ONE327685:ONE327708 OXA327685:OXA327708 PGW327685:PGW327708 PQS327685:PQS327708 QAO327685:QAO327708 QKK327685:QKK327708 QUG327685:QUG327708 REC327685:REC327708 RNY327685:RNY327708 RXU327685:RXU327708 SHQ327685:SHQ327708 SRM327685:SRM327708 TBI327685:TBI327708 TLE327685:TLE327708 TVA327685:TVA327708 UEW327685:UEW327708 UOS327685:UOS327708 UYO327685:UYO327708 VIK327685:VIK327708 VSG327685:VSG327708 WCC327685:WCC327708 WLY327685:WLY327708 WVU327685:WVU327708 T393221:T393244 JI393221:JI393244 TE393221:TE393244 ADA393221:ADA393244 AMW393221:AMW393244 AWS393221:AWS393244 BGO393221:BGO393244 BQK393221:BQK393244 CAG393221:CAG393244 CKC393221:CKC393244 CTY393221:CTY393244 DDU393221:DDU393244 DNQ393221:DNQ393244 DXM393221:DXM393244 EHI393221:EHI393244 ERE393221:ERE393244 FBA393221:FBA393244 FKW393221:FKW393244 FUS393221:FUS393244 GEO393221:GEO393244 GOK393221:GOK393244 GYG393221:GYG393244 HIC393221:HIC393244 HRY393221:HRY393244 IBU393221:IBU393244 ILQ393221:ILQ393244 IVM393221:IVM393244 JFI393221:JFI393244 JPE393221:JPE393244 JZA393221:JZA393244 KIW393221:KIW393244 KSS393221:KSS393244 LCO393221:LCO393244 LMK393221:LMK393244 LWG393221:LWG393244 MGC393221:MGC393244 MPY393221:MPY393244 MZU393221:MZU393244 NJQ393221:NJQ393244 NTM393221:NTM393244 ODI393221:ODI393244 ONE393221:ONE393244 OXA393221:OXA393244 PGW393221:PGW393244 PQS393221:PQS393244 QAO393221:QAO393244 QKK393221:QKK393244 QUG393221:QUG393244 REC393221:REC393244 RNY393221:RNY393244 RXU393221:RXU393244 SHQ393221:SHQ393244 SRM393221:SRM393244 TBI393221:TBI393244 TLE393221:TLE393244 TVA393221:TVA393244 UEW393221:UEW393244 UOS393221:UOS393244 UYO393221:UYO393244 VIK393221:VIK393244 VSG393221:VSG393244 WCC393221:WCC393244 WLY393221:WLY393244 WVU393221:WVU393244 T458757:T458780 JI458757:JI458780 TE458757:TE458780 ADA458757:ADA458780 AMW458757:AMW458780 AWS458757:AWS458780 BGO458757:BGO458780 BQK458757:BQK458780 CAG458757:CAG458780 CKC458757:CKC458780 CTY458757:CTY458780 DDU458757:DDU458780 DNQ458757:DNQ458780 DXM458757:DXM458780 EHI458757:EHI458780 ERE458757:ERE458780 FBA458757:FBA458780 FKW458757:FKW458780 FUS458757:FUS458780 GEO458757:GEO458780 GOK458757:GOK458780 GYG458757:GYG458780 HIC458757:HIC458780 HRY458757:HRY458780 IBU458757:IBU458780 ILQ458757:ILQ458780 IVM458757:IVM458780 JFI458757:JFI458780 JPE458757:JPE458780 JZA458757:JZA458780 KIW458757:KIW458780 KSS458757:KSS458780 LCO458757:LCO458780 LMK458757:LMK458780 LWG458757:LWG458780 MGC458757:MGC458780 MPY458757:MPY458780 MZU458757:MZU458780 NJQ458757:NJQ458780 NTM458757:NTM458780 ODI458757:ODI458780 ONE458757:ONE458780 OXA458757:OXA458780 PGW458757:PGW458780 PQS458757:PQS458780 QAO458757:QAO458780 QKK458757:QKK458780 QUG458757:QUG458780 REC458757:REC458780 RNY458757:RNY458780 RXU458757:RXU458780 SHQ458757:SHQ458780 SRM458757:SRM458780 TBI458757:TBI458780 TLE458757:TLE458780 TVA458757:TVA458780 UEW458757:UEW458780 UOS458757:UOS458780 UYO458757:UYO458780 VIK458757:VIK458780 VSG458757:VSG458780 WCC458757:WCC458780 WLY458757:WLY458780 WVU458757:WVU458780 T524293:T524316 JI524293:JI524316 TE524293:TE524316 ADA524293:ADA524316 AMW524293:AMW524316 AWS524293:AWS524316 BGO524293:BGO524316 BQK524293:BQK524316 CAG524293:CAG524316 CKC524293:CKC524316 CTY524293:CTY524316 DDU524293:DDU524316 DNQ524293:DNQ524316 DXM524293:DXM524316 EHI524293:EHI524316 ERE524293:ERE524316 FBA524293:FBA524316 FKW524293:FKW524316 FUS524293:FUS524316 GEO524293:GEO524316 GOK524293:GOK524316 GYG524293:GYG524316 HIC524293:HIC524316 HRY524293:HRY524316 IBU524293:IBU524316 ILQ524293:ILQ524316 IVM524293:IVM524316 JFI524293:JFI524316 JPE524293:JPE524316 JZA524293:JZA524316 KIW524293:KIW524316 KSS524293:KSS524316 LCO524293:LCO524316 LMK524293:LMK524316 LWG524293:LWG524316 MGC524293:MGC524316 MPY524293:MPY524316 MZU524293:MZU524316 NJQ524293:NJQ524316 NTM524293:NTM524316 ODI524293:ODI524316 ONE524293:ONE524316 OXA524293:OXA524316 PGW524293:PGW524316 PQS524293:PQS524316 QAO524293:QAO524316 QKK524293:QKK524316 QUG524293:QUG524316 REC524293:REC524316 RNY524293:RNY524316 RXU524293:RXU524316 SHQ524293:SHQ524316 SRM524293:SRM524316 TBI524293:TBI524316 TLE524293:TLE524316 TVA524293:TVA524316 UEW524293:UEW524316 UOS524293:UOS524316 UYO524293:UYO524316 VIK524293:VIK524316 VSG524293:VSG524316 WCC524293:WCC524316 WLY524293:WLY524316 WVU524293:WVU524316 T589829:T589852 JI589829:JI589852 TE589829:TE589852 ADA589829:ADA589852 AMW589829:AMW589852 AWS589829:AWS589852 BGO589829:BGO589852 BQK589829:BQK589852 CAG589829:CAG589852 CKC589829:CKC589852 CTY589829:CTY589852 DDU589829:DDU589852 DNQ589829:DNQ589852 DXM589829:DXM589852 EHI589829:EHI589852 ERE589829:ERE589852 FBA589829:FBA589852 FKW589829:FKW589852 FUS589829:FUS589852 GEO589829:GEO589852 GOK589829:GOK589852 GYG589829:GYG589852 HIC589829:HIC589852 HRY589829:HRY589852 IBU589829:IBU589852 ILQ589829:ILQ589852 IVM589829:IVM589852 JFI589829:JFI589852 JPE589829:JPE589852 JZA589829:JZA589852 KIW589829:KIW589852 KSS589829:KSS589852 LCO589829:LCO589852 LMK589829:LMK589852 LWG589829:LWG589852 MGC589829:MGC589852 MPY589829:MPY589852 MZU589829:MZU589852 NJQ589829:NJQ589852 NTM589829:NTM589852 ODI589829:ODI589852 ONE589829:ONE589852 OXA589829:OXA589852 PGW589829:PGW589852 PQS589829:PQS589852 QAO589829:QAO589852 QKK589829:QKK589852 QUG589829:QUG589852 REC589829:REC589852 RNY589829:RNY589852 RXU589829:RXU589852 SHQ589829:SHQ589852 SRM589829:SRM589852 TBI589829:TBI589852 TLE589829:TLE589852 TVA589829:TVA589852 UEW589829:UEW589852 UOS589829:UOS589852 UYO589829:UYO589852 VIK589829:VIK589852 VSG589829:VSG589852 WCC589829:WCC589852 WLY589829:WLY589852 WVU589829:WVU589852 T655365:T655388 JI655365:JI655388 TE655365:TE655388 ADA655365:ADA655388 AMW655365:AMW655388 AWS655365:AWS655388 BGO655365:BGO655388 BQK655365:BQK655388 CAG655365:CAG655388 CKC655365:CKC655388 CTY655365:CTY655388 DDU655365:DDU655388 DNQ655365:DNQ655388 DXM655365:DXM655388 EHI655365:EHI655388 ERE655365:ERE655388 FBA655365:FBA655388 FKW655365:FKW655388 FUS655365:FUS655388 GEO655365:GEO655388 GOK655365:GOK655388 GYG655365:GYG655388 HIC655365:HIC655388 HRY655365:HRY655388 IBU655365:IBU655388 ILQ655365:ILQ655388 IVM655365:IVM655388 JFI655365:JFI655388 JPE655365:JPE655388 JZA655365:JZA655388 KIW655365:KIW655388 KSS655365:KSS655388 LCO655365:LCO655388 LMK655365:LMK655388 LWG655365:LWG655388 MGC655365:MGC655388 MPY655365:MPY655388 MZU655365:MZU655388 NJQ655365:NJQ655388 NTM655365:NTM655388 ODI655365:ODI655388 ONE655365:ONE655388 OXA655365:OXA655388 PGW655365:PGW655388 PQS655365:PQS655388 QAO655365:QAO655388 QKK655365:QKK655388 QUG655365:QUG655388 REC655365:REC655388 RNY655365:RNY655388 RXU655365:RXU655388 SHQ655365:SHQ655388 SRM655365:SRM655388 TBI655365:TBI655388 TLE655365:TLE655388 TVA655365:TVA655388 UEW655365:UEW655388 UOS655365:UOS655388 UYO655365:UYO655388 VIK655365:VIK655388 VSG655365:VSG655388 WCC655365:WCC655388 WLY655365:WLY655388 WVU655365:WVU655388 T720901:T720924 JI720901:JI720924 TE720901:TE720924 ADA720901:ADA720924 AMW720901:AMW720924 AWS720901:AWS720924 BGO720901:BGO720924 BQK720901:BQK720924 CAG720901:CAG720924 CKC720901:CKC720924 CTY720901:CTY720924 DDU720901:DDU720924 DNQ720901:DNQ720924 DXM720901:DXM720924 EHI720901:EHI720924 ERE720901:ERE720924 FBA720901:FBA720924 FKW720901:FKW720924 FUS720901:FUS720924 GEO720901:GEO720924 GOK720901:GOK720924 GYG720901:GYG720924 HIC720901:HIC720924 HRY720901:HRY720924 IBU720901:IBU720924 ILQ720901:ILQ720924 IVM720901:IVM720924 JFI720901:JFI720924 JPE720901:JPE720924 JZA720901:JZA720924 KIW720901:KIW720924 KSS720901:KSS720924 LCO720901:LCO720924 LMK720901:LMK720924 LWG720901:LWG720924 MGC720901:MGC720924 MPY720901:MPY720924 MZU720901:MZU720924 NJQ720901:NJQ720924 NTM720901:NTM720924 ODI720901:ODI720924 ONE720901:ONE720924 OXA720901:OXA720924 PGW720901:PGW720924 PQS720901:PQS720924 QAO720901:QAO720924 QKK720901:QKK720924 QUG720901:QUG720924 REC720901:REC720924 RNY720901:RNY720924 RXU720901:RXU720924 SHQ720901:SHQ720924 SRM720901:SRM720924 TBI720901:TBI720924 TLE720901:TLE720924 TVA720901:TVA720924 UEW720901:UEW720924 UOS720901:UOS720924 UYO720901:UYO720924 VIK720901:VIK720924 VSG720901:VSG720924 WCC720901:WCC720924 WLY720901:WLY720924 WVU720901:WVU720924 T786437:T786460 JI786437:JI786460 TE786437:TE786460 ADA786437:ADA786460 AMW786437:AMW786460 AWS786437:AWS786460 BGO786437:BGO786460 BQK786437:BQK786460 CAG786437:CAG786460 CKC786437:CKC786460 CTY786437:CTY786460 DDU786437:DDU786460 DNQ786437:DNQ786460 DXM786437:DXM786460 EHI786437:EHI786460 ERE786437:ERE786460 FBA786437:FBA786460 FKW786437:FKW786460 FUS786437:FUS786460 GEO786437:GEO786460 GOK786437:GOK786460 GYG786437:GYG786460 HIC786437:HIC786460 HRY786437:HRY786460 IBU786437:IBU786460 ILQ786437:ILQ786460 IVM786437:IVM786460 JFI786437:JFI786460 JPE786437:JPE786460 JZA786437:JZA786460 KIW786437:KIW786460 KSS786437:KSS786460 LCO786437:LCO786460 LMK786437:LMK786460 LWG786437:LWG786460 MGC786437:MGC786460 MPY786437:MPY786460 MZU786437:MZU786460 NJQ786437:NJQ786460 NTM786437:NTM786460 ODI786437:ODI786460 ONE786437:ONE786460 OXA786437:OXA786460 PGW786437:PGW786460 PQS786437:PQS786460 QAO786437:QAO786460 QKK786437:QKK786460 QUG786437:QUG786460 REC786437:REC786460 RNY786437:RNY786460 RXU786437:RXU786460 SHQ786437:SHQ786460 SRM786437:SRM786460 TBI786437:TBI786460 TLE786437:TLE786460 TVA786437:TVA786460 UEW786437:UEW786460 UOS786437:UOS786460 UYO786437:UYO786460 VIK786437:VIK786460 VSG786437:VSG786460 WCC786437:WCC786460 WLY786437:WLY786460 WVU786437:WVU786460 T851973:T851996 JI851973:JI851996 TE851973:TE851996 ADA851973:ADA851996 AMW851973:AMW851996 AWS851973:AWS851996 BGO851973:BGO851996 BQK851973:BQK851996 CAG851973:CAG851996 CKC851973:CKC851996 CTY851973:CTY851996 DDU851973:DDU851996 DNQ851973:DNQ851996 DXM851973:DXM851996 EHI851973:EHI851996 ERE851973:ERE851996 FBA851973:FBA851996 FKW851973:FKW851996 FUS851973:FUS851996 GEO851973:GEO851996 GOK851973:GOK851996 GYG851973:GYG851996 HIC851973:HIC851996 HRY851973:HRY851996 IBU851973:IBU851996 ILQ851973:ILQ851996 IVM851973:IVM851996 JFI851973:JFI851996 JPE851973:JPE851996 JZA851973:JZA851996 KIW851973:KIW851996 KSS851973:KSS851996 LCO851973:LCO851996 LMK851973:LMK851996 LWG851973:LWG851996 MGC851973:MGC851996 MPY851973:MPY851996 MZU851973:MZU851996 NJQ851973:NJQ851996 NTM851973:NTM851996 ODI851973:ODI851996 ONE851973:ONE851996 OXA851973:OXA851996 PGW851973:PGW851996 PQS851973:PQS851996 QAO851973:QAO851996 QKK851973:QKK851996 QUG851973:QUG851996 REC851973:REC851996 RNY851973:RNY851996 RXU851973:RXU851996 SHQ851973:SHQ851996 SRM851973:SRM851996 TBI851973:TBI851996 TLE851973:TLE851996 TVA851973:TVA851996 UEW851973:UEW851996 UOS851973:UOS851996 UYO851973:UYO851996 VIK851973:VIK851996 VSG851973:VSG851996 WCC851973:WCC851996 WLY851973:WLY851996 WVU851973:WVU851996 T917509:T917532 JI917509:JI917532 TE917509:TE917532 ADA917509:ADA917532 AMW917509:AMW917532 AWS917509:AWS917532 BGO917509:BGO917532 BQK917509:BQK917532 CAG917509:CAG917532 CKC917509:CKC917532 CTY917509:CTY917532 DDU917509:DDU917532 DNQ917509:DNQ917532 DXM917509:DXM917532 EHI917509:EHI917532 ERE917509:ERE917532 FBA917509:FBA917532 FKW917509:FKW917532 FUS917509:FUS917532 GEO917509:GEO917532 GOK917509:GOK917532 GYG917509:GYG917532 HIC917509:HIC917532 HRY917509:HRY917532 IBU917509:IBU917532 ILQ917509:ILQ917532 IVM917509:IVM917532 JFI917509:JFI917532 JPE917509:JPE917532 JZA917509:JZA917532 KIW917509:KIW917532 KSS917509:KSS917532 LCO917509:LCO917532 LMK917509:LMK917532 LWG917509:LWG917532 MGC917509:MGC917532 MPY917509:MPY917532 MZU917509:MZU917532 NJQ917509:NJQ917532 NTM917509:NTM917532 ODI917509:ODI917532 ONE917509:ONE917532 OXA917509:OXA917532 PGW917509:PGW917532 PQS917509:PQS917532 QAO917509:QAO917532 QKK917509:QKK917532 QUG917509:QUG917532 REC917509:REC917532 RNY917509:RNY917532 RXU917509:RXU917532 SHQ917509:SHQ917532 SRM917509:SRM917532 TBI917509:TBI917532 TLE917509:TLE917532 TVA917509:TVA917532 UEW917509:UEW917532 UOS917509:UOS917532 UYO917509:UYO917532 VIK917509:VIK917532 VSG917509:VSG917532 WCC917509:WCC917532 WLY917509:WLY917532 WVU917509:WVU917532 T983045:T983068 JI983045:JI983068 TE983045:TE983068 ADA983045:ADA983068 AMW983045:AMW983068 AWS983045:AWS983068 BGO983045:BGO983068 BQK983045:BQK983068 CAG983045:CAG983068 CKC983045:CKC983068 CTY983045:CTY983068 DDU983045:DDU983068 DNQ983045:DNQ983068 DXM983045:DXM983068 EHI983045:EHI983068 ERE983045:ERE983068 FBA983045:FBA983068 FKW983045:FKW983068 FUS983045:FUS983068 GEO983045:GEO983068 GOK983045:GOK983068 GYG983045:GYG983068 HIC983045:HIC983068 HRY983045:HRY983068 IBU983045:IBU983068 ILQ983045:ILQ983068 IVM983045:IVM983068 JFI983045:JFI983068 JPE983045:JPE983068 JZA983045:JZA983068 KIW983045:KIW983068 KSS983045:KSS983068 LCO983045:LCO983068 LMK983045:LMK983068 LWG983045:LWG983068 MGC983045:MGC983068 MPY983045:MPY983068 MZU983045:MZU983068 NJQ983045:NJQ983068 NTM983045:NTM983068 ODI983045:ODI983068 ONE983045:ONE983068 OXA983045:OXA983068 PGW983045:PGW983068 PQS983045:PQS983068 QAO983045:QAO983068 QKK983045:QKK983068 QUG983045:QUG983068 REC983045:REC983068 RNY983045:RNY983068 RXU983045:RXU983068 SHQ983045:SHQ983068 SRM983045:SRM983068 TBI983045:TBI983068 TLE983045:TLE983068 TVA983045:TVA983068 UEW983045:UEW983068 UOS983045:UOS983068 UYO983045:UYO983068 VIK983045:VIK983068 VSG983045:VSG983068 WCC983045:WCC983068 WLY983045:WLY983068 WVU983045:WVU983068 WVF11:WVF25 WLJ11:WLJ25 WBN11:WBN25 VRR11:VRR25 VHV11:VHV25 UXZ11:UXZ25 UOD11:UOD25 UEH11:UEH25 TUL11:TUL25 TKP11:TKP25 TAT11:TAT25 SQX11:SQX25 SHB11:SHB25 RXF11:RXF25 RNJ11:RNJ25 RDN11:RDN25 QTR11:QTR25 QJV11:QJV25 PZZ11:PZZ25 PQD11:PQD25 PGH11:PGH25 OWL11:OWL25 OMP11:OMP25 OCT11:OCT25 NSX11:NSX25 NJB11:NJB25 MZF11:MZF25 MPJ11:MPJ25 MFN11:MFN25 LVR11:LVR25 LLV11:LLV25 LBZ11:LBZ25 KSD11:KSD25 KIH11:KIH25 JYL11:JYL25 JOP11:JOP25 JET11:JET25 IUX11:IUX25 ILB11:ILB25 IBF11:IBF25 HRJ11:HRJ25 HHN11:HHN25 GXR11:GXR25 GNV11:GNV25 GDZ11:GDZ25 FUD11:FUD25 FKH11:FKH25 FAL11:FAL25 EQP11:EQP25 EGT11:EGT25 DWX11:DWX25 DNB11:DNB25 DDF11:DDF25 CTJ11:CTJ25 CJN11:CJN25 BZR11:BZR25 BPV11:BPV25 BFZ11:BFZ25 AWD11:AWD25 AMH11:AMH25 ACL11:ACL25 SP11:SP25 IT11:IT25 T11:T29" xr:uid="{00000000-0002-0000-0500-000000000000}">
      <formula1>"Y,N"</formula1>
    </dataValidation>
    <dataValidation type="list" allowBlank="1" showInputMessage="1" showErrorMessage="1" sqref="WVX983045:WVX983068 JH5:JH7 TD5:TD7 ACZ5:ACZ7 AMV5:AMV7 AWR5:AWR7 BGN5:BGN7 BQJ5:BQJ7 CAF5:CAF7 CKB5:CKB7 CTX5:CTX7 DDT5:DDT7 DNP5:DNP7 DXL5:DXL7 EHH5:EHH7 ERD5:ERD7 FAZ5:FAZ7 FKV5:FKV7 FUR5:FUR7 GEN5:GEN7 GOJ5:GOJ7 GYF5:GYF7 HIB5:HIB7 HRX5:HRX7 IBT5:IBT7 ILP5:ILP7 IVL5:IVL7 JFH5:JFH7 JPD5:JPD7 JYZ5:JYZ7 KIV5:KIV7 KSR5:KSR7 LCN5:LCN7 LMJ5:LMJ7 LWF5:LWF7 MGB5:MGB7 MPX5:MPX7 MZT5:MZT7 NJP5:NJP7 NTL5:NTL7 ODH5:ODH7 OND5:OND7 OWZ5:OWZ7 PGV5:PGV7 PQR5:PQR7 QAN5:QAN7 QKJ5:QKJ7 QUF5:QUF7 REB5:REB7 RNX5:RNX7 RXT5:RXT7 SHP5:SHP7 SRL5:SRL7 TBH5:TBH7 TLD5:TLD7 TUZ5:TUZ7 UEV5:UEV7 UOR5:UOR7 UYN5:UYN7 VIJ5:VIJ7 VSF5:VSF7 WCB5:WCB7 WLX5:WLX7 WVT5:WVT7 S65535:S65537 JH65535:JH65537 TD65535:TD65537 ACZ65535:ACZ65537 AMV65535:AMV65537 AWR65535:AWR65537 BGN65535:BGN65537 BQJ65535:BQJ65537 CAF65535:CAF65537 CKB65535:CKB65537 CTX65535:CTX65537 DDT65535:DDT65537 DNP65535:DNP65537 DXL65535:DXL65537 EHH65535:EHH65537 ERD65535:ERD65537 FAZ65535:FAZ65537 FKV65535:FKV65537 FUR65535:FUR65537 GEN65535:GEN65537 GOJ65535:GOJ65537 GYF65535:GYF65537 HIB65535:HIB65537 HRX65535:HRX65537 IBT65535:IBT65537 ILP65535:ILP65537 IVL65535:IVL65537 JFH65535:JFH65537 JPD65535:JPD65537 JYZ65535:JYZ65537 KIV65535:KIV65537 KSR65535:KSR65537 LCN65535:LCN65537 LMJ65535:LMJ65537 LWF65535:LWF65537 MGB65535:MGB65537 MPX65535:MPX65537 MZT65535:MZT65537 NJP65535:NJP65537 NTL65535:NTL65537 ODH65535:ODH65537 OND65535:OND65537 OWZ65535:OWZ65537 PGV65535:PGV65537 PQR65535:PQR65537 QAN65535:QAN65537 QKJ65535:QKJ65537 QUF65535:QUF65537 REB65535:REB65537 RNX65535:RNX65537 RXT65535:RXT65537 SHP65535:SHP65537 SRL65535:SRL65537 TBH65535:TBH65537 TLD65535:TLD65537 TUZ65535:TUZ65537 UEV65535:UEV65537 UOR65535:UOR65537 UYN65535:UYN65537 VIJ65535:VIJ65537 VSF65535:VSF65537 WCB65535:WCB65537 WLX65535:WLX65537 WVT65535:WVT65537 S131071:S131073 JH131071:JH131073 TD131071:TD131073 ACZ131071:ACZ131073 AMV131071:AMV131073 AWR131071:AWR131073 BGN131071:BGN131073 BQJ131071:BQJ131073 CAF131071:CAF131073 CKB131071:CKB131073 CTX131071:CTX131073 DDT131071:DDT131073 DNP131071:DNP131073 DXL131071:DXL131073 EHH131071:EHH131073 ERD131071:ERD131073 FAZ131071:FAZ131073 FKV131071:FKV131073 FUR131071:FUR131073 GEN131071:GEN131073 GOJ131071:GOJ131073 GYF131071:GYF131073 HIB131071:HIB131073 HRX131071:HRX131073 IBT131071:IBT131073 ILP131071:ILP131073 IVL131071:IVL131073 JFH131071:JFH131073 JPD131071:JPD131073 JYZ131071:JYZ131073 KIV131071:KIV131073 KSR131071:KSR131073 LCN131071:LCN131073 LMJ131071:LMJ131073 LWF131071:LWF131073 MGB131071:MGB131073 MPX131071:MPX131073 MZT131071:MZT131073 NJP131071:NJP131073 NTL131071:NTL131073 ODH131071:ODH131073 OND131071:OND131073 OWZ131071:OWZ131073 PGV131071:PGV131073 PQR131071:PQR131073 QAN131071:QAN131073 QKJ131071:QKJ131073 QUF131071:QUF131073 REB131071:REB131073 RNX131071:RNX131073 RXT131071:RXT131073 SHP131071:SHP131073 SRL131071:SRL131073 TBH131071:TBH131073 TLD131071:TLD131073 TUZ131071:TUZ131073 UEV131071:UEV131073 UOR131071:UOR131073 UYN131071:UYN131073 VIJ131071:VIJ131073 VSF131071:VSF131073 WCB131071:WCB131073 WLX131071:WLX131073 WVT131071:WVT131073 S196607:S196609 JH196607:JH196609 TD196607:TD196609 ACZ196607:ACZ196609 AMV196607:AMV196609 AWR196607:AWR196609 BGN196607:BGN196609 BQJ196607:BQJ196609 CAF196607:CAF196609 CKB196607:CKB196609 CTX196607:CTX196609 DDT196607:DDT196609 DNP196607:DNP196609 DXL196607:DXL196609 EHH196607:EHH196609 ERD196607:ERD196609 FAZ196607:FAZ196609 FKV196607:FKV196609 FUR196607:FUR196609 GEN196607:GEN196609 GOJ196607:GOJ196609 GYF196607:GYF196609 HIB196607:HIB196609 HRX196607:HRX196609 IBT196607:IBT196609 ILP196607:ILP196609 IVL196607:IVL196609 JFH196607:JFH196609 JPD196607:JPD196609 JYZ196607:JYZ196609 KIV196607:KIV196609 KSR196607:KSR196609 LCN196607:LCN196609 LMJ196607:LMJ196609 LWF196607:LWF196609 MGB196607:MGB196609 MPX196607:MPX196609 MZT196607:MZT196609 NJP196607:NJP196609 NTL196607:NTL196609 ODH196607:ODH196609 OND196607:OND196609 OWZ196607:OWZ196609 PGV196607:PGV196609 PQR196607:PQR196609 QAN196607:QAN196609 QKJ196607:QKJ196609 QUF196607:QUF196609 REB196607:REB196609 RNX196607:RNX196609 RXT196607:RXT196609 SHP196607:SHP196609 SRL196607:SRL196609 TBH196607:TBH196609 TLD196607:TLD196609 TUZ196607:TUZ196609 UEV196607:UEV196609 UOR196607:UOR196609 UYN196607:UYN196609 VIJ196607:VIJ196609 VSF196607:VSF196609 WCB196607:WCB196609 WLX196607:WLX196609 WVT196607:WVT196609 S262143:S262145 JH262143:JH262145 TD262143:TD262145 ACZ262143:ACZ262145 AMV262143:AMV262145 AWR262143:AWR262145 BGN262143:BGN262145 BQJ262143:BQJ262145 CAF262143:CAF262145 CKB262143:CKB262145 CTX262143:CTX262145 DDT262143:DDT262145 DNP262143:DNP262145 DXL262143:DXL262145 EHH262143:EHH262145 ERD262143:ERD262145 FAZ262143:FAZ262145 FKV262143:FKV262145 FUR262143:FUR262145 GEN262143:GEN262145 GOJ262143:GOJ262145 GYF262143:GYF262145 HIB262143:HIB262145 HRX262143:HRX262145 IBT262143:IBT262145 ILP262143:ILP262145 IVL262143:IVL262145 JFH262143:JFH262145 JPD262143:JPD262145 JYZ262143:JYZ262145 KIV262143:KIV262145 KSR262143:KSR262145 LCN262143:LCN262145 LMJ262143:LMJ262145 LWF262143:LWF262145 MGB262143:MGB262145 MPX262143:MPX262145 MZT262143:MZT262145 NJP262143:NJP262145 NTL262143:NTL262145 ODH262143:ODH262145 OND262143:OND262145 OWZ262143:OWZ262145 PGV262143:PGV262145 PQR262143:PQR262145 QAN262143:QAN262145 QKJ262143:QKJ262145 QUF262143:QUF262145 REB262143:REB262145 RNX262143:RNX262145 RXT262143:RXT262145 SHP262143:SHP262145 SRL262143:SRL262145 TBH262143:TBH262145 TLD262143:TLD262145 TUZ262143:TUZ262145 UEV262143:UEV262145 UOR262143:UOR262145 UYN262143:UYN262145 VIJ262143:VIJ262145 VSF262143:VSF262145 WCB262143:WCB262145 WLX262143:WLX262145 WVT262143:WVT262145 S327679:S327681 JH327679:JH327681 TD327679:TD327681 ACZ327679:ACZ327681 AMV327679:AMV327681 AWR327679:AWR327681 BGN327679:BGN327681 BQJ327679:BQJ327681 CAF327679:CAF327681 CKB327679:CKB327681 CTX327679:CTX327681 DDT327679:DDT327681 DNP327679:DNP327681 DXL327679:DXL327681 EHH327679:EHH327681 ERD327679:ERD327681 FAZ327679:FAZ327681 FKV327679:FKV327681 FUR327679:FUR327681 GEN327679:GEN327681 GOJ327679:GOJ327681 GYF327679:GYF327681 HIB327679:HIB327681 HRX327679:HRX327681 IBT327679:IBT327681 ILP327679:ILP327681 IVL327679:IVL327681 JFH327679:JFH327681 JPD327679:JPD327681 JYZ327679:JYZ327681 KIV327679:KIV327681 KSR327679:KSR327681 LCN327679:LCN327681 LMJ327679:LMJ327681 LWF327679:LWF327681 MGB327679:MGB327681 MPX327679:MPX327681 MZT327679:MZT327681 NJP327679:NJP327681 NTL327679:NTL327681 ODH327679:ODH327681 OND327679:OND327681 OWZ327679:OWZ327681 PGV327679:PGV327681 PQR327679:PQR327681 QAN327679:QAN327681 QKJ327679:QKJ327681 QUF327679:QUF327681 REB327679:REB327681 RNX327679:RNX327681 RXT327679:RXT327681 SHP327679:SHP327681 SRL327679:SRL327681 TBH327679:TBH327681 TLD327679:TLD327681 TUZ327679:TUZ327681 UEV327679:UEV327681 UOR327679:UOR327681 UYN327679:UYN327681 VIJ327679:VIJ327681 VSF327679:VSF327681 WCB327679:WCB327681 WLX327679:WLX327681 WVT327679:WVT327681 S393215:S393217 JH393215:JH393217 TD393215:TD393217 ACZ393215:ACZ393217 AMV393215:AMV393217 AWR393215:AWR393217 BGN393215:BGN393217 BQJ393215:BQJ393217 CAF393215:CAF393217 CKB393215:CKB393217 CTX393215:CTX393217 DDT393215:DDT393217 DNP393215:DNP393217 DXL393215:DXL393217 EHH393215:EHH393217 ERD393215:ERD393217 FAZ393215:FAZ393217 FKV393215:FKV393217 FUR393215:FUR393217 GEN393215:GEN393217 GOJ393215:GOJ393217 GYF393215:GYF393217 HIB393215:HIB393217 HRX393215:HRX393217 IBT393215:IBT393217 ILP393215:ILP393217 IVL393215:IVL393217 JFH393215:JFH393217 JPD393215:JPD393217 JYZ393215:JYZ393217 KIV393215:KIV393217 KSR393215:KSR393217 LCN393215:LCN393217 LMJ393215:LMJ393217 LWF393215:LWF393217 MGB393215:MGB393217 MPX393215:MPX393217 MZT393215:MZT393217 NJP393215:NJP393217 NTL393215:NTL393217 ODH393215:ODH393217 OND393215:OND393217 OWZ393215:OWZ393217 PGV393215:PGV393217 PQR393215:PQR393217 QAN393215:QAN393217 QKJ393215:QKJ393217 QUF393215:QUF393217 REB393215:REB393217 RNX393215:RNX393217 RXT393215:RXT393217 SHP393215:SHP393217 SRL393215:SRL393217 TBH393215:TBH393217 TLD393215:TLD393217 TUZ393215:TUZ393217 UEV393215:UEV393217 UOR393215:UOR393217 UYN393215:UYN393217 VIJ393215:VIJ393217 VSF393215:VSF393217 WCB393215:WCB393217 WLX393215:WLX393217 WVT393215:WVT393217 S458751:S458753 JH458751:JH458753 TD458751:TD458753 ACZ458751:ACZ458753 AMV458751:AMV458753 AWR458751:AWR458753 BGN458751:BGN458753 BQJ458751:BQJ458753 CAF458751:CAF458753 CKB458751:CKB458753 CTX458751:CTX458753 DDT458751:DDT458753 DNP458751:DNP458753 DXL458751:DXL458753 EHH458751:EHH458753 ERD458751:ERD458753 FAZ458751:FAZ458753 FKV458751:FKV458753 FUR458751:FUR458753 GEN458751:GEN458753 GOJ458751:GOJ458753 GYF458751:GYF458753 HIB458751:HIB458753 HRX458751:HRX458753 IBT458751:IBT458753 ILP458751:ILP458753 IVL458751:IVL458753 JFH458751:JFH458753 JPD458751:JPD458753 JYZ458751:JYZ458753 KIV458751:KIV458753 KSR458751:KSR458753 LCN458751:LCN458753 LMJ458751:LMJ458753 LWF458751:LWF458753 MGB458751:MGB458753 MPX458751:MPX458753 MZT458751:MZT458753 NJP458751:NJP458753 NTL458751:NTL458753 ODH458751:ODH458753 OND458751:OND458753 OWZ458751:OWZ458753 PGV458751:PGV458753 PQR458751:PQR458753 QAN458751:QAN458753 QKJ458751:QKJ458753 QUF458751:QUF458753 REB458751:REB458753 RNX458751:RNX458753 RXT458751:RXT458753 SHP458751:SHP458753 SRL458751:SRL458753 TBH458751:TBH458753 TLD458751:TLD458753 TUZ458751:TUZ458753 UEV458751:UEV458753 UOR458751:UOR458753 UYN458751:UYN458753 VIJ458751:VIJ458753 VSF458751:VSF458753 WCB458751:WCB458753 WLX458751:WLX458753 WVT458751:WVT458753 S524287:S524289 JH524287:JH524289 TD524287:TD524289 ACZ524287:ACZ524289 AMV524287:AMV524289 AWR524287:AWR524289 BGN524287:BGN524289 BQJ524287:BQJ524289 CAF524287:CAF524289 CKB524287:CKB524289 CTX524287:CTX524289 DDT524287:DDT524289 DNP524287:DNP524289 DXL524287:DXL524289 EHH524287:EHH524289 ERD524287:ERD524289 FAZ524287:FAZ524289 FKV524287:FKV524289 FUR524287:FUR524289 GEN524287:GEN524289 GOJ524287:GOJ524289 GYF524287:GYF524289 HIB524287:HIB524289 HRX524287:HRX524289 IBT524287:IBT524289 ILP524287:ILP524289 IVL524287:IVL524289 JFH524287:JFH524289 JPD524287:JPD524289 JYZ524287:JYZ524289 KIV524287:KIV524289 KSR524287:KSR524289 LCN524287:LCN524289 LMJ524287:LMJ524289 LWF524287:LWF524289 MGB524287:MGB524289 MPX524287:MPX524289 MZT524287:MZT524289 NJP524287:NJP524289 NTL524287:NTL524289 ODH524287:ODH524289 OND524287:OND524289 OWZ524287:OWZ524289 PGV524287:PGV524289 PQR524287:PQR524289 QAN524287:QAN524289 QKJ524287:QKJ524289 QUF524287:QUF524289 REB524287:REB524289 RNX524287:RNX524289 RXT524287:RXT524289 SHP524287:SHP524289 SRL524287:SRL524289 TBH524287:TBH524289 TLD524287:TLD524289 TUZ524287:TUZ524289 UEV524287:UEV524289 UOR524287:UOR524289 UYN524287:UYN524289 VIJ524287:VIJ524289 VSF524287:VSF524289 WCB524287:WCB524289 WLX524287:WLX524289 WVT524287:WVT524289 S589823:S589825 JH589823:JH589825 TD589823:TD589825 ACZ589823:ACZ589825 AMV589823:AMV589825 AWR589823:AWR589825 BGN589823:BGN589825 BQJ589823:BQJ589825 CAF589823:CAF589825 CKB589823:CKB589825 CTX589823:CTX589825 DDT589823:DDT589825 DNP589823:DNP589825 DXL589823:DXL589825 EHH589823:EHH589825 ERD589823:ERD589825 FAZ589823:FAZ589825 FKV589823:FKV589825 FUR589823:FUR589825 GEN589823:GEN589825 GOJ589823:GOJ589825 GYF589823:GYF589825 HIB589823:HIB589825 HRX589823:HRX589825 IBT589823:IBT589825 ILP589823:ILP589825 IVL589823:IVL589825 JFH589823:JFH589825 JPD589823:JPD589825 JYZ589823:JYZ589825 KIV589823:KIV589825 KSR589823:KSR589825 LCN589823:LCN589825 LMJ589823:LMJ589825 LWF589823:LWF589825 MGB589823:MGB589825 MPX589823:MPX589825 MZT589823:MZT589825 NJP589823:NJP589825 NTL589823:NTL589825 ODH589823:ODH589825 OND589823:OND589825 OWZ589823:OWZ589825 PGV589823:PGV589825 PQR589823:PQR589825 QAN589823:QAN589825 QKJ589823:QKJ589825 QUF589823:QUF589825 REB589823:REB589825 RNX589823:RNX589825 RXT589823:RXT589825 SHP589823:SHP589825 SRL589823:SRL589825 TBH589823:TBH589825 TLD589823:TLD589825 TUZ589823:TUZ589825 UEV589823:UEV589825 UOR589823:UOR589825 UYN589823:UYN589825 VIJ589823:VIJ589825 VSF589823:VSF589825 WCB589823:WCB589825 WLX589823:WLX589825 WVT589823:WVT589825 S655359:S655361 JH655359:JH655361 TD655359:TD655361 ACZ655359:ACZ655361 AMV655359:AMV655361 AWR655359:AWR655361 BGN655359:BGN655361 BQJ655359:BQJ655361 CAF655359:CAF655361 CKB655359:CKB655361 CTX655359:CTX655361 DDT655359:DDT655361 DNP655359:DNP655361 DXL655359:DXL655361 EHH655359:EHH655361 ERD655359:ERD655361 FAZ655359:FAZ655361 FKV655359:FKV655361 FUR655359:FUR655361 GEN655359:GEN655361 GOJ655359:GOJ655361 GYF655359:GYF655361 HIB655359:HIB655361 HRX655359:HRX655361 IBT655359:IBT655361 ILP655359:ILP655361 IVL655359:IVL655361 JFH655359:JFH655361 JPD655359:JPD655361 JYZ655359:JYZ655361 KIV655359:KIV655361 KSR655359:KSR655361 LCN655359:LCN655361 LMJ655359:LMJ655361 LWF655359:LWF655361 MGB655359:MGB655361 MPX655359:MPX655361 MZT655359:MZT655361 NJP655359:NJP655361 NTL655359:NTL655361 ODH655359:ODH655361 OND655359:OND655361 OWZ655359:OWZ655361 PGV655359:PGV655361 PQR655359:PQR655361 QAN655359:QAN655361 QKJ655359:QKJ655361 QUF655359:QUF655361 REB655359:REB655361 RNX655359:RNX655361 RXT655359:RXT655361 SHP655359:SHP655361 SRL655359:SRL655361 TBH655359:TBH655361 TLD655359:TLD655361 TUZ655359:TUZ655361 UEV655359:UEV655361 UOR655359:UOR655361 UYN655359:UYN655361 VIJ655359:VIJ655361 VSF655359:VSF655361 WCB655359:WCB655361 WLX655359:WLX655361 WVT655359:WVT655361 S720895:S720897 JH720895:JH720897 TD720895:TD720897 ACZ720895:ACZ720897 AMV720895:AMV720897 AWR720895:AWR720897 BGN720895:BGN720897 BQJ720895:BQJ720897 CAF720895:CAF720897 CKB720895:CKB720897 CTX720895:CTX720897 DDT720895:DDT720897 DNP720895:DNP720897 DXL720895:DXL720897 EHH720895:EHH720897 ERD720895:ERD720897 FAZ720895:FAZ720897 FKV720895:FKV720897 FUR720895:FUR720897 GEN720895:GEN720897 GOJ720895:GOJ720897 GYF720895:GYF720897 HIB720895:HIB720897 HRX720895:HRX720897 IBT720895:IBT720897 ILP720895:ILP720897 IVL720895:IVL720897 JFH720895:JFH720897 JPD720895:JPD720897 JYZ720895:JYZ720897 KIV720895:KIV720897 KSR720895:KSR720897 LCN720895:LCN720897 LMJ720895:LMJ720897 LWF720895:LWF720897 MGB720895:MGB720897 MPX720895:MPX720897 MZT720895:MZT720897 NJP720895:NJP720897 NTL720895:NTL720897 ODH720895:ODH720897 OND720895:OND720897 OWZ720895:OWZ720897 PGV720895:PGV720897 PQR720895:PQR720897 QAN720895:QAN720897 QKJ720895:QKJ720897 QUF720895:QUF720897 REB720895:REB720897 RNX720895:RNX720897 RXT720895:RXT720897 SHP720895:SHP720897 SRL720895:SRL720897 TBH720895:TBH720897 TLD720895:TLD720897 TUZ720895:TUZ720897 UEV720895:UEV720897 UOR720895:UOR720897 UYN720895:UYN720897 VIJ720895:VIJ720897 VSF720895:VSF720897 WCB720895:WCB720897 WLX720895:WLX720897 WVT720895:WVT720897 S786431:S786433 JH786431:JH786433 TD786431:TD786433 ACZ786431:ACZ786433 AMV786431:AMV786433 AWR786431:AWR786433 BGN786431:BGN786433 BQJ786431:BQJ786433 CAF786431:CAF786433 CKB786431:CKB786433 CTX786431:CTX786433 DDT786431:DDT786433 DNP786431:DNP786433 DXL786431:DXL786433 EHH786431:EHH786433 ERD786431:ERD786433 FAZ786431:FAZ786433 FKV786431:FKV786433 FUR786431:FUR786433 GEN786431:GEN786433 GOJ786431:GOJ786433 GYF786431:GYF786433 HIB786431:HIB786433 HRX786431:HRX786433 IBT786431:IBT786433 ILP786431:ILP786433 IVL786431:IVL786433 JFH786431:JFH786433 JPD786431:JPD786433 JYZ786431:JYZ786433 KIV786431:KIV786433 KSR786431:KSR786433 LCN786431:LCN786433 LMJ786431:LMJ786433 LWF786431:LWF786433 MGB786431:MGB786433 MPX786431:MPX786433 MZT786431:MZT786433 NJP786431:NJP786433 NTL786431:NTL786433 ODH786431:ODH786433 OND786431:OND786433 OWZ786431:OWZ786433 PGV786431:PGV786433 PQR786431:PQR786433 QAN786431:QAN786433 QKJ786431:QKJ786433 QUF786431:QUF786433 REB786431:REB786433 RNX786431:RNX786433 RXT786431:RXT786433 SHP786431:SHP786433 SRL786431:SRL786433 TBH786431:TBH786433 TLD786431:TLD786433 TUZ786431:TUZ786433 UEV786431:UEV786433 UOR786431:UOR786433 UYN786431:UYN786433 VIJ786431:VIJ786433 VSF786431:VSF786433 WCB786431:WCB786433 WLX786431:WLX786433 WVT786431:WVT786433 S851967:S851969 JH851967:JH851969 TD851967:TD851969 ACZ851967:ACZ851969 AMV851967:AMV851969 AWR851967:AWR851969 BGN851967:BGN851969 BQJ851967:BQJ851969 CAF851967:CAF851969 CKB851967:CKB851969 CTX851967:CTX851969 DDT851967:DDT851969 DNP851967:DNP851969 DXL851967:DXL851969 EHH851967:EHH851969 ERD851967:ERD851969 FAZ851967:FAZ851969 FKV851967:FKV851969 FUR851967:FUR851969 GEN851967:GEN851969 GOJ851967:GOJ851969 GYF851967:GYF851969 HIB851967:HIB851969 HRX851967:HRX851969 IBT851967:IBT851969 ILP851967:ILP851969 IVL851967:IVL851969 JFH851967:JFH851969 JPD851967:JPD851969 JYZ851967:JYZ851969 KIV851967:KIV851969 KSR851967:KSR851969 LCN851967:LCN851969 LMJ851967:LMJ851969 LWF851967:LWF851969 MGB851967:MGB851969 MPX851967:MPX851969 MZT851967:MZT851969 NJP851967:NJP851969 NTL851967:NTL851969 ODH851967:ODH851969 OND851967:OND851969 OWZ851967:OWZ851969 PGV851967:PGV851969 PQR851967:PQR851969 QAN851967:QAN851969 QKJ851967:QKJ851969 QUF851967:QUF851969 REB851967:REB851969 RNX851967:RNX851969 RXT851967:RXT851969 SHP851967:SHP851969 SRL851967:SRL851969 TBH851967:TBH851969 TLD851967:TLD851969 TUZ851967:TUZ851969 UEV851967:UEV851969 UOR851967:UOR851969 UYN851967:UYN851969 VIJ851967:VIJ851969 VSF851967:VSF851969 WCB851967:WCB851969 WLX851967:WLX851969 WVT851967:WVT851969 S917503:S917505 JH917503:JH917505 TD917503:TD917505 ACZ917503:ACZ917505 AMV917503:AMV917505 AWR917503:AWR917505 BGN917503:BGN917505 BQJ917503:BQJ917505 CAF917503:CAF917505 CKB917503:CKB917505 CTX917503:CTX917505 DDT917503:DDT917505 DNP917503:DNP917505 DXL917503:DXL917505 EHH917503:EHH917505 ERD917503:ERD917505 FAZ917503:FAZ917505 FKV917503:FKV917505 FUR917503:FUR917505 GEN917503:GEN917505 GOJ917503:GOJ917505 GYF917503:GYF917505 HIB917503:HIB917505 HRX917503:HRX917505 IBT917503:IBT917505 ILP917503:ILP917505 IVL917503:IVL917505 JFH917503:JFH917505 JPD917503:JPD917505 JYZ917503:JYZ917505 KIV917503:KIV917505 KSR917503:KSR917505 LCN917503:LCN917505 LMJ917503:LMJ917505 LWF917503:LWF917505 MGB917503:MGB917505 MPX917503:MPX917505 MZT917503:MZT917505 NJP917503:NJP917505 NTL917503:NTL917505 ODH917503:ODH917505 OND917503:OND917505 OWZ917503:OWZ917505 PGV917503:PGV917505 PQR917503:PQR917505 QAN917503:QAN917505 QKJ917503:QKJ917505 QUF917503:QUF917505 REB917503:REB917505 RNX917503:RNX917505 RXT917503:RXT917505 SHP917503:SHP917505 SRL917503:SRL917505 TBH917503:TBH917505 TLD917503:TLD917505 TUZ917503:TUZ917505 UEV917503:UEV917505 UOR917503:UOR917505 UYN917503:UYN917505 VIJ917503:VIJ917505 VSF917503:VSF917505 WCB917503:WCB917505 WLX917503:WLX917505 WVT917503:WVT917505 S983039:S983041 JH983039:JH983041 TD983039:TD983041 ACZ983039:ACZ983041 AMV983039:AMV983041 AWR983039:AWR983041 BGN983039:BGN983041 BQJ983039:BQJ983041 CAF983039:CAF983041 CKB983039:CKB983041 CTX983039:CTX983041 DDT983039:DDT983041 DNP983039:DNP983041 DXL983039:DXL983041 EHH983039:EHH983041 ERD983039:ERD983041 FAZ983039:FAZ983041 FKV983039:FKV983041 FUR983039:FUR983041 GEN983039:GEN983041 GOJ983039:GOJ983041 GYF983039:GYF983041 HIB983039:HIB983041 HRX983039:HRX983041 IBT983039:IBT983041 ILP983039:ILP983041 IVL983039:IVL983041 JFH983039:JFH983041 JPD983039:JPD983041 JYZ983039:JYZ983041 KIV983039:KIV983041 KSR983039:KSR983041 LCN983039:LCN983041 LMJ983039:LMJ983041 LWF983039:LWF983041 MGB983039:MGB983041 MPX983039:MPX983041 MZT983039:MZT983041 NJP983039:NJP983041 NTL983039:NTL983041 ODH983039:ODH983041 OND983039:OND983041 OWZ983039:OWZ983041 PGV983039:PGV983041 PQR983039:PQR983041 QAN983039:QAN983041 QKJ983039:QKJ983041 QUF983039:QUF983041 REB983039:REB983041 RNX983039:RNX983041 RXT983039:RXT983041 SHP983039:SHP983041 SRL983039:SRL983041 TBH983039:TBH983041 TLD983039:TLD983041 TUZ983039:TUZ983041 UEV983039:UEV983041 UOR983039:UOR983041 UYN983039:UYN983041 VIJ983039:VIJ983041 VSF983039:VSF983041 WCB983039:WCB983041 WLX983039:WLX983041 WVT983039:WVT983041 U65541:U65564 JJ65541:JJ65564 TF65541:TF65564 ADB65541:ADB65564 AMX65541:AMX65564 AWT65541:AWT65564 BGP65541:BGP65564 BQL65541:BQL65564 CAH65541:CAH65564 CKD65541:CKD65564 CTZ65541:CTZ65564 DDV65541:DDV65564 DNR65541:DNR65564 DXN65541:DXN65564 EHJ65541:EHJ65564 ERF65541:ERF65564 FBB65541:FBB65564 FKX65541:FKX65564 FUT65541:FUT65564 GEP65541:GEP65564 GOL65541:GOL65564 GYH65541:GYH65564 HID65541:HID65564 HRZ65541:HRZ65564 IBV65541:IBV65564 ILR65541:ILR65564 IVN65541:IVN65564 JFJ65541:JFJ65564 JPF65541:JPF65564 JZB65541:JZB65564 KIX65541:KIX65564 KST65541:KST65564 LCP65541:LCP65564 LML65541:LML65564 LWH65541:LWH65564 MGD65541:MGD65564 MPZ65541:MPZ65564 MZV65541:MZV65564 NJR65541:NJR65564 NTN65541:NTN65564 ODJ65541:ODJ65564 ONF65541:ONF65564 OXB65541:OXB65564 PGX65541:PGX65564 PQT65541:PQT65564 QAP65541:QAP65564 QKL65541:QKL65564 QUH65541:QUH65564 RED65541:RED65564 RNZ65541:RNZ65564 RXV65541:RXV65564 SHR65541:SHR65564 SRN65541:SRN65564 TBJ65541:TBJ65564 TLF65541:TLF65564 TVB65541:TVB65564 UEX65541:UEX65564 UOT65541:UOT65564 UYP65541:UYP65564 VIL65541:VIL65564 VSH65541:VSH65564 WCD65541:WCD65564 WLZ65541:WLZ65564 WVV65541:WVV65564 U131077:U131100 JJ131077:JJ131100 TF131077:TF131100 ADB131077:ADB131100 AMX131077:AMX131100 AWT131077:AWT131100 BGP131077:BGP131100 BQL131077:BQL131100 CAH131077:CAH131100 CKD131077:CKD131100 CTZ131077:CTZ131100 DDV131077:DDV131100 DNR131077:DNR131100 DXN131077:DXN131100 EHJ131077:EHJ131100 ERF131077:ERF131100 FBB131077:FBB131100 FKX131077:FKX131100 FUT131077:FUT131100 GEP131077:GEP131100 GOL131077:GOL131100 GYH131077:GYH131100 HID131077:HID131100 HRZ131077:HRZ131100 IBV131077:IBV131100 ILR131077:ILR131100 IVN131077:IVN131100 JFJ131077:JFJ131100 JPF131077:JPF131100 JZB131077:JZB131100 KIX131077:KIX131100 KST131077:KST131100 LCP131077:LCP131100 LML131077:LML131100 LWH131077:LWH131100 MGD131077:MGD131100 MPZ131077:MPZ131100 MZV131077:MZV131100 NJR131077:NJR131100 NTN131077:NTN131100 ODJ131077:ODJ131100 ONF131077:ONF131100 OXB131077:OXB131100 PGX131077:PGX131100 PQT131077:PQT131100 QAP131077:QAP131100 QKL131077:QKL131100 QUH131077:QUH131100 RED131077:RED131100 RNZ131077:RNZ131100 RXV131077:RXV131100 SHR131077:SHR131100 SRN131077:SRN131100 TBJ131077:TBJ131100 TLF131077:TLF131100 TVB131077:TVB131100 UEX131077:UEX131100 UOT131077:UOT131100 UYP131077:UYP131100 VIL131077:VIL131100 VSH131077:VSH131100 WCD131077:WCD131100 WLZ131077:WLZ131100 WVV131077:WVV131100 U196613:U196636 JJ196613:JJ196636 TF196613:TF196636 ADB196613:ADB196636 AMX196613:AMX196636 AWT196613:AWT196636 BGP196613:BGP196636 BQL196613:BQL196636 CAH196613:CAH196636 CKD196613:CKD196636 CTZ196613:CTZ196636 DDV196613:DDV196636 DNR196613:DNR196636 DXN196613:DXN196636 EHJ196613:EHJ196636 ERF196613:ERF196636 FBB196613:FBB196636 FKX196613:FKX196636 FUT196613:FUT196636 GEP196613:GEP196636 GOL196613:GOL196636 GYH196613:GYH196636 HID196613:HID196636 HRZ196613:HRZ196636 IBV196613:IBV196636 ILR196613:ILR196636 IVN196613:IVN196636 JFJ196613:JFJ196636 JPF196613:JPF196636 JZB196613:JZB196636 KIX196613:KIX196636 KST196613:KST196636 LCP196613:LCP196636 LML196613:LML196636 LWH196613:LWH196636 MGD196613:MGD196636 MPZ196613:MPZ196636 MZV196613:MZV196636 NJR196613:NJR196636 NTN196613:NTN196636 ODJ196613:ODJ196636 ONF196613:ONF196636 OXB196613:OXB196636 PGX196613:PGX196636 PQT196613:PQT196636 QAP196613:QAP196636 QKL196613:QKL196636 QUH196613:QUH196636 RED196613:RED196636 RNZ196613:RNZ196636 RXV196613:RXV196636 SHR196613:SHR196636 SRN196613:SRN196636 TBJ196613:TBJ196636 TLF196613:TLF196636 TVB196613:TVB196636 UEX196613:UEX196636 UOT196613:UOT196636 UYP196613:UYP196636 VIL196613:VIL196636 VSH196613:VSH196636 WCD196613:WCD196636 WLZ196613:WLZ196636 WVV196613:WVV196636 U262149:U262172 JJ262149:JJ262172 TF262149:TF262172 ADB262149:ADB262172 AMX262149:AMX262172 AWT262149:AWT262172 BGP262149:BGP262172 BQL262149:BQL262172 CAH262149:CAH262172 CKD262149:CKD262172 CTZ262149:CTZ262172 DDV262149:DDV262172 DNR262149:DNR262172 DXN262149:DXN262172 EHJ262149:EHJ262172 ERF262149:ERF262172 FBB262149:FBB262172 FKX262149:FKX262172 FUT262149:FUT262172 GEP262149:GEP262172 GOL262149:GOL262172 GYH262149:GYH262172 HID262149:HID262172 HRZ262149:HRZ262172 IBV262149:IBV262172 ILR262149:ILR262172 IVN262149:IVN262172 JFJ262149:JFJ262172 JPF262149:JPF262172 JZB262149:JZB262172 KIX262149:KIX262172 KST262149:KST262172 LCP262149:LCP262172 LML262149:LML262172 LWH262149:LWH262172 MGD262149:MGD262172 MPZ262149:MPZ262172 MZV262149:MZV262172 NJR262149:NJR262172 NTN262149:NTN262172 ODJ262149:ODJ262172 ONF262149:ONF262172 OXB262149:OXB262172 PGX262149:PGX262172 PQT262149:PQT262172 QAP262149:QAP262172 QKL262149:QKL262172 QUH262149:QUH262172 RED262149:RED262172 RNZ262149:RNZ262172 RXV262149:RXV262172 SHR262149:SHR262172 SRN262149:SRN262172 TBJ262149:TBJ262172 TLF262149:TLF262172 TVB262149:TVB262172 UEX262149:UEX262172 UOT262149:UOT262172 UYP262149:UYP262172 VIL262149:VIL262172 VSH262149:VSH262172 WCD262149:WCD262172 WLZ262149:WLZ262172 WVV262149:WVV262172 U327685:U327708 JJ327685:JJ327708 TF327685:TF327708 ADB327685:ADB327708 AMX327685:AMX327708 AWT327685:AWT327708 BGP327685:BGP327708 BQL327685:BQL327708 CAH327685:CAH327708 CKD327685:CKD327708 CTZ327685:CTZ327708 DDV327685:DDV327708 DNR327685:DNR327708 DXN327685:DXN327708 EHJ327685:EHJ327708 ERF327685:ERF327708 FBB327685:FBB327708 FKX327685:FKX327708 FUT327685:FUT327708 GEP327685:GEP327708 GOL327685:GOL327708 GYH327685:GYH327708 HID327685:HID327708 HRZ327685:HRZ327708 IBV327685:IBV327708 ILR327685:ILR327708 IVN327685:IVN327708 JFJ327685:JFJ327708 JPF327685:JPF327708 JZB327685:JZB327708 KIX327685:KIX327708 KST327685:KST327708 LCP327685:LCP327708 LML327685:LML327708 LWH327685:LWH327708 MGD327685:MGD327708 MPZ327685:MPZ327708 MZV327685:MZV327708 NJR327685:NJR327708 NTN327685:NTN327708 ODJ327685:ODJ327708 ONF327685:ONF327708 OXB327685:OXB327708 PGX327685:PGX327708 PQT327685:PQT327708 QAP327685:QAP327708 QKL327685:QKL327708 QUH327685:QUH327708 RED327685:RED327708 RNZ327685:RNZ327708 RXV327685:RXV327708 SHR327685:SHR327708 SRN327685:SRN327708 TBJ327685:TBJ327708 TLF327685:TLF327708 TVB327685:TVB327708 UEX327685:UEX327708 UOT327685:UOT327708 UYP327685:UYP327708 VIL327685:VIL327708 VSH327685:VSH327708 WCD327685:WCD327708 WLZ327685:WLZ327708 WVV327685:WVV327708 U393221:U393244 JJ393221:JJ393244 TF393221:TF393244 ADB393221:ADB393244 AMX393221:AMX393244 AWT393221:AWT393244 BGP393221:BGP393244 BQL393221:BQL393244 CAH393221:CAH393244 CKD393221:CKD393244 CTZ393221:CTZ393244 DDV393221:DDV393244 DNR393221:DNR393244 DXN393221:DXN393244 EHJ393221:EHJ393244 ERF393221:ERF393244 FBB393221:FBB393244 FKX393221:FKX393244 FUT393221:FUT393244 GEP393221:GEP393244 GOL393221:GOL393244 GYH393221:GYH393244 HID393221:HID393244 HRZ393221:HRZ393244 IBV393221:IBV393244 ILR393221:ILR393244 IVN393221:IVN393244 JFJ393221:JFJ393244 JPF393221:JPF393244 JZB393221:JZB393244 KIX393221:KIX393244 KST393221:KST393244 LCP393221:LCP393244 LML393221:LML393244 LWH393221:LWH393244 MGD393221:MGD393244 MPZ393221:MPZ393244 MZV393221:MZV393244 NJR393221:NJR393244 NTN393221:NTN393244 ODJ393221:ODJ393244 ONF393221:ONF393244 OXB393221:OXB393244 PGX393221:PGX393244 PQT393221:PQT393244 QAP393221:QAP393244 QKL393221:QKL393244 QUH393221:QUH393244 RED393221:RED393244 RNZ393221:RNZ393244 RXV393221:RXV393244 SHR393221:SHR393244 SRN393221:SRN393244 TBJ393221:TBJ393244 TLF393221:TLF393244 TVB393221:TVB393244 UEX393221:UEX393244 UOT393221:UOT393244 UYP393221:UYP393244 VIL393221:VIL393244 VSH393221:VSH393244 WCD393221:WCD393244 WLZ393221:WLZ393244 WVV393221:WVV393244 U458757:U458780 JJ458757:JJ458780 TF458757:TF458780 ADB458757:ADB458780 AMX458757:AMX458780 AWT458757:AWT458780 BGP458757:BGP458780 BQL458757:BQL458780 CAH458757:CAH458780 CKD458757:CKD458780 CTZ458757:CTZ458780 DDV458757:DDV458780 DNR458757:DNR458780 DXN458757:DXN458780 EHJ458757:EHJ458780 ERF458757:ERF458780 FBB458757:FBB458780 FKX458757:FKX458780 FUT458757:FUT458780 GEP458757:GEP458780 GOL458757:GOL458780 GYH458757:GYH458780 HID458757:HID458780 HRZ458757:HRZ458780 IBV458757:IBV458780 ILR458757:ILR458780 IVN458757:IVN458780 JFJ458757:JFJ458780 JPF458757:JPF458780 JZB458757:JZB458780 KIX458757:KIX458780 KST458757:KST458780 LCP458757:LCP458780 LML458757:LML458780 LWH458757:LWH458780 MGD458757:MGD458780 MPZ458757:MPZ458780 MZV458757:MZV458780 NJR458757:NJR458780 NTN458757:NTN458780 ODJ458757:ODJ458780 ONF458757:ONF458780 OXB458757:OXB458780 PGX458757:PGX458780 PQT458757:PQT458780 QAP458757:QAP458780 QKL458757:QKL458780 QUH458757:QUH458780 RED458757:RED458780 RNZ458757:RNZ458780 RXV458757:RXV458780 SHR458757:SHR458780 SRN458757:SRN458780 TBJ458757:TBJ458780 TLF458757:TLF458780 TVB458757:TVB458780 UEX458757:UEX458780 UOT458757:UOT458780 UYP458757:UYP458780 VIL458757:VIL458780 VSH458757:VSH458780 WCD458757:WCD458780 WLZ458757:WLZ458780 WVV458757:WVV458780 U524293:U524316 JJ524293:JJ524316 TF524293:TF524316 ADB524293:ADB524316 AMX524293:AMX524316 AWT524293:AWT524316 BGP524293:BGP524316 BQL524293:BQL524316 CAH524293:CAH524316 CKD524293:CKD524316 CTZ524293:CTZ524316 DDV524293:DDV524316 DNR524293:DNR524316 DXN524293:DXN524316 EHJ524293:EHJ524316 ERF524293:ERF524316 FBB524293:FBB524316 FKX524293:FKX524316 FUT524293:FUT524316 GEP524293:GEP524316 GOL524293:GOL524316 GYH524293:GYH524316 HID524293:HID524316 HRZ524293:HRZ524316 IBV524293:IBV524316 ILR524293:ILR524316 IVN524293:IVN524316 JFJ524293:JFJ524316 JPF524293:JPF524316 JZB524293:JZB524316 KIX524293:KIX524316 KST524293:KST524316 LCP524293:LCP524316 LML524293:LML524316 LWH524293:LWH524316 MGD524293:MGD524316 MPZ524293:MPZ524316 MZV524293:MZV524316 NJR524293:NJR524316 NTN524293:NTN524316 ODJ524293:ODJ524316 ONF524293:ONF524316 OXB524293:OXB524316 PGX524293:PGX524316 PQT524293:PQT524316 QAP524293:QAP524316 QKL524293:QKL524316 QUH524293:QUH524316 RED524293:RED524316 RNZ524293:RNZ524316 RXV524293:RXV524316 SHR524293:SHR524316 SRN524293:SRN524316 TBJ524293:TBJ524316 TLF524293:TLF524316 TVB524293:TVB524316 UEX524293:UEX524316 UOT524293:UOT524316 UYP524293:UYP524316 VIL524293:VIL524316 VSH524293:VSH524316 WCD524293:WCD524316 WLZ524293:WLZ524316 WVV524293:WVV524316 U589829:U589852 JJ589829:JJ589852 TF589829:TF589852 ADB589829:ADB589852 AMX589829:AMX589852 AWT589829:AWT589852 BGP589829:BGP589852 BQL589829:BQL589852 CAH589829:CAH589852 CKD589829:CKD589852 CTZ589829:CTZ589852 DDV589829:DDV589852 DNR589829:DNR589852 DXN589829:DXN589852 EHJ589829:EHJ589852 ERF589829:ERF589852 FBB589829:FBB589852 FKX589829:FKX589852 FUT589829:FUT589852 GEP589829:GEP589852 GOL589829:GOL589852 GYH589829:GYH589852 HID589829:HID589852 HRZ589829:HRZ589852 IBV589829:IBV589852 ILR589829:ILR589852 IVN589829:IVN589852 JFJ589829:JFJ589852 JPF589829:JPF589852 JZB589829:JZB589852 KIX589829:KIX589852 KST589829:KST589852 LCP589829:LCP589852 LML589829:LML589852 LWH589829:LWH589852 MGD589829:MGD589852 MPZ589829:MPZ589852 MZV589829:MZV589852 NJR589829:NJR589852 NTN589829:NTN589852 ODJ589829:ODJ589852 ONF589829:ONF589852 OXB589829:OXB589852 PGX589829:PGX589852 PQT589829:PQT589852 QAP589829:QAP589852 QKL589829:QKL589852 QUH589829:QUH589852 RED589829:RED589852 RNZ589829:RNZ589852 RXV589829:RXV589852 SHR589829:SHR589852 SRN589829:SRN589852 TBJ589829:TBJ589852 TLF589829:TLF589852 TVB589829:TVB589852 UEX589829:UEX589852 UOT589829:UOT589852 UYP589829:UYP589852 VIL589829:VIL589852 VSH589829:VSH589852 WCD589829:WCD589852 WLZ589829:WLZ589852 WVV589829:WVV589852 U655365:U655388 JJ655365:JJ655388 TF655365:TF655388 ADB655365:ADB655388 AMX655365:AMX655388 AWT655365:AWT655388 BGP655365:BGP655388 BQL655365:BQL655388 CAH655365:CAH655388 CKD655365:CKD655388 CTZ655365:CTZ655388 DDV655365:DDV655388 DNR655365:DNR655388 DXN655365:DXN655388 EHJ655365:EHJ655388 ERF655365:ERF655388 FBB655365:FBB655388 FKX655365:FKX655388 FUT655365:FUT655388 GEP655365:GEP655388 GOL655365:GOL655388 GYH655365:GYH655388 HID655365:HID655388 HRZ655365:HRZ655388 IBV655365:IBV655388 ILR655365:ILR655388 IVN655365:IVN655388 JFJ655365:JFJ655388 JPF655365:JPF655388 JZB655365:JZB655388 KIX655365:KIX655388 KST655365:KST655388 LCP655365:LCP655388 LML655365:LML655388 LWH655365:LWH655388 MGD655365:MGD655388 MPZ655365:MPZ655388 MZV655365:MZV655388 NJR655365:NJR655388 NTN655365:NTN655388 ODJ655365:ODJ655388 ONF655365:ONF655388 OXB655365:OXB655388 PGX655365:PGX655388 PQT655365:PQT655388 QAP655365:QAP655388 QKL655365:QKL655388 QUH655365:QUH655388 RED655365:RED655388 RNZ655365:RNZ655388 RXV655365:RXV655388 SHR655365:SHR655388 SRN655365:SRN655388 TBJ655365:TBJ655388 TLF655365:TLF655388 TVB655365:TVB655388 UEX655365:UEX655388 UOT655365:UOT655388 UYP655365:UYP655388 VIL655365:VIL655388 VSH655365:VSH655388 WCD655365:WCD655388 WLZ655365:WLZ655388 WVV655365:WVV655388 U720901:U720924 JJ720901:JJ720924 TF720901:TF720924 ADB720901:ADB720924 AMX720901:AMX720924 AWT720901:AWT720924 BGP720901:BGP720924 BQL720901:BQL720924 CAH720901:CAH720924 CKD720901:CKD720924 CTZ720901:CTZ720924 DDV720901:DDV720924 DNR720901:DNR720924 DXN720901:DXN720924 EHJ720901:EHJ720924 ERF720901:ERF720924 FBB720901:FBB720924 FKX720901:FKX720924 FUT720901:FUT720924 GEP720901:GEP720924 GOL720901:GOL720924 GYH720901:GYH720924 HID720901:HID720924 HRZ720901:HRZ720924 IBV720901:IBV720924 ILR720901:ILR720924 IVN720901:IVN720924 JFJ720901:JFJ720924 JPF720901:JPF720924 JZB720901:JZB720924 KIX720901:KIX720924 KST720901:KST720924 LCP720901:LCP720924 LML720901:LML720924 LWH720901:LWH720924 MGD720901:MGD720924 MPZ720901:MPZ720924 MZV720901:MZV720924 NJR720901:NJR720924 NTN720901:NTN720924 ODJ720901:ODJ720924 ONF720901:ONF720924 OXB720901:OXB720924 PGX720901:PGX720924 PQT720901:PQT720924 QAP720901:QAP720924 QKL720901:QKL720924 QUH720901:QUH720924 RED720901:RED720924 RNZ720901:RNZ720924 RXV720901:RXV720924 SHR720901:SHR720924 SRN720901:SRN720924 TBJ720901:TBJ720924 TLF720901:TLF720924 TVB720901:TVB720924 UEX720901:UEX720924 UOT720901:UOT720924 UYP720901:UYP720924 VIL720901:VIL720924 VSH720901:VSH720924 WCD720901:WCD720924 WLZ720901:WLZ720924 WVV720901:WVV720924 U786437:U786460 JJ786437:JJ786460 TF786437:TF786460 ADB786437:ADB786460 AMX786437:AMX786460 AWT786437:AWT786460 BGP786437:BGP786460 BQL786437:BQL786460 CAH786437:CAH786460 CKD786437:CKD786460 CTZ786437:CTZ786460 DDV786437:DDV786460 DNR786437:DNR786460 DXN786437:DXN786460 EHJ786437:EHJ786460 ERF786437:ERF786460 FBB786437:FBB786460 FKX786437:FKX786460 FUT786437:FUT786460 GEP786437:GEP786460 GOL786437:GOL786460 GYH786437:GYH786460 HID786437:HID786460 HRZ786437:HRZ786460 IBV786437:IBV786460 ILR786437:ILR786460 IVN786437:IVN786460 JFJ786437:JFJ786460 JPF786437:JPF786460 JZB786437:JZB786460 KIX786437:KIX786460 KST786437:KST786460 LCP786437:LCP786460 LML786437:LML786460 LWH786437:LWH786460 MGD786437:MGD786460 MPZ786437:MPZ786460 MZV786437:MZV786460 NJR786437:NJR786460 NTN786437:NTN786460 ODJ786437:ODJ786460 ONF786437:ONF786460 OXB786437:OXB786460 PGX786437:PGX786460 PQT786437:PQT786460 QAP786437:QAP786460 QKL786437:QKL786460 QUH786437:QUH786460 RED786437:RED786460 RNZ786437:RNZ786460 RXV786437:RXV786460 SHR786437:SHR786460 SRN786437:SRN786460 TBJ786437:TBJ786460 TLF786437:TLF786460 TVB786437:TVB786460 UEX786437:UEX786460 UOT786437:UOT786460 UYP786437:UYP786460 VIL786437:VIL786460 VSH786437:VSH786460 WCD786437:WCD786460 WLZ786437:WLZ786460 WVV786437:WVV786460 U851973:U851996 JJ851973:JJ851996 TF851973:TF851996 ADB851973:ADB851996 AMX851973:AMX851996 AWT851973:AWT851996 BGP851973:BGP851996 BQL851973:BQL851996 CAH851973:CAH851996 CKD851973:CKD851996 CTZ851973:CTZ851996 DDV851973:DDV851996 DNR851973:DNR851996 DXN851973:DXN851996 EHJ851973:EHJ851996 ERF851973:ERF851996 FBB851973:FBB851996 FKX851973:FKX851996 FUT851973:FUT851996 GEP851973:GEP851996 GOL851973:GOL851996 GYH851973:GYH851996 HID851973:HID851996 HRZ851973:HRZ851996 IBV851973:IBV851996 ILR851973:ILR851996 IVN851973:IVN851996 JFJ851973:JFJ851996 JPF851973:JPF851996 JZB851973:JZB851996 KIX851973:KIX851996 KST851973:KST851996 LCP851973:LCP851996 LML851973:LML851996 LWH851973:LWH851996 MGD851973:MGD851996 MPZ851973:MPZ851996 MZV851973:MZV851996 NJR851973:NJR851996 NTN851973:NTN851996 ODJ851973:ODJ851996 ONF851973:ONF851996 OXB851973:OXB851996 PGX851973:PGX851996 PQT851973:PQT851996 QAP851973:QAP851996 QKL851973:QKL851996 QUH851973:QUH851996 RED851973:RED851996 RNZ851973:RNZ851996 RXV851973:RXV851996 SHR851973:SHR851996 SRN851973:SRN851996 TBJ851973:TBJ851996 TLF851973:TLF851996 TVB851973:TVB851996 UEX851973:UEX851996 UOT851973:UOT851996 UYP851973:UYP851996 VIL851973:VIL851996 VSH851973:VSH851996 WCD851973:WCD851996 WLZ851973:WLZ851996 WVV851973:WVV851996 U917509:U917532 JJ917509:JJ917532 TF917509:TF917532 ADB917509:ADB917532 AMX917509:AMX917532 AWT917509:AWT917532 BGP917509:BGP917532 BQL917509:BQL917532 CAH917509:CAH917532 CKD917509:CKD917532 CTZ917509:CTZ917532 DDV917509:DDV917532 DNR917509:DNR917532 DXN917509:DXN917532 EHJ917509:EHJ917532 ERF917509:ERF917532 FBB917509:FBB917532 FKX917509:FKX917532 FUT917509:FUT917532 GEP917509:GEP917532 GOL917509:GOL917532 GYH917509:GYH917532 HID917509:HID917532 HRZ917509:HRZ917532 IBV917509:IBV917532 ILR917509:ILR917532 IVN917509:IVN917532 JFJ917509:JFJ917532 JPF917509:JPF917532 JZB917509:JZB917532 KIX917509:KIX917532 KST917509:KST917532 LCP917509:LCP917532 LML917509:LML917532 LWH917509:LWH917532 MGD917509:MGD917532 MPZ917509:MPZ917532 MZV917509:MZV917532 NJR917509:NJR917532 NTN917509:NTN917532 ODJ917509:ODJ917532 ONF917509:ONF917532 OXB917509:OXB917532 PGX917509:PGX917532 PQT917509:PQT917532 QAP917509:QAP917532 QKL917509:QKL917532 QUH917509:QUH917532 RED917509:RED917532 RNZ917509:RNZ917532 RXV917509:RXV917532 SHR917509:SHR917532 SRN917509:SRN917532 TBJ917509:TBJ917532 TLF917509:TLF917532 TVB917509:TVB917532 UEX917509:UEX917532 UOT917509:UOT917532 UYP917509:UYP917532 VIL917509:VIL917532 VSH917509:VSH917532 WCD917509:WCD917532 WLZ917509:WLZ917532 WVV917509:WVV917532 U983045:U983068 JJ983045:JJ983068 TF983045:TF983068 ADB983045:ADB983068 AMX983045:AMX983068 AWT983045:AWT983068 BGP983045:BGP983068 BQL983045:BQL983068 CAH983045:CAH983068 CKD983045:CKD983068 CTZ983045:CTZ983068 DDV983045:DDV983068 DNR983045:DNR983068 DXN983045:DXN983068 EHJ983045:EHJ983068 ERF983045:ERF983068 FBB983045:FBB983068 FKX983045:FKX983068 FUT983045:FUT983068 GEP983045:GEP983068 GOL983045:GOL983068 GYH983045:GYH983068 HID983045:HID983068 HRZ983045:HRZ983068 IBV983045:IBV983068 ILR983045:ILR983068 IVN983045:IVN983068 JFJ983045:JFJ983068 JPF983045:JPF983068 JZB983045:JZB983068 KIX983045:KIX983068 KST983045:KST983068 LCP983045:LCP983068 LML983045:LML983068 LWH983045:LWH983068 MGD983045:MGD983068 MPZ983045:MPZ983068 MZV983045:MZV983068 NJR983045:NJR983068 NTN983045:NTN983068 ODJ983045:ODJ983068 ONF983045:ONF983068 OXB983045:OXB983068 PGX983045:PGX983068 PQT983045:PQT983068 QAP983045:QAP983068 QKL983045:QKL983068 QUH983045:QUH983068 RED983045:RED983068 RNZ983045:RNZ983068 RXV983045:RXV983068 SHR983045:SHR983068 SRN983045:SRN983068 TBJ983045:TBJ983068 TLF983045:TLF983068 TVB983045:TVB983068 UEX983045:UEX983068 UOT983045:UOT983068 UYP983045:UYP983068 VIL983045:VIL983068 VSH983045:VSH983068 WCD983045:WCD983068 WLZ983045:WLZ983068 WVV983045:WVV983068 JL65541:JL65564 TH65541:TH65564 ADD65541:ADD65564 AMZ65541:AMZ65564 AWV65541:AWV65564 BGR65541:BGR65564 BQN65541:BQN65564 CAJ65541:CAJ65564 CKF65541:CKF65564 CUB65541:CUB65564 DDX65541:DDX65564 DNT65541:DNT65564 DXP65541:DXP65564 EHL65541:EHL65564 ERH65541:ERH65564 FBD65541:FBD65564 FKZ65541:FKZ65564 FUV65541:FUV65564 GER65541:GER65564 GON65541:GON65564 GYJ65541:GYJ65564 HIF65541:HIF65564 HSB65541:HSB65564 IBX65541:IBX65564 ILT65541:ILT65564 IVP65541:IVP65564 JFL65541:JFL65564 JPH65541:JPH65564 JZD65541:JZD65564 KIZ65541:KIZ65564 KSV65541:KSV65564 LCR65541:LCR65564 LMN65541:LMN65564 LWJ65541:LWJ65564 MGF65541:MGF65564 MQB65541:MQB65564 MZX65541:MZX65564 NJT65541:NJT65564 NTP65541:NTP65564 ODL65541:ODL65564 ONH65541:ONH65564 OXD65541:OXD65564 PGZ65541:PGZ65564 PQV65541:PQV65564 QAR65541:QAR65564 QKN65541:QKN65564 QUJ65541:QUJ65564 REF65541:REF65564 ROB65541:ROB65564 RXX65541:RXX65564 SHT65541:SHT65564 SRP65541:SRP65564 TBL65541:TBL65564 TLH65541:TLH65564 TVD65541:TVD65564 UEZ65541:UEZ65564 UOV65541:UOV65564 UYR65541:UYR65564 VIN65541:VIN65564 VSJ65541:VSJ65564 WCF65541:WCF65564 WMB65541:WMB65564 WVX65541:WVX65564 JL131077:JL131100 TH131077:TH131100 ADD131077:ADD131100 AMZ131077:AMZ131100 AWV131077:AWV131100 BGR131077:BGR131100 BQN131077:BQN131100 CAJ131077:CAJ131100 CKF131077:CKF131100 CUB131077:CUB131100 DDX131077:DDX131100 DNT131077:DNT131100 DXP131077:DXP131100 EHL131077:EHL131100 ERH131077:ERH131100 FBD131077:FBD131100 FKZ131077:FKZ131100 FUV131077:FUV131100 GER131077:GER131100 GON131077:GON131100 GYJ131077:GYJ131100 HIF131077:HIF131100 HSB131077:HSB131100 IBX131077:IBX131100 ILT131077:ILT131100 IVP131077:IVP131100 JFL131077:JFL131100 JPH131077:JPH131100 JZD131077:JZD131100 KIZ131077:KIZ131100 KSV131077:KSV131100 LCR131077:LCR131100 LMN131077:LMN131100 LWJ131077:LWJ131100 MGF131077:MGF131100 MQB131077:MQB131100 MZX131077:MZX131100 NJT131077:NJT131100 NTP131077:NTP131100 ODL131077:ODL131100 ONH131077:ONH131100 OXD131077:OXD131100 PGZ131077:PGZ131100 PQV131077:PQV131100 QAR131077:QAR131100 QKN131077:QKN131100 QUJ131077:QUJ131100 REF131077:REF131100 ROB131077:ROB131100 RXX131077:RXX131100 SHT131077:SHT131100 SRP131077:SRP131100 TBL131077:TBL131100 TLH131077:TLH131100 TVD131077:TVD131100 UEZ131077:UEZ131100 UOV131077:UOV131100 UYR131077:UYR131100 VIN131077:VIN131100 VSJ131077:VSJ131100 WCF131077:WCF131100 WMB131077:WMB131100 WVX131077:WVX131100 JL196613:JL196636 TH196613:TH196636 ADD196613:ADD196636 AMZ196613:AMZ196636 AWV196613:AWV196636 BGR196613:BGR196636 BQN196613:BQN196636 CAJ196613:CAJ196636 CKF196613:CKF196636 CUB196613:CUB196636 DDX196613:DDX196636 DNT196613:DNT196636 DXP196613:DXP196636 EHL196613:EHL196636 ERH196613:ERH196636 FBD196613:FBD196636 FKZ196613:FKZ196636 FUV196613:FUV196636 GER196613:GER196636 GON196613:GON196636 GYJ196613:GYJ196636 HIF196613:HIF196636 HSB196613:HSB196636 IBX196613:IBX196636 ILT196613:ILT196636 IVP196613:IVP196636 JFL196613:JFL196636 JPH196613:JPH196636 JZD196613:JZD196636 KIZ196613:KIZ196636 KSV196613:KSV196636 LCR196613:LCR196636 LMN196613:LMN196636 LWJ196613:LWJ196636 MGF196613:MGF196636 MQB196613:MQB196636 MZX196613:MZX196636 NJT196613:NJT196636 NTP196613:NTP196636 ODL196613:ODL196636 ONH196613:ONH196636 OXD196613:OXD196636 PGZ196613:PGZ196636 PQV196613:PQV196636 QAR196613:QAR196636 QKN196613:QKN196636 QUJ196613:QUJ196636 REF196613:REF196636 ROB196613:ROB196636 RXX196613:RXX196636 SHT196613:SHT196636 SRP196613:SRP196636 TBL196613:TBL196636 TLH196613:TLH196636 TVD196613:TVD196636 UEZ196613:UEZ196636 UOV196613:UOV196636 UYR196613:UYR196636 VIN196613:VIN196636 VSJ196613:VSJ196636 WCF196613:WCF196636 WMB196613:WMB196636 WVX196613:WVX196636 JL262149:JL262172 TH262149:TH262172 ADD262149:ADD262172 AMZ262149:AMZ262172 AWV262149:AWV262172 BGR262149:BGR262172 BQN262149:BQN262172 CAJ262149:CAJ262172 CKF262149:CKF262172 CUB262149:CUB262172 DDX262149:DDX262172 DNT262149:DNT262172 DXP262149:DXP262172 EHL262149:EHL262172 ERH262149:ERH262172 FBD262149:FBD262172 FKZ262149:FKZ262172 FUV262149:FUV262172 GER262149:GER262172 GON262149:GON262172 GYJ262149:GYJ262172 HIF262149:HIF262172 HSB262149:HSB262172 IBX262149:IBX262172 ILT262149:ILT262172 IVP262149:IVP262172 JFL262149:JFL262172 JPH262149:JPH262172 JZD262149:JZD262172 KIZ262149:KIZ262172 KSV262149:KSV262172 LCR262149:LCR262172 LMN262149:LMN262172 LWJ262149:LWJ262172 MGF262149:MGF262172 MQB262149:MQB262172 MZX262149:MZX262172 NJT262149:NJT262172 NTP262149:NTP262172 ODL262149:ODL262172 ONH262149:ONH262172 OXD262149:OXD262172 PGZ262149:PGZ262172 PQV262149:PQV262172 QAR262149:QAR262172 QKN262149:QKN262172 QUJ262149:QUJ262172 REF262149:REF262172 ROB262149:ROB262172 RXX262149:RXX262172 SHT262149:SHT262172 SRP262149:SRP262172 TBL262149:TBL262172 TLH262149:TLH262172 TVD262149:TVD262172 UEZ262149:UEZ262172 UOV262149:UOV262172 UYR262149:UYR262172 VIN262149:VIN262172 VSJ262149:VSJ262172 WCF262149:WCF262172 WMB262149:WMB262172 WVX262149:WVX262172 JL327685:JL327708 TH327685:TH327708 ADD327685:ADD327708 AMZ327685:AMZ327708 AWV327685:AWV327708 BGR327685:BGR327708 BQN327685:BQN327708 CAJ327685:CAJ327708 CKF327685:CKF327708 CUB327685:CUB327708 DDX327685:DDX327708 DNT327685:DNT327708 DXP327685:DXP327708 EHL327685:EHL327708 ERH327685:ERH327708 FBD327685:FBD327708 FKZ327685:FKZ327708 FUV327685:FUV327708 GER327685:GER327708 GON327685:GON327708 GYJ327685:GYJ327708 HIF327685:HIF327708 HSB327685:HSB327708 IBX327685:IBX327708 ILT327685:ILT327708 IVP327685:IVP327708 JFL327685:JFL327708 JPH327685:JPH327708 JZD327685:JZD327708 KIZ327685:KIZ327708 KSV327685:KSV327708 LCR327685:LCR327708 LMN327685:LMN327708 LWJ327685:LWJ327708 MGF327685:MGF327708 MQB327685:MQB327708 MZX327685:MZX327708 NJT327685:NJT327708 NTP327685:NTP327708 ODL327685:ODL327708 ONH327685:ONH327708 OXD327685:OXD327708 PGZ327685:PGZ327708 PQV327685:PQV327708 QAR327685:QAR327708 QKN327685:QKN327708 QUJ327685:QUJ327708 REF327685:REF327708 ROB327685:ROB327708 RXX327685:RXX327708 SHT327685:SHT327708 SRP327685:SRP327708 TBL327685:TBL327708 TLH327685:TLH327708 TVD327685:TVD327708 UEZ327685:UEZ327708 UOV327685:UOV327708 UYR327685:UYR327708 VIN327685:VIN327708 VSJ327685:VSJ327708 WCF327685:WCF327708 WMB327685:WMB327708 WVX327685:WVX327708 JL393221:JL393244 TH393221:TH393244 ADD393221:ADD393244 AMZ393221:AMZ393244 AWV393221:AWV393244 BGR393221:BGR393244 BQN393221:BQN393244 CAJ393221:CAJ393244 CKF393221:CKF393244 CUB393221:CUB393244 DDX393221:DDX393244 DNT393221:DNT393244 DXP393221:DXP393244 EHL393221:EHL393244 ERH393221:ERH393244 FBD393221:FBD393244 FKZ393221:FKZ393244 FUV393221:FUV393244 GER393221:GER393244 GON393221:GON393244 GYJ393221:GYJ393244 HIF393221:HIF393244 HSB393221:HSB393244 IBX393221:IBX393244 ILT393221:ILT393244 IVP393221:IVP393244 JFL393221:JFL393244 JPH393221:JPH393244 JZD393221:JZD393244 KIZ393221:KIZ393244 KSV393221:KSV393244 LCR393221:LCR393244 LMN393221:LMN393244 LWJ393221:LWJ393244 MGF393221:MGF393244 MQB393221:MQB393244 MZX393221:MZX393244 NJT393221:NJT393244 NTP393221:NTP393244 ODL393221:ODL393244 ONH393221:ONH393244 OXD393221:OXD393244 PGZ393221:PGZ393244 PQV393221:PQV393244 QAR393221:QAR393244 QKN393221:QKN393244 QUJ393221:QUJ393244 REF393221:REF393244 ROB393221:ROB393244 RXX393221:RXX393244 SHT393221:SHT393244 SRP393221:SRP393244 TBL393221:TBL393244 TLH393221:TLH393244 TVD393221:TVD393244 UEZ393221:UEZ393244 UOV393221:UOV393244 UYR393221:UYR393244 VIN393221:VIN393244 VSJ393221:VSJ393244 WCF393221:WCF393244 WMB393221:WMB393244 WVX393221:WVX393244 JL458757:JL458780 TH458757:TH458780 ADD458757:ADD458780 AMZ458757:AMZ458780 AWV458757:AWV458780 BGR458757:BGR458780 BQN458757:BQN458780 CAJ458757:CAJ458780 CKF458757:CKF458780 CUB458757:CUB458780 DDX458757:DDX458780 DNT458757:DNT458780 DXP458757:DXP458780 EHL458757:EHL458780 ERH458757:ERH458780 FBD458757:FBD458780 FKZ458757:FKZ458780 FUV458757:FUV458780 GER458757:GER458780 GON458757:GON458780 GYJ458757:GYJ458780 HIF458757:HIF458780 HSB458757:HSB458780 IBX458757:IBX458780 ILT458757:ILT458780 IVP458757:IVP458780 JFL458757:JFL458780 JPH458757:JPH458780 JZD458757:JZD458780 KIZ458757:KIZ458780 KSV458757:KSV458780 LCR458757:LCR458780 LMN458757:LMN458780 LWJ458757:LWJ458780 MGF458757:MGF458780 MQB458757:MQB458780 MZX458757:MZX458780 NJT458757:NJT458780 NTP458757:NTP458780 ODL458757:ODL458780 ONH458757:ONH458780 OXD458757:OXD458780 PGZ458757:PGZ458780 PQV458757:PQV458780 QAR458757:QAR458780 QKN458757:QKN458780 QUJ458757:QUJ458780 REF458757:REF458780 ROB458757:ROB458780 RXX458757:RXX458780 SHT458757:SHT458780 SRP458757:SRP458780 TBL458757:TBL458780 TLH458757:TLH458780 TVD458757:TVD458780 UEZ458757:UEZ458780 UOV458757:UOV458780 UYR458757:UYR458780 VIN458757:VIN458780 VSJ458757:VSJ458780 WCF458757:WCF458780 WMB458757:WMB458780 WVX458757:WVX458780 JL524293:JL524316 TH524293:TH524316 ADD524293:ADD524316 AMZ524293:AMZ524316 AWV524293:AWV524316 BGR524293:BGR524316 BQN524293:BQN524316 CAJ524293:CAJ524316 CKF524293:CKF524316 CUB524293:CUB524316 DDX524293:DDX524316 DNT524293:DNT524316 DXP524293:DXP524316 EHL524293:EHL524316 ERH524293:ERH524316 FBD524293:FBD524316 FKZ524293:FKZ524316 FUV524293:FUV524316 GER524293:GER524316 GON524293:GON524316 GYJ524293:GYJ524316 HIF524293:HIF524316 HSB524293:HSB524316 IBX524293:IBX524316 ILT524293:ILT524316 IVP524293:IVP524316 JFL524293:JFL524316 JPH524293:JPH524316 JZD524293:JZD524316 KIZ524293:KIZ524316 KSV524293:KSV524316 LCR524293:LCR524316 LMN524293:LMN524316 LWJ524293:LWJ524316 MGF524293:MGF524316 MQB524293:MQB524316 MZX524293:MZX524316 NJT524293:NJT524316 NTP524293:NTP524316 ODL524293:ODL524316 ONH524293:ONH524316 OXD524293:OXD524316 PGZ524293:PGZ524316 PQV524293:PQV524316 QAR524293:QAR524316 QKN524293:QKN524316 QUJ524293:QUJ524316 REF524293:REF524316 ROB524293:ROB524316 RXX524293:RXX524316 SHT524293:SHT524316 SRP524293:SRP524316 TBL524293:TBL524316 TLH524293:TLH524316 TVD524293:TVD524316 UEZ524293:UEZ524316 UOV524293:UOV524316 UYR524293:UYR524316 VIN524293:VIN524316 VSJ524293:VSJ524316 WCF524293:WCF524316 WMB524293:WMB524316 WVX524293:WVX524316 JL589829:JL589852 TH589829:TH589852 ADD589829:ADD589852 AMZ589829:AMZ589852 AWV589829:AWV589852 BGR589829:BGR589852 BQN589829:BQN589852 CAJ589829:CAJ589852 CKF589829:CKF589852 CUB589829:CUB589852 DDX589829:DDX589852 DNT589829:DNT589852 DXP589829:DXP589852 EHL589829:EHL589852 ERH589829:ERH589852 FBD589829:FBD589852 FKZ589829:FKZ589852 FUV589829:FUV589852 GER589829:GER589852 GON589829:GON589852 GYJ589829:GYJ589852 HIF589829:HIF589852 HSB589829:HSB589852 IBX589829:IBX589852 ILT589829:ILT589852 IVP589829:IVP589852 JFL589829:JFL589852 JPH589829:JPH589852 JZD589829:JZD589852 KIZ589829:KIZ589852 KSV589829:KSV589852 LCR589829:LCR589852 LMN589829:LMN589852 LWJ589829:LWJ589852 MGF589829:MGF589852 MQB589829:MQB589852 MZX589829:MZX589852 NJT589829:NJT589852 NTP589829:NTP589852 ODL589829:ODL589852 ONH589829:ONH589852 OXD589829:OXD589852 PGZ589829:PGZ589852 PQV589829:PQV589852 QAR589829:QAR589852 QKN589829:QKN589852 QUJ589829:QUJ589852 REF589829:REF589852 ROB589829:ROB589852 RXX589829:RXX589852 SHT589829:SHT589852 SRP589829:SRP589852 TBL589829:TBL589852 TLH589829:TLH589852 TVD589829:TVD589852 UEZ589829:UEZ589852 UOV589829:UOV589852 UYR589829:UYR589852 VIN589829:VIN589852 VSJ589829:VSJ589852 WCF589829:WCF589852 WMB589829:WMB589852 WVX589829:WVX589852 JL655365:JL655388 TH655365:TH655388 ADD655365:ADD655388 AMZ655365:AMZ655388 AWV655365:AWV655388 BGR655365:BGR655388 BQN655365:BQN655388 CAJ655365:CAJ655388 CKF655365:CKF655388 CUB655365:CUB655388 DDX655365:DDX655388 DNT655365:DNT655388 DXP655365:DXP655388 EHL655365:EHL655388 ERH655365:ERH655388 FBD655365:FBD655388 FKZ655365:FKZ655388 FUV655365:FUV655388 GER655365:GER655388 GON655365:GON655388 GYJ655365:GYJ655388 HIF655365:HIF655388 HSB655365:HSB655388 IBX655365:IBX655388 ILT655365:ILT655388 IVP655365:IVP655388 JFL655365:JFL655388 JPH655365:JPH655388 JZD655365:JZD655388 KIZ655365:KIZ655388 KSV655365:KSV655388 LCR655365:LCR655388 LMN655365:LMN655388 LWJ655365:LWJ655388 MGF655365:MGF655388 MQB655365:MQB655388 MZX655365:MZX655388 NJT655365:NJT655388 NTP655365:NTP655388 ODL655365:ODL655388 ONH655365:ONH655388 OXD655365:OXD655388 PGZ655365:PGZ655388 PQV655365:PQV655388 QAR655365:QAR655388 QKN655365:QKN655388 QUJ655365:QUJ655388 REF655365:REF655388 ROB655365:ROB655388 RXX655365:RXX655388 SHT655365:SHT655388 SRP655365:SRP655388 TBL655365:TBL655388 TLH655365:TLH655388 TVD655365:TVD655388 UEZ655365:UEZ655388 UOV655365:UOV655388 UYR655365:UYR655388 VIN655365:VIN655388 VSJ655365:VSJ655388 WCF655365:WCF655388 WMB655365:WMB655388 WVX655365:WVX655388 JL720901:JL720924 TH720901:TH720924 ADD720901:ADD720924 AMZ720901:AMZ720924 AWV720901:AWV720924 BGR720901:BGR720924 BQN720901:BQN720924 CAJ720901:CAJ720924 CKF720901:CKF720924 CUB720901:CUB720924 DDX720901:DDX720924 DNT720901:DNT720924 DXP720901:DXP720924 EHL720901:EHL720924 ERH720901:ERH720924 FBD720901:FBD720924 FKZ720901:FKZ720924 FUV720901:FUV720924 GER720901:GER720924 GON720901:GON720924 GYJ720901:GYJ720924 HIF720901:HIF720924 HSB720901:HSB720924 IBX720901:IBX720924 ILT720901:ILT720924 IVP720901:IVP720924 JFL720901:JFL720924 JPH720901:JPH720924 JZD720901:JZD720924 KIZ720901:KIZ720924 KSV720901:KSV720924 LCR720901:LCR720924 LMN720901:LMN720924 LWJ720901:LWJ720924 MGF720901:MGF720924 MQB720901:MQB720924 MZX720901:MZX720924 NJT720901:NJT720924 NTP720901:NTP720924 ODL720901:ODL720924 ONH720901:ONH720924 OXD720901:OXD720924 PGZ720901:PGZ720924 PQV720901:PQV720924 QAR720901:QAR720924 QKN720901:QKN720924 QUJ720901:QUJ720924 REF720901:REF720924 ROB720901:ROB720924 RXX720901:RXX720924 SHT720901:SHT720924 SRP720901:SRP720924 TBL720901:TBL720924 TLH720901:TLH720924 TVD720901:TVD720924 UEZ720901:UEZ720924 UOV720901:UOV720924 UYR720901:UYR720924 VIN720901:VIN720924 VSJ720901:VSJ720924 WCF720901:WCF720924 WMB720901:WMB720924 WVX720901:WVX720924 JL786437:JL786460 TH786437:TH786460 ADD786437:ADD786460 AMZ786437:AMZ786460 AWV786437:AWV786460 BGR786437:BGR786460 BQN786437:BQN786460 CAJ786437:CAJ786460 CKF786437:CKF786460 CUB786437:CUB786460 DDX786437:DDX786460 DNT786437:DNT786460 DXP786437:DXP786460 EHL786437:EHL786460 ERH786437:ERH786460 FBD786437:FBD786460 FKZ786437:FKZ786460 FUV786437:FUV786460 GER786437:GER786460 GON786437:GON786460 GYJ786437:GYJ786460 HIF786437:HIF786460 HSB786437:HSB786460 IBX786437:IBX786460 ILT786437:ILT786460 IVP786437:IVP786460 JFL786437:JFL786460 JPH786437:JPH786460 JZD786437:JZD786460 KIZ786437:KIZ786460 KSV786437:KSV786460 LCR786437:LCR786460 LMN786437:LMN786460 LWJ786437:LWJ786460 MGF786437:MGF786460 MQB786437:MQB786460 MZX786437:MZX786460 NJT786437:NJT786460 NTP786437:NTP786460 ODL786437:ODL786460 ONH786437:ONH786460 OXD786437:OXD786460 PGZ786437:PGZ786460 PQV786437:PQV786460 QAR786437:QAR786460 QKN786437:QKN786460 QUJ786437:QUJ786460 REF786437:REF786460 ROB786437:ROB786460 RXX786437:RXX786460 SHT786437:SHT786460 SRP786437:SRP786460 TBL786437:TBL786460 TLH786437:TLH786460 TVD786437:TVD786460 UEZ786437:UEZ786460 UOV786437:UOV786460 UYR786437:UYR786460 VIN786437:VIN786460 VSJ786437:VSJ786460 WCF786437:WCF786460 WMB786437:WMB786460 WVX786437:WVX786460 JL851973:JL851996 TH851973:TH851996 ADD851973:ADD851996 AMZ851973:AMZ851996 AWV851973:AWV851996 BGR851973:BGR851996 BQN851973:BQN851996 CAJ851973:CAJ851996 CKF851973:CKF851996 CUB851973:CUB851996 DDX851973:DDX851996 DNT851973:DNT851996 DXP851973:DXP851996 EHL851973:EHL851996 ERH851973:ERH851996 FBD851973:FBD851996 FKZ851973:FKZ851996 FUV851973:FUV851996 GER851973:GER851996 GON851973:GON851996 GYJ851973:GYJ851996 HIF851973:HIF851996 HSB851973:HSB851996 IBX851973:IBX851996 ILT851973:ILT851996 IVP851973:IVP851996 JFL851973:JFL851996 JPH851973:JPH851996 JZD851973:JZD851996 KIZ851973:KIZ851996 KSV851973:KSV851996 LCR851973:LCR851996 LMN851973:LMN851996 LWJ851973:LWJ851996 MGF851973:MGF851996 MQB851973:MQB851996 MZX851973:MZX851996 NJT851973:NJT851996 NTP851973:NTP851996 ODL851973:ODL851996 ONH851973:ONH851996 OXD851973:OXD851996 PGZ851973:PGZ851996 PQV851973:PQV851996 QAR851973:QAR851996 QKN851973:QKN851996 QUJ851973:QUJ851996 REF851973:REF851996 ROB851973:ROB851996 RXX851973:RXX851996 SHT851973:SHT851996 SRP851973:SRP851996 TBL851973:TBL851996 TLH851973:TLH851996 TVD851973:TVD851996 UEZ851973:UEZ851996 UOV851973:UOV851996 UYR851973:UYR851996 VIN851973:VIN851996 VSJ851973:VSJ851996 WCF851973:WCF851996 WMB851973:WMB851996 WVX851973:WVX851996 JL917509:JL917532 TH917509:TH917532 ADD917509:ADD917532 AMZ917509:AMZ917532 AWV917509:AWV917532 BGR917509:BGR917532 BQN917509:BQN917532 CAJ917509:CAJ917532 CKF917509:CKF917532 CUB917509:CUB917532 DDX917509:DDX917532 DNT917509:DNT917532 DXP917509:DXP917532 EHL917509:EHL917532 ERH917509:ERH917532 FBD917509:FBD917532 FKZ917509:FKZ917532 FUV917509:FUV917532 GER917509:GER917532 GON917509:GON917532 GYJ917509:GYJ917532 HIF917509:HIF917532 HSB917509:HSB917532 IBX917509:IBX917532 ILT917509:ILT917532 IVP917509:IVP917532 JFL917509:JFL917532 JPH917509:JPH917532 JZD917509:JZD917532 KIZ917509:KIZ917532 KSV917509:KSV917532 LCR917509:LCR917532 LMN917509:LMN917532 LWJ917509:LWJ917532 MGF917509:MGF917532 MQB917509:MQB917532 MZX917509:MZX917532 NJT917509:NJT917532 NTP917509:NTP917532 ODL917509:ODL917532 ONH917509:ONH917532 OXD917509:OXD917532 PGZ917509:PGZ917532 PQV917509:PQV917532 QAR917509:QAR917532 QKN917509:QKN917532 QUJ917509:QUJ917532 REF917509:REF917532 ROB917509:ROB917532 RXX917509:RXX917532 SHT917509:SHT917532 SRP917509:SRP917532 TBL917509:TBL917532 TLH917509:TLH917532 TVD917509:TVD917532 UEZ917509:UEZ917532 UOV917509:UOV917532 UYR917509:UYR917532 VIN917509:VIN917532 VSJ917509:VSJ917532 WCF917509:WCF917532 WMB917509:WMB917532 WVX917509:WVX917532 JL983045:JL983068 TH983045:TH983068 ADD983045:ADD983068 AMZ983045:AMZ983068 AWV983045:AWV983068 BGR983045:BGR983068 BQN983045:BQN983068 CAJ983045:CAJ983068 CKF983045:CKF983068 CUB983045:CUB983068 DDX983045:DDX983068 DNT983045:DNT983068 DXP983045:DXP983068 EHL983045:EHL983068 ERH983045:ERH983068 FBD983045:FBD983068 FKZ983045:FKZ983068 FUV983045:FUV983068 GER983045:GER983068 GON983045:GON983068 GYJ983045:GYJ983068 HIF983045:HIF983068 HSB983045:HSB983068 IBX983045:IBX983068 ILT983045:ILT983068 IVP983045:IVP983068 JFL983045:JFL983068 JPH983045:JPH983068 JZD983045:JZD983068 KIZ983045:KIZ983068 KSV983045:KSV983068 LCR983045:LCR983068 LMN983045:LMN983068 LWJ983045:LWJ983068 MGF983045:MGF983068 MQB983045:MQB983068 MZX983045:MZX983068 NJT983045:NJT983068 NTP983045:NTP983068 ODL983045:ODL983068 ONH983045:ONH983068 OXD983045:OXD983068 PGZ983045:PGZ983068 PQV983045:PQV983068 QAR983045:QAR983068 QKN983045:QKN983068 QUJ983045:QUJ983068 REF983045:REF983068 ROB983045:ROB983068 RXX983045:RXX983068 SHT983045:SHT983068 SRP983045:SRP983068 TBL983045:TBL983068 TLH983045:TLH983068 TVD983045:TVD983068 UEZ983045:UEZ983068 UOV983045:UOV983068 UYR983045:UYR983068 VIN983045:VIN983068 VSJ983045:VSJ983068 WCF983045:WCF983068 WMB983045:WMB983068 WVI11:WVI25 WLM11:WLM25 WBQ11:WBQ25 VRU11:VRU25 VHY11:VHY25 UYC11:UYC25 UOG11:UOG25 UEK11:UEK25 TUO11:TUO25 TKS11:TKS25 TAW11:TAW25 SRA11:SRA25 SHE11:SHE25 RXI11:RXI25 RNM11:RNM25 RDQ11:RDQ25 QTU11:QTU25 QJY11:QJY25 QAC11:QAC25 PQG11:PQG25 PGK11:PGK25 OWO11:OWO25 OMS11:OMS25 OCW11:OCW25 NTA11:NTA25 NJE11:NJE25 MZI11:MZI25 MPM11:MPM25 MFQ11:MFQ25 LVU11:LVU25 LLY11:LLY25 LCC11:LCC25 KSG11:KSG25 KIK11:KIK25 JYO11:JYO25 JOS11:JOS25 JEW11:JEW25 IVA11:IVA25 ILE11:ILE25 IBI11:IBI25 HRM11:HRM25 HHQ11:HHQ25 GXU11:GXU25 GNY11:GNY25 GEC11:GEC25 FUG11:FUG25 FKK11:FKK25 FAO11:FAO25 EQS11:EQS25 EGW11:EGW25 DXA11:DXA25 DNE11:DNE25 DDI11:DDI25 CTM11:CTM25 CJQ11:CJQ25 BZU11:BZU25 BPY11:BPY25 BGC11:BGC25 AWG11:AWG25 AMK11:AMK25 ACO11:ACO25 SS11:SS25 IW11:IW25 WVG11:WVG25 WLK11:WLK25 WBO11:WBO25 VRS11:VRS25 VHW11:VHW25 UYA11:UYA25 UOE11:UOE25 UEI11:UEI25 TUM11:TUM25 TKQ11:TKQ25 TAU11:TAU25 SQY11:SQY25 SHC11:SHC25 RXG11:RXG25 RNK11:RNK25 RDO11:RDO25 QTS11:QTS25 QJW11:QJW25 QAA11:QAA25 PQE11:PQE25 PGI11:PGI25 OWM11:OWM25 OMQ11:OMQ25 OCU11:OCU25 NSY11:NSY25 NJC11:NJC25 MZG11:MZG25 MPK11:MPK25 MFO11:MFO25 LVS11:LVS25 LLW11:LLW25 LCA11:LCA25 KSE11:KSE25 KII11:KII25 JYM11:JYM25 JOQ11:JOQ25 JEU11:JEU25 IUY11:IUY25 ILC11:ILC25 IBG11:IBG25 HRK11:HRK25 HHO11:HHO25 GXS11:GXS25 GNW11:GNW25 GEA11:GEA25 FUE11:FUE25 FKI11:FKI25 FAM11:FAM25 EQQ11:EQQ25 EGU11:EGU25 DWY11:DWY25 DNC11:DNC25 DDG11:DDG25 CTK11:CTK25 CJO11:CJO25 BZS11:BZS25 BPW11:BPW25 BGA11:BGA25 AWE11:AWE25 AMI11:AMI25 ACM11:ACM25 SQ11:SQ25 IU11:IU25 W11:W29 U11:U29" xr:uid="{00000000-0002-0000-0500-000001000000}">
      <formula1>"1,2,3,4"</formula1>
    </dataValidation>
  </dataValidations>
  <pageMargins left="0" right="0" top="0.39370078740157483" bottom="0.59055118110236227" header="0.51181102362204722" footer="0.39370078740157483"/>
  <pageSetup paperSize="9" scale="82" fitToHeight="0" orientation="landscape" r:id="rId1"/>
  <headerFooter alignWithMargins="0">
    <oddFooter>第 &amp;P 頁，共 &amp;N 頁</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7">
    <tabColor rgb="FFFF0000"/>
    <pageSetUpPr fitToPage="1"/>
  </sheetPr>
  <dimension ref="A1:Z34"/>
  <sheetViews>
    <sheetView topLeftCell="M4" zoomScale="97" zoomScaleNormal="97" workbookViewId="0">
      <selection activeCell="P11" sqref="P11:S11"/>
    </sheetView>
  </sheetViews>
  <sheetFormatPr defaultRowHeight="15.5"/>
  <cols>
    <col min="1" max="1" width="7.90625" style="34" hidden="1" customWidth="1"/>
    <col min="2" max="2" width="11.90625" style="34" hidden="1" customWidth="1"/>
    <col min="3" max="4" width="9.90625" style="34" hidden="1" customWidth="1"/>
    <col min="5" max="5" width="5.90625" style="34" hidden="1" customWidth="1"/>
    <col min="6" max="6" width="7.90625" style="34" hidden="1" customWidth="1"/>
    <col min="7" max="7" width="3.08984375" style="34" hidden="1" customWidth="1"/>
    <col min="8" max="8" width="2.36328125" style="34" hidden="1" customWidth="1"/>
    <col min="9" max="9" width="3.08984375" style="34" hidden="1" customWidth="1"/>
    <col min="10" max="10" width="5.36328125" style="34" hidden="1" customWidth="1"/>
    <col min="11" max="11" width="9.90625" style="34" hidden="1" customWidth="1"/>
    <col min="12" max="12" width="5.90625" style="34" hidden="1" customWidth="1"/>
    <col min="13" max="13" width="21.08984375" style="6" customWidth="1"/>
    <col min="14" max="14" width="8.90625" style="6" customWidth="1"/>
    <col min="15" max="15" width="11.453125" style="6" customWidth="1"/>
    <col min="16" max="16" width="8.90625" style="6" customWidth="1"/>
    <col min="17" max="17" width="8.90625" style="35" customWidth="1"/>
    <col min="18" max="18" width="16.90625" style="6" customWidth="1"/>
    <col min="19" max="19" width="16.90625" style="35" customWidth="1"/>
    <col min="20" max="20" width="10" style="6" customWidth="1"/>
    <col min="21" max="21" width="10" style="35" customWidth="1"/>
    <col min="22" max="22" width="17.6328125" style="6" customWidth="1"/>
    <col min="23" max="23" width="10" style="6" customWidth="1"/>
    <col min="24" max="24" width="17.6328125" style="6" customWidth="1"/>
    <col min="25" max="25" width="10" style="6" customWidth="1"/>
    <col min="26" max="26" width="5.90625" style="6" customWidth="1"/>
    <col min="27" max="261" width="9" style="6"/>
    <col min="262" max="262" width="16.36328125" style="6" customWidth="1"/>
    <col min="263" max="263" width="9" style="6"/>
    <col min="264" max="264" width="11.453125" style="6" customWidth="1"/>
    <col min="265" max="266" width="9" style="6"/>
    <col min="267" max="267" width="23" style="6" bestFit="1" customWidth="1"/>
    <col min="268" max="268" width="10" style="6" customWidth="1"/>
    <col min="269" max="269" width="6.36328125" style="6" bestFit="1" customWidth="1"/>
    <col min="270" max="270" width="7.36328125" style="6" bestFit="1" customWidth="1"/>
    <col min="271" max="271" width="16.6328125" style="6" customWidth="1"/>
    <col min="272" max="272" width="7.36328125" style="6" bestFit="1" customWidth="1"/>
    <col min="273" max="273" width="16.6328125" style="6" customWidth="1"/>
    <col min="274" max="517" width="9" style="6"/>
    <col min="518" max="518" width="16.36328125" style="6" customWidth="1"/>
    <col min="519" max="519" width="9" style="6"/>
    <col min="520" max="520" width="11.453125" style="6" customWidth="1"/>
    <col min="521" max="522" width="9" style="6"/>
    <col min="523" max="523" width="23" style="6" bestFit="1" customWidth="1"/>
    <col min="524" max="524" width="10" style="6" customWidth="1"/>
    <col min="525" max="525" width="6.36328125" style="6" bestFit="1" customWidth="1"/>
    <col min="526" max="526" width="7.36328125" style="6" bestFit="1" customWidth="1"/>
    <col min="527" max="527" width="16.6328125" style="6" customWidth="1"/>
    <col min="528" max="528" width="7.36328125" style="6" bestFit="1" customWidth="1"/>
    <col min="529" max="529" width="16.6328125" style="6" customWidth="1"/>
    <col min="530" max="773" width="9" style="6"/>
    <col min="774" max="774" width="16.36328125" style="6" customWidth="1"/>
    <col min="775" max="775" width="9" style="6"/>
    <col min="776" max="776" width="11.453125" style="6" customWidth="1"/>
    <col min="777" max="778" width="9" style="6"/>
    <col min="779" max="779" width="23" style="6" bestFit="1" customWidth="1"/>
    <col min="780" max="780" width="10" style="6" customWidth="1"/>
    <col min="781" max="781" width="6.36328125" style="6" bestFit="1" customWidth="1"/>
    <col min="782" max="782" width="7.36328125" style="6" bestFit="1" customWidth="1"/>
    <col min="783" max="783" width="16.6328125" style="6" customWidth="1"/>
    <col min="784" max="784" width="7.36328125" style="6" bestFit="1" customWidth="1"/>
    <col min="785" max="785" width="16.6328125" style="6" customWidth="1"/>
    <col min="786" max="1029" width="9" style="6"/>
    <col min="1030" max="1030" width="16.36328125" style="6" customWidth="1"/>
    <col min="1031" max="1031" width="9" style="6"/>
    <col min="1032" max="1032" width="11.453125" style="6" customWidth="1"/>
    <col min="1033" max="1034" width="9" style="6"/>
    <col min="1035" max="1035" width="23" style="6" bestFit="1" customWidth="1"/>
    <col min="1036" max="1036" width="10" style="6" customWidth="1"/>
    <col min="1037" max="1037" width="6.36328125" style="6" bestFit="1" customWidth="1"/>
    <col min="1038" max="1038" width="7.36328125" style="6" bestFit="1" customWidth="1"/>
    <col min="1039" max="1039" width="16.6328125" style="6" customWidth="1"/>
    <col min="1040" max="1040" width="7.36328125" style="6" bestFit="1" customWidth="1"/>
    <col min="1041" max="1041" width="16.6328125" style="6" customWidth="1"/>
    <col min="1042" max="1285" width="9" style="6"/>
    <col min="1286" max="1286" width="16.36328125" style="6" customWidth="1"/>
    <col min="1287" max="1287" width="9" style="6"/>
    <col min="1288" max="1288" width="11.453125" style="6" customWidth="1"/>
    <col min="1289" max="1290" width="9" style="6"/>
    <col min="1291" max="1291" width="23" style="6" bestFit="1" customWidth="1"/>
    <col min="1292" max="1292" width="10" style="6" customWidth="1"/>
    <col min="1293" max="1293" width="6.36328125" style="6" bestFit="1" customWidth="1"/>
    <col min="1294" max="1294" width="7.36328125" style="6" bestFit="1" customWidth="1"/>
    <col min="1295" max="1295" width="16.6328125" style="6" customWidth="1"/>
    <col min="1296" max="1296" width="7.36328125" style="6" bestFit="1" customWidth="1"/>
    <col min="1297" max="1297" width="16.6328125" style="6" customWidth="1"/>
    <col min="1298" max="1541" width="9" style="6"/>
    <col min="1542" max="1542" width="16.36328125" style="6" customWidth="1"/>
    <col min="1543" max="1543" width="9" style="6"/>
    <col min="1544" max="1544" width="11.453125" style="6" customWidth="1"/>
    <col min="1545" max="1546" width="9" style="6"/>
    <col min="1547" max="1547" width="23" style="6" bestFit="1" customWidth="1"/>
    <col min="1548" max="1548" width="10" style="6" customWidth="1"/>
    <col min="1549" max="1549" width="6.36328125" style="6" bestFit="1" customWidth="1"/>
    <col min="1550" max="1550" width="7.36328125" style="6" bestFit="1" customWidth="1"/>
    <col min="1551" max="1551" width="16.6328125" style="6" customWidth="1"/>
    <col min="1552" max="1552" width="7.36328125" style="6" bestFit="1" customWidth="1"/>
    <col min="1553" max="1553" width="16.6328125" style="6" customWidth="1"/>
    <col min="1554" max="1797" width="9" style="6"/>
    <col min="1798" max="1798" width="16.36328125" style="6" customWidth="1"/>
    <col min="1799" max="1799" width="9" style="6"/>
    <col min="1800" max="1800" width="11.453125" style="6" customWidth="1"/>
    <col min="1801" max="1802" width="9" style="6"/>
    <col min="1803" max="1803" width="23" style="6" bestFit="1" customWidth="1"/>
    <col min="1804" max="1804" width="10" style="6" customWidth="1"/>
    <col min="1805" max="1805" width="6.36328125" style="6" bestFit="1" customWidth="1"/>
    <col min="1806" max="1806" width="7.36328125" style="6" bestFit="1" customWidth="1"/>
    <col min="1807" max="1807" width="16.6328125" style="6" customWidth="1"/>
    <col min="1808" max="1808" width="7.36328125" style="6" bestFit="1" customWidth="1"/>
    <col min="1809" max="1809" width="16.6328125" style="6" customWidth="1"/>
    <col min="1810" max="2053" width="9" style="6"/>
    <col min="2054" max="2054" width="16.36328125" style="6" customWidth="1"/>
    <col min="2055" max="2055" width="9" style="6"/>
    <col min="2056" max="2056" width="11.453125" style="6" customWidth="1"/>
    <col min="2057" max="2058" width="9" style="6"/>
    <col min="2059" max="2059" width="23" style="6" bestFit="1" customWidth="1"/>
    <col min="2060" max="2060" width="10" style="6" customWidth="1"/>
    <col min="2061" max="2061" width="6.36328125" style="6" bestFit="1" customWidth="1"/>
    <col min="2062" max="2062" width="7.36328125" style="6" bestFit="1" customWidth="1"/>
    <col min="2063" max="2063" width="16.6328125" style="6" customWidth="1"/>
    <col min="2064" max="2064" width="7.36328125" style="6" bestFit="1" customWidth="1"/>
    <col min="2065" max="2065" width="16.6328125" style="6" customWidth="1"/>
    <col min="2066" max="2309" width="9" style="6"/>
    <col min="2310" max="2310" width="16.36328125" style="6" customWidth="1"/>
    <col min="2311" max="2311" width="9" style="6"/>
    <col min="2312" max="2312" width="11.453125" style="6" customWidth="1"/>
    <col min="2313" max="2314" width="9" style="6"/>
    <col min="2315" max="2315" width="23" style="6" bestFit="1" customWidth="1"/>
    <col min="2316" max="2316" width="10" style="6" customWidth="1"/>
    <col min="2317" max="2317" width="6.36328125" style="6" bestFit="1" customWidth="1"/>
    <col min="2318" max="2318" width="7.36328125" style="6" bestFit="1" customWidth="1"/>
    <col min="2319" max="2319" width="16.6328125" style="6" customWidth="1"/>
    <col min="2320" max="2320" width="7.36328125" style="6" bestFit="1" customWidth="1"/>
    <col min="2321" max="2321" width="16.6328125" style="6" customWidth="1"/>
    <col min="2322" max="2565" width="9" style="6"/>
    <col min="2566" max="2566" width="16.36328125" style="6" customWidth="1"/>
    <col min="2567" max="2567" width="9" style="6"/>
    <col min="2568" max="2568" width="11.453125" style="6" customWidth="1"/>
    <col min="2569" max="2570" width="9" style="6"/>
    <col min="2571" max="2571" width="23" style="6" bestFit="1" customWidth="1"/>
    <col min="2572" max="2572" width="10" style="6" customWidth="1"/>
    <col min="2573" max="2573" width="6.36328125" style="6" bestFit="1" customWidth="1"/>
    <col min="2574" max="2574" width="7.36328125" style="6" bestFit="1" customWidth="1"/>
    <col min="2575" max="2575" width="16.6328125" style="6" customWidth="1"/>
    <col min="2576" max="2576" width="7.36328125" style="6" bestFit="1" customWidth="1"/>
    <col min="2577" max="2577" width="16.6328125" style="6" customWidth="1"/>
    <col min="2578" max="2821" width="9" style="6"/>
    <col min="2822" max="2822" width="16.36328125" style="6" customWidth="1"/>
    <col min="2823" max="2823" width="9" style="6"/>
    <col min="2824" max="2824" width="11.453125" style="6" customWidth="1"/>
    <col min="2825" max="2826" width="9" style="6"/>
    <col min="2827" max="2827" width="23" style="6" bestFit="1" customWidth="1"/>
    <col min="2828" max="2828" width="10" style="6" customWidth="1"/>
    <col min="2829" max="2829" width="6.36328125" style="6" bestFit="1" customWidth="1"/>
    <col min="2830" max="2830" width="7.36328125" style="6" bestFit="1" customWidth="1"/>
    <col min="2831" max="2831" width="16.6328125" style="6" customWidth="1"/>
    <col min="2832" max="2832" width="7.36328125" style="6" bestFit="1" customWidth="1"/>
    <col min="2833" max="2833" width="16.6328125" style="6" customWidth="1"/>
    <col min="2834" max="3077" width="9" style="6"/>
    <col min="3078" max="3078" width="16.36328125" style="6" customWidth="1"/>
    <col min="3079" max="3079" width="9" style="6"/>
    <col min="3080" max="3080" width="11.453125" style="6" customWidth="1"/>
    <col min="3081" max="3082" width="9" style="6"/>
    <col min="3083" max="3083" width="23" style="6" bestFit="1" customWidth="1"/>
    <col min="3084" max="3084" width="10" style="6" customWidth="1"/>
    <col min="3085" max="3085" width="6.36328125" style="6" bestFit="1" customWidth="1"/>
    <col min="3086" max="3086" width="7.36328125" style="6" bestFit="1" customWidth="1"/>
    <col min="3087" max="3087" width="16.6328125" style="6" customWidth="1"/>
    <col min="3088" max="3088" width="7.36328125" style="6" bestFit="1" customWidth="1"/>
    <col min="3089" max="3089" width="16.6328125" style="6" customWidth="1"/>
    <col min="3090" max="3333" width="9" style="6"/>
    <col min="3334" max="3334" width="16.36328125" style="6" customWidth="1"/>
    <col min="3335" max="3335" width="9" style="6"/>
    <col min="3336" max="3336" width="11.453125" style="6" customWidth="1"/>
    <col min="3337" max="3338" width="9" style="6"/>
    <col min="3339" max="3339" width="23" style="6" bestFit="1" customWidth="1"/>
    <col min="3340" max="3340" width="10" style="6" customWidth="1"/>
    <col min="3341" max="3341" width="6.36328125" style="6" bestFit="1" customWidth="1"/>
    <col min="3342" max="3342" width="7.36328125" style="6" bestFit="1" customWidth="1"/>
    <col min="3343" max="3343" width="16.6328125" style="6" customWidth="1"/>
    <col min="3344" max="3344" width="7.36328125" style="6" bestFit="1" customWidth="1"/>
    <col min="3345" max="3345" width="16.6328125" style="6" customWidth="1"/>
    <col min="3346" max="3589" width="9" style="6"/>
    <col min="3590" max="3590" width="16.36328125" style="6" customWidth="1"/>
    <col min="3591" max="3591" width="9" style="6"/>
    <col min="3592" max="3592" width="11.453125" style="6" customWidth="1"/>
    <col min="3593" max="3594" width="9" style="6"/>
    <col min="3595" max="3595" width="23" style="6" bestFit="1" customWidth="1"/>
    <col min="3596" max="3596" width="10" style="6" customWidth="1"/>
    <col min="3597" max="3597" width="6.36328125" style="6" bestFit="1" customWidth="1"/>
    <col min="3598" max="3598" width="7.36328125" style="6" bestFit="1" customWidth="1"/>
    <col min="3599" max="3599" width="16.6328125" style="6" customWidth="1"/>
    <col min="3600" max="3600" width="7.36328125" style="6" bestFit="1" customWidth="1"/>
    <col min="3601" max="3601" width="16.6328125" style="6" customWidth="1"/>
    <col min="3602" max="3845" width="9" style="6"/>
    <col min="3846" max="3846" width="16.36328125" style="6" customWidth="1"/>
    <col min="3847" max="3847" width="9" style="6"/>
    <col min="3848" max="3848" width="11.453125" style="6" customWidth="1"/>
    <col min="3849" max="3850" width="9" style="6"/>
    <col min="3851" max="3851" width="23" style="6" bestFit="1" customWidth="1"/>
    <col min="3852" max="3852" width="10" style="6" customWidth="1"/>
    <col min="3853" max="3853" width="6.36328125" style="6" bestFit="1" customWidth="1"/>
    <col min="3854" max="3854" width="7.36328125" style="6" bestFit="1" customWidth="1"/>
    <col min="3855" max="3855" width="16.6328125" style="6" customWidth="1"/>
    <col min="3856" max="3856" width="7.36328125" style="6" bestFit="1" customWidth="1"/>
    <col min="3857" max="3857" width="16.6328125" style="6" customWidth="1"/>
    <col min="3858" max="4101" width="9" style="6"/>
    <col min="4102" max="4102" width="16.36328125" style="6" customWidth="1"/>
    <col min="4103" max="4103" width="9" style="6"/>
    <col min="4104" max="4104" width="11.453125" style="6" customWidth="1"/>
    <col min="4105" max="4106" width="9" style="6"/>
    <col min="4107" max="4107" width="23" style="6" bestFit="1" customWidth="1"/>
    <col min="4108" max="4108" width="10" style="6" customWidth="1"/>
    <col min="4109" max="4109" width="6.36328125" style="6" bestFit="1" customWidth="1"/>
    <col min="4110" max="4110" width="7.36328125" style="6" bestFit="1" customWidth="1"/>
    <col min="4111" max="4111" width="16.6328125" style="6" customWidth="1"/>
    <col min="4112" max="4112" width="7.36328125" style="6" bestFit="1" customWidth="1"/>
    <col min="4113" max="4113" width="16.6328125" style="6" customWidth="1"/>
    <col min="4114" max="4357" width="9" style="6"/>
    <col min="4358" max="4358" width="16.36328125" style="6" customWidth="1"/>
    <col min="4359" max="4359" width="9" style="6"/>
    <col min="4360" max="4360" width="11.453125" style="6" customWidth="1"/>
    <col min="4361" max="4362" width="9" style="6"/>
    <col min="4363" max="4363" width="23" style="6" bestFit="1" customWidth="1"/>
    <col min="4364" max="4364" width="10" style="6" customWidth="1"/>
    <col min="4365" max="4365" width="6.36328125" style="6" bestFit="1" customWidth="1"/>
    <col min="4366" max="4366" width="7.36328125" style="6" bestFit="1" customWidth="1"/>
    <col min="4367" max="4367" width="16.6328125" style="6" customWidth="1"/>
    <col min="4368" max="4368" width="7.36328125" style="6" bestFit="1" customWidth="1"/>
    <col min="4369" max="4369" width="16.6328125" style="6" customWidth="1"/>
    <col min="4370" max="4613" width="9" style="6"/>
    <col min="4614" max="4614" width="16.36328125" style="6" customWidth="1"/>
    <col min="4615" max="4615" width="9" style="6"/>
    <col min="4616" max="4616" width="11.453125" style="6" customWidth="1"/>
    <col min="4617" max="4618" width="9" style="6"/>
    <col min="4619" max="4619" width="23" style="6" bestFit="1" customWidth="1"/>
    <col min="4620" max="4620" width="10" style="6" customWidth="1"/>
    <col min="4621" max="4621" width="6.36328125" style="6" bestFit="1" customWidth="1"/>
    <col min="4622" max="4622" width="7.36328125" style="6" bestFit="1" customWidth="1"/>
    <col min="4623" max="4623" width="16.6328125" style="6" customWidth="1"/>
    <col min="4624" max="4624" width="7.36328125" style="6" bestFit="1" customWidth="1"/>
    <col min="4625" max="4625" width="16.6328125" style="6" customWidth="1"/>
    <col min="4626" max="4869" width="9" style="6"/>
    <col min="4870" max="4870" width="16.36328125" style="6" customWidth="1"/>
    <col min="4871" max="4871" width="9" style="6"/>
    <col min="4872" max="4872" width="11.453125" style="6" customWidth="1"/>
    <col min="4873" max="4874" width="9" style="6"/>
    <col min="4875" max="4875" width="23" style="6" bestFit="1" customWidth="1"/>
    <col min="4876" max="4876" width="10" style="6" customWidth="1"/>
    <col min="4877" max="4877" width="6.36328125" style="6" bestFit="1" customWidth="1"/>
    <col min="4878" max="4878" width="7.36328125" style="6" bestFit="1" customWidth="1"/>
    <col min="4879" max="4879" width="16.6328125" style="6" customWidth="1"/>
    <col min="4880" max="4880" width="7.36328125" style="6" bestFit="1" customWidth="1"/>
    <col min="4881" max="4881" width="16.6328125" style="6" customWidth="1"/>
    <col min="4882" max="5125" width="9" style="6"/>
    <col min="5126" max="5126" width="16.36328125" style="6" customWidth="1"/>
    <col min="5127" max="5127" width="9" style="6"/>
    <col min="5128" max="5128" width="11.453125" style="6" customWidth="1"/>
    <col min="5129" max="5130" width="9" style="6"/>
    <col min="5131" max="5131" width="23" style="6" bestFit="1" customWidth="1"/>
    <col min="5132" max="5132" width="10" style="6" customWidth="1"/>
    <col min="5133" max="5133" width="6.36328125" style="6" bestFit="1" customWidth="1"/>
    <col min="5134" max="5134" width="7.36328125" style="6" bestFit="1" customWidth="1"/>
    <col min="5135" max="5135" width="16.6328125" style="6" customWidth="1"/>
    <col min="5136" max="5136" width="7.36328125" style="6" bestFit="1" customWidth="1"/>
    <col min="5137" max="5137" width="16.6328125" style="6" customWidth="1"/>
    <col min="5138" max="5381" width="9" style="6"/>
    <col min="5382" max="5382" width="16.36328125" style="6" customWidth="1"/>
    <col min="5383" max="5383" width="9" style="6"/>
    <col min="5384" max="5384" width="11.453125" style="6" customWidth="1"/>
    <col min="5385" max="5386" width="9" style="6"/>
    <col min="5387" max="5387" width="23" style="6" bestFit="1" customWidth="1"/>
    <col min="5388" max="5388" width="10" style="6" customWidth="1"/>
    <col min="5389" max="5389" width="6.36328125" style="6" bestFit="1" customWidth="1"/>
    <col min="5390" max="5390" width="7.36328125" style="6" bestFit="1" customWidth="1"/>
    <col min="5391" max="5391" width="16.6328125" style="6" customWidth="1"/>
    <col min="5392" max="5392" width="7.36328125" style="6" bestFit="1" customWidth="1"/>
    <col min="5393" max="5393" width="16.6328125" style="6" customWidth="1"/>
    <col min="5394" max="5637" width="9" style="6"/>
    <col min="5638" max="5638" width="16.36328125" style="6" customWidth="1"/>
    <col min="5639" max="5639" width="9" style="6"/>
    <col min="5640" max="5640" width="11.453125" style="6" customWidth="1"/>
    <col min="5641" max="5642" width="9" style="6"/>
    <col min="5643" max="5643" width="23" style="6" bestFit="1" customWidth="1"/>
    <col min="5644" max="5644" width="10" style="6" customWidth="1"/>
    <col min="5645" max="5645" width="6.36328125" style="6" bestFit="1" customWidth="1"/>
    <col min="5646" max="5646" width="7.36328125" style="6" bestFit="1" customWidth="1"/>
    <col min="5647" max="5647" width="16.6328125" style="6" customWidth="1"/>
    <col min="5648" max="5648" width="7.36328125" style="6" bestFit="1" customWidth="1"/>
    <col min="5649" max="5649" width="16.6328125" style="6" customWidth="1"/>
    <col min="5650" max="5893" width="9" style="6"/>
    <col min="5894" max="5894" width="16.36328125" style="6" customWidth="1"/>
    <col min="5895" max="5895" width="9" style="6"/>
    <col min="5896" max="5896" width="11.453125" style="6" customWidth="1"/>
    <col min="5897" max="5898" width="9" style="6"/>
    <col min="5899" max="5899" width="23" style="6" bestFit="1" customWidth="1"/>
    <col min="5900" max="5900" width="10" style="6" customWidth="1"/>
    <col min="5901" max="5901" width="6.36328125" style="6" bestFit="1" customWidth="1"/>
    <col min="5902" max="5902" width="7.36328125" style="6" bestFit="1" customWidth="1"/>
    <col min="5903" max="5903" width="16.6328125" style="6" customWidth="1"/>
    <col min="5904" max="5904" width="7.36328125" style="6" bestFit="1" customWidth="1"/>
    <col min="5905" max="5905" width="16.6328125" style="6" customWidth="1"/>
    <col min="5906" max="6149" width="9" style="6"/>
    <col min="6150" max="6150" width="16.36328125" style="6" customWidth="1"/>
    <col min="6151" max="6151" width="9" style="6"/>
    <col min="6152" max="6152" width="11.453125" style="6" customWidth="1"/>
    <col min="6153" max="6154" width="9" style="6"/>
    <col min="6155" max="6155" width="23" style="6" bestFit="1" customWidth="1"/>
    <col min="6156" max="6156" width="10" style="6" customWidth="1"/>
    <col min="6157" max="6157" width="6.36328125" style="6" bestFit="1" customWidth="1"/>
    <col min="6158" max="6158" width="7.36328125" style="6" bestFit="1" customWidth="1"/>
    <col min="6159" max="6159" width="16.6328125" style="6" customWidth="1"/>
    <col min="6160" max="6160" width="7.36328125" style="6" bestFit="1" customWidth="1"/>
    <col min="6161" max="6161" width="16.6328125" style="6" customWidth="1"/>
    <col min="6162" max="6405" width="9" style="6"/>
    <col min="6406" max="6406" width="16.36328125" style="6" customWidth="1"/>
    <col min="6407" max="6407" width="9" style="6"/>
    <col min="6408" max="6408" width="11.453125" style="6" customWidth="1"/>
    <col min="6409" max="6410" width="9" style="6"/>
    <col min="6411" max="6411" width="23" style="6" bestFit="1" customWidth="1"/>
    <col min="6412" max="6412" width="10" style="6" customWidth="1"/>
    <col min="6413" max="6413" width="6.36328125" style="6" bestFit="1" customWidth="1"/>
    <col min="6414" max="6414" width="7.36328125" style="6" bestFit="1" customWidth="1"/>
    <col min="6415" max="6415" width="16.6328125" style="6" customWidth="1"/>
    <col min="6416" max="6416" width="7.36328125" style="6" bestFit="1" customWidth="1"/>
    <col min="6417" max="6417" width="16.6328125" style="6" customWidth="1"/>
    <col min="6418" max="6661" width="9" style="6"/>
    <col min="6662" max="6662" width="16.36328125" style="6" customWidth="1"/>
    <col min="6663" max="6663" width="9" style="6"/>
    <col min="6664" max="6664" width="11.453125" style="6" customWidth="1"/>
    <col min="6665" max="6666" width="9" style="6"/>
    <col min="6667" max="6667" width="23" style="6" bestFit="1" customWidth="1"/>
    <col min="6668" max="6668" width="10" style="6" customWidth="1"/>
    <col min="6669" max="6669" width="6.36328125" style="6" bestFit="1" customWidth="1"/>
    <col min="6670" max="6670" width="7.36328125" style="6" bestFit="1" customWidth="1"/>
    <col min="6671" max="6671" width="16.6328125" style="6" customWidth="1"/>
    <col min="6672" max="6672" width="7.36328125" style="6" bestFit="1" customWidth="1"/>
    <col min="6673" max="6673" width="16.6328125" style="6" customWidth="1"/>
    <col min="6674" max="6917" width="9" style="6"/>
    <col min="6918" max="6918" width="16.36328125" style="6" customWidth="1"/>
    <col min="6919" max="6919" width="9" style="6"/>
    <col min="6920" max="6920" width="11.453125" style="6" customWidth="1"/>
    <col min="6921" max="6922" width="9" style="6"/>
    <col min="6923" max="6923" width="23" style="6" bestFit="1" customWidth="1"/>
    <col min="6924" max="6924" width="10" style="6" customWidth="1"/>
    <col min="6925" max="6925" width="6.36328125" style="6" bestFit="1" customWidth="1"/>
    <col min="6926" max="6926" width="7.36328125" style="6" bestFit="1" customWidth="1"/>
    <col min="6927" max="6927" width="16.6328125" style="6" customWidth="1"/>
    <col min="6928" max="6928" width="7.36328125" style="6" bestFit="1" customWidth="1"/>
    <col min="6929" max="6929" width="16.6328125" style="6" customWidth="1"/>
    <col min="6930" max="7173" width="9" style="6"/>
    <col min="7174" max="7174" width="16.36328125" style="6" customWidth="1"/>
    <col min="7175" max="7175" width="9" style="6"/>
    <col min="7176" max="7176" width="11.453125" style="6" customWidth="1"/>
    <col min="7177" max="7178" width="9" style="6"/>
    <col min="7179" max="7179" width="23" style="6" bestFit="1" customWidth="1"/>
    <col min="7180" max="7180" width="10" style="6" customWidth="1"/>
    <col min="7181" max="7181" width="6.36328125" style="6" bestFit="1" customWidth="1"/>
    <col min="7182" max="7182" width="7.36328125" style="6" bestFit="1" customWidth="1"/>
    <col min="7183" max="7183" width="16.6328125" style="6" customWidth="1"/>
    <col min="7184" max="7184" width="7.36328125" style="6" bestFit="1" customWidth="1"/>
    <col min="7185" max="7185" width="16.6328125" style="6" customWidth="1"/>
    <col min="7186" max="7429" width="9" style="6"/>
    <col min="7430" max="7430" width="16.36328125" style="6" customWidth="1"/>
    <col min="7431" max="7431" width="9" style="6"/>
    <col min="7432" max="7432" width="11.453125" style="6" customWidth="1"/>
    <col min="7433" max="7434" width="9" style="6"/>
    <col min="7435" max="7435" width="23" style="6" bestFit="1" customWidth="1"/>
    <col min="7436" max="7436" width="10" style="6" customWidth="1"/>
    <col min="7437" max="7437" width="6.36328125" style="6" bestFit="1" customWidth="1"/>
    <col min="7438" max="7438" width="7.36328125" style="6" bestFit="1" customWidth="1"/>
    <col min="7439" max="7439" width="16.6328125" style="6" customWidth="1"/>
    <col min="7440" max="7440" width="7.36328125" style="6" bestFit="1" customWidth="1"/>
    <col min="7441" max="7441" width="16.6328125" style="6" customWidth="1"/>
    <col min="7442" max="7685" width="9" style="6"/>
    <col min="7686" max="7686" width="16.36328125" style="6" customWidth="1"/>
    <col min="7687" max="7687" width="9" style="6"/>
    <col min="7688" max="7688" width="11.453125" style="6" customWidth="1"/>
    <col min="7689" max="7690" width="9" style="6"/>
    <col min="7691" max="7691" width="23" style="6" bestFit="1" customWidth="1"/>
    <col min="7692" max="7692" width="10" style="6" customWidth="1"/>
    <col min="7693" max="7693" width="6.36328125" style="6" bestFit="1" customWidth="1"/>
    <col min="7694" max="7694" width="7.36328125" style="6" bestFit="1" customWidth="1"/>
    <col min="7695" max="7695" width="16.6328125" style="6" customWidth="1"/>
    <col min="7696" max="7696" width="7.36328125" style="6" bestFit="1" customWidth="1"/>
    <col min="7697" max="7697" width="16.6328125" style="6" customWidth="1"/>
    <col min="7698" max="7941" width="9" style="6"/>
    <col min="7942" max="7942" width="16.36328125" style="6" customWidth="1"/>
    <col min="7943" max="7943" width="9" style="6"/>
    <col min="7944" max="7944" width="11.453125" style="6" customWidth="1"/>
    <col min="7945" max="7946" width="9" style="6"/>
    <col min="7947" max="7947" width="23" style="6" bestFit="1" customWidth="1"/>
    <col min="7948" max="7948" width="10" style="6" customWidth="1"/>
    <col min="7949" max="7949" width="6.36328125" style="6" bestFit="1" customWidth="1"/>
    <col min="7950" max="7950" width="7.36328125" style="6" bestFit="1" customWidth="1"/>
    <col min="7951" max="7951" width="16.6328125" style="6" customWidth="1"/>
    <col min="7952" max="7952" width="7.36328125" style="6" bestFit="1" customWidth="1"/>
    <col min="7953" max="7953" width="16.6328125" style="6" customWidth="1"/>
    <col min="7954" max="8197" width="9" style="6"/>
    <col min="8198" max="8198" width="16.36328125" style="6" customWidth="1"/>
    <col min="8199" max="8199" width="9" style="6"/>
    <col min="8200" max="8200" width="11.453125" style="6" customWidth="1"/>
    <col min="8201" max="8202" width="9" style="6"/>
    <col min="8203" max="8203" width="23" style="6" bestFit="1" customWidth="1"/>
    <col min="8204" max="8204" width="10" style="6" customWidth="1"/>
    <col min="8205" max="8205" width="6.36328125" style="6" bestFit="1" customWidth="1"/>
    <col min="8206" max="8206" width="7.36328125" style="6" bestFit="1" customWidth="1"/>
    <col min="8207" max="8207" width="16.6328125" style="6" customWidth="1"/>
    <col min="8208" max="8208" width="7.36328125" style="6" bestFit="1" customWidth="1"/>
    <col min="8209" max="8209" width="16.6328125" style="6" customWidth="1"/>
    <col min="8210" max="8453" width="9" style="6"/>
    <col min="8454" max="8454" width="16.36328125" style="6" customWidth="1"/>
    <col min="8455" max="8455" width="9" style="6"/>
    <col min="8456" max="8456" width="11.453125" style="6" customWidth="1"/>
    <col min="8457" max="8458" width="9" style="6"/>
    <col min="8459" max="8459" width="23" style="6" bestFit="1" customWidth="1"/>
    <col min="8460" max="8460" width="10" style="6" customWidth="1"/>
    <col min="8461" max="8461" width="6.36328125" style="6" bestFit="1" customWidth="1"/>
    <col min="8462" max="8462" width="7.36328125" style="6" bestFit="1" customWidth="1"/>
    <col min="8463" max="8463" width="16.6328125" style="6" customWidth="1"/>
    <col min="8464" max="8464" width="7.36328125" style="6" bestFit="1" customWidth="1"/>
    <col min="8465" max="8465" width="16.6328125" style="6" customWidth="1"/>
    <col min="8466" max="8709" width="9" style="6"/>
    <col min="8710" max="8710" width="16.36328125" style="6" customWidth="1"/>
    <col min="8711" max="8711" width="9" style="6"/>
    <col min="8712" max="8712" width="11.453125" style="6" customWidth="1"/>
    <col min="8713" max="8714" width="9" style="6"/>
    <col min="8715" max="8715" width="23" style="6" bestFit="1" customWidth="1"/>
    <col min="8716" max="8716" width="10" style="6" customWidth="1"/>
    <col min="8717" max="8717" width="6.36328125" style="6" bestFit="1" customWidth="1"/>
    <col min="8718" max="8718" width="7.36328125" style="6" bestFit="1" customWidth="1"/>
    <col min="8719" max="8719" width="16.6328125" style="6" customWidth="1"/>
    <col min="8720" max="8720" width="7.36328125" style="6" bestFit="1" customWidth="1"/>
    <col min="8721" max="8721" width="16.6328125" style="6" customWidth="1"/>
    <col min="8722" max="8965" width="9" style="6"/>
    <col min="8966" max="8966" width="16.36328125" style="6" customWidth="1"/>
    <col min="8967" max="8967" width="9" style="6"/>
    <col min="8968" max="8968" width="11.453125" style="6" customWidth="1"/>
    <col min="8969" max="8970" width="9" style="6"/>
    <col min="8971" max="8971" width="23" style="6" bestFit="1" customWidth="1"/>
    <col min="8972" max="8972" width="10" style="6" customWidth="1"/>
    <col min="8973" max="8973" width="6.36328125" style="6" bestFit="1" customWidth="1"/>
    <col min="8974" max="8974" width="7.36328125" style="6" bestFit="1" customWidth="1"/>
    <col min="8975" max="8975" width="16.6328125" style="6" customWidth="1"/>
    <col min="8976" max="8976" width="7.36328125" style="6" bestFit="1" customWidth="1"/>
    <col min="8977" max="8977" width="16.6328125" style="6" customWidth="1"/>
    <col min="8978" max="9221" width="9" style="6"/>
    <col min="9222" max="9222" width="16.36328125" style="6" customWidth="1"/>
    <col min="9223" max="9223" width="9" style="6"/>
    <col min="9224" max="9224" width="11.453125" style="6" customWidth="1"/>
    <col min="9225" max="9226" width="9" style="6"/>
    <col min="9227" max="9227" width="23" style="6" bestFit="1" customWidth="1"/>
    <col min="9228" max="9228" width="10" style="6" customWidth="1"/>
    <col min="9229" max="9229" width="6.36328125" style="6" bestFit="1" customWidth="1"/>
    <col min="9230" max="9230" width="7.36328125" style="6" bestFit="1" customWidth="1"/>
    <col min="9231" max="9231" width="16.6328125" style="6" customWidth="1"/>
    <col min="9232" max="9232" width="7.36328125" style="6" bestFit="1" customWidth="1"/>
    <col min="9233" max="9233" width="16.6328125" style="6" customWidth="1"/>
    <col min="9234" max="9477" width="9" style="6"/>
    <col min="9478" max="9478" width="16.36328125" style="6" customWidth="1"/>
    <col min="9479" max="9479" width="9" style="6"/>
    <col min="9480" max="9480" width="11.453125" style="6" customWidth="1"/>
    <col min="9481" max="9482" width="9" style="6"/>
    <col min="9483" max="9483" width="23" style="6" bestFit="1" customWidth="1"/>
    <col min="9484" max="9484" width="10" style="6" customWidth="1"/>
    <col min="9485" max="9485" width="6.36328125" style="6" bestFit="1" customWidth="1"/>
    <col min="9486" max="9486" width="7.36328125" style="6" bestFit="1" customWidth="1"/>
    <col min="9487" max="9487" width="16.6328125" style="6" customWidth="1"/>
    <col min="9488" max="9488" width="7.36328125" style="6" bestFit="1" customWidth="1"/>
    <col min="9489" max="9489" width="16.6328125" style="6" customWidth="1"/>
    <col min="9490" max="9733" width="9" style="6"/>
    <col min="9734" max="9734" width="16.36328125" style="6" customWidth="1"/>
    <col min="9735" max="9735" width="9" style="6"/>
    <col min="9736" max="9736" width="11.453125" style="6" customWidth="1"/>
    <col min="9737" max="9738" width="9" style="6"/>
    <col min="9739" max="9739" width="23" style="6" bestFit="1" customWidth="1"/>
    <col min="9740" max="9740" width="10" style="6" customWidth="1"/>
    <col min="9741" max="9741" width="6.36328125" style="6" bestFit="1" customWidth="1"/>
    <col min="9742" max="9742" width="7.36328125" style="6" bestFit="1" customWidth="1"/>
    <col min="9743" max="9743" width="16.6328125" style="6" customWidth="1"/>
    <col min="9744" max="9744" width="7.36328125" style="6" bestFit="1" customWidth="1"/>
    <col min="9745" max="9745" width="16.6328125" style="6" customWidth="1"/>
    <col min="9746" max="9989" width="9" style="6"/>
    <col min="9990" max="9990" width="16.36328125" style="6" customWidth="1"/>
    <col min="9991" max="9991" width="9" style="6"/>
    <col min="9992" max="9992" width="11.453125" style="6" customWidth="1"/>
    <col min="9993" max="9994" width="9" style="6"/>
    <col min="9995" max="9995" width="23" style="6" bestFit="1" customWidth="1"/>
    <col min="9996" max="9996" width="10" style="6" customWidth="1"/>
    <col min="9997" max="9997" width="6.36328125" style="6" bestFit="1" customWidth="1"/>
    <col min="9998" max="9998" width="7.36328125" style="6" bestFit="1" customWidth="1"/>
    <col min="9999" max="9999" width="16.6328125" style="6" customWidth="1"/>
    <col min="10000" max="10000" width="7.36328125" style="6" bestFit="1" customWidth="1"/>
    <col min="10001" max="10001" width="16.6328125" style="6" customWidth="1"/>
    <col min="10002" max="10245" width="9" style="6"/>
    <col min="10246" max="10246" width="16.36328125" style="6" customWidth="1"/>
    <col min="10247" max="10247" width="9" style="6"/>
    <col min="10248" max="10248" width="11.453125" style="6" customWidth="1"/>
    <col min="10249" max="10250" width="9" style="6"/>
    <col min="10251" max="10251" width="23" style="6" bestFit="1" customWidth="1"/>
    <col min="10252" max="10252" width="10" style="6" customWidth="1"/>
    <col min="10253" max="10253" width="6.36328125" style="6" bestFit="1" customWidth="1"/>
    <col min="10254" max="10254" width="7.36328125" style="6" bestFit="1" customWidth="1"/>
    <col min="10255" max="10255" width="16.6328125" style="6" customWidth="1"/>
    <col min="10256" max="10256" width="7.36328125" style="6" bestFit="1" customWidth="1"/>
    <col min="10257" max="10257" width="16.6328125" style="6" customWidth="1"/>
    <col min="10258" max="10501" width="9" style="6"/>
    <col min="10502" max="10502" width="16.36328125" style="6" customWidth="1"/>
    <col min="10503" max="10503" width="9" style="6"/>
    <col min="10504" max="10504" width="11.453125" style="6" customWidth="1"/>
    <col min="10505" max="10506" width="9" style="6"/>
    <col min="10507" max="10507" width="23" style="6" bestFit="1" customWidth="1"/>
    <col min="10508" max="10508" width="10" style="6" customWidth="1"/>
    <col min="10509" max="10509" width="6.36328125" style="6" bestFit="1" customWidth="1"/>
    <col min="10510" max="10510" width="7.36328125" style="6" bestFit="1" customWidth="1"/>
    <col min="10511" max="10511" width="16.6328125" style="6" customWidth="1"/>
    <col min="10512" max="10512" width="7.36328125" style="6" bestFit="1" customWidth="1"/>
    <col min="10513" max="10513" width="16.6328125" style="6" customWidth="1"/>
    <col min="10514" max="10757" width="9" style="6"/>
    <col min="10758" max="10758" width="16.36328125" style="6" customWidth="1"/>
    <col min="10759" max="10759" width="9" style="6"/>
    <col min="10760" max="10760" width="11.453125" style="6" customWidth="1"/>
    <col min="10761" max="10762" width="9" style="6"/>
    <col min="10763" max="10763" width="23" style="6" bestFit="1" customWidth="1"/>
    <col min="10764" max="10764" width="10" style="6" customWidth="1"/>
    <col min="10765" max="10765" width="6.36328125" style="6" bestFit="1" customWidth="1"/>
    <col min="10766" max="10766" width="7.36328125" style="6" bestFit="1" customWidth="1"/>
    <col min="10767" max="10767" width="16.6328125" style="6" customWidth="1"/>
    <col min="10768" max="10768" width="7.36328125" style="6" bestFit="1" customWidth="1"/>
    <col min="10769" max="10769" width="16.6328125" style="6" customWidth="1"/>
    <col min="10770" max="11013" width="9" style="6"/>
    <col min="11014" max="11014" width="16.36328125" style="6" customWidth="1"/>
    <col min="11015" max="11015" width="9" style="6"/>
    <col min="11016" max="11016" width="11.453125" style="6" customWidth="1"/>
    <col min="11017" max="11018" width="9" style="6"/>
    <col min="11019" max="11019" width="23" style="6" bestFit="1" customWidth="1"/>
    <col min="11020" max="11020" width="10" style="6" customWidth="1"/>
    <col min="11021" max="11021" width="6.36328125" style="6" bestFit="1" customWidth="1"/>
    <col min="11022" max="11022" width="7.36328125" style="6" bestFit="1" customWidth="1"/>
    <col min="11023" max="11023" width="16.6328125" style="6" customWidth="1"/>
    <col min="11024" max="11024" width="7.36328125" style="6" bestFit="1" customWidth="1"/>
    <col min="11025" max="11025" width="16.6328125" style="6" customWidth="1"/>
    <col min="11026" max="11269" width="9" style="6"/>
    <col min="11270" max="11270" width="16.36328125" style="6" customWidth="1"/>
    <col min="11271" max="11271" width="9" style="6"/>
    <col min="11272" max="11272" width="11.453125" style="6" customWidth="1"/>
    <col min="11273" max="11274" width="9" style="6"/>
    <col min="11275" max="11275" width="23" style="6" bestFit="1" customWidth="1"/>
    <col min="11276" max="11276" width="10" style="6" customWidth="1"/>
    <col min="11277" max="11277" width="6.36328125" style="6" bestFit="1" customWidth="1"/>
    <col min="11278" max="11278" width="7.36328125" style="6" bestFit="1" customWidth="1"/>
    <col min="11279" max="11279" width="16.6328125" style="6" customWidth="1"/>
    <col min="11280" max="11280" width="7.36328125" style="6" bestFit="1" customWidth="1"/>
    <col min="11281" max="11281" width="16.6328125" style="6" customWidth="1"/>
    <col min="11282" max="11525" width="9" style="6"/>
    <col min="11526" max="11526" width="16.36328125" style="6" customWidth="1"/>
    <col min="11527" max="11527" width="9" style="6"/>
    <col min="11528" max="11528" width="11.453125" style="6" customWidth="1"/>
    <col min="11529" max="11530" width="9" style="6"/>
    <col min="11531" max="11531" width="23" style="6" bestFit="1" customWidth="1"/>
    <col min="11532" max="11532" width="10" style="6" customWidth="1"/>
    <col min="11533" max="11533" width="6.36328125" style="6" bestFit="1" customWidth="1"/>
    <col min="11534" max="11534" width="7.36328125" style="6" bestFit="1" customWidth="1"/>
    <col min="11535" max="11535" width="16.6328125" style="6" customWidth="1"/>
    <col min="11536" max="11536" width="7.36328125" style="6" bestFit="1" customWidth="1"/>
    <col min="11537" max="11537" width="16.6328125" style="6" customWidth="1"/>
    <col min="11538" max="11781" width="9" style="6"/>
    <col min="11782" max="11782" width="16.36328125" style="6" customWidth="1"/>
    <col min="11783" max="11783" width="9" style="6"/>
    <col min="11784" max="11784" width="11.453125" style="6" customWidth="1"/>
    <col min="11785" max="11786" width="9" style="6"/>
    <col min="11787" max="11787" width="23" style="6" bestFit="1" customWidth="1"/>
    <col min="11788" max="11788" width="10" style="6" customWidth="1"/>
    <col min="11789" max="11789" width="6.36328125" style="6" bestFit="1" customWidth="1"/>
    <col min="11790" max="11790" width="7.36328125" style="6" bestFit="1" customWidth="1"/>
    <col min="11791" max="11791" width="16.6328125" style="6" customWidth="1"/>
    <col min="11792" max="11792" width="7.36328125" style="6" bestFit="1" customWidth="1"/>
    <col min="11793" max="11793" width="16.6328125" style="6" customWidth="1"/>
    <col min="11794" max="12037" width="9" style="6"/>
    <col min="12038" max="12038" width="16.36328125" style="6" customWidth="1"/>
    <col min="12039" max="12039" width="9" style="6"/>
    <col min="12040" max="12040" width="11.453125" style="6" customWidth="1"/>
    <col min="12041" max="12042" width="9" style="6"/>
    <col min="12043" max="12043" width="23" style="6" bestFit="1" customWidth="1"/>
    <col min="12044" max="12044" width="10" style="6" customWidth="1"/>
    <col min="12045" max="12045" width="6.36328125" style="6" bestFit="1" customWidth="1"/>
    <col min="12046" max="12046" width="7.36328125" style="6" bestFit="1" customWidth="1"/>
    <col min="12047" max="12047" width="16.6328125" style="6" customWidth="1"/>
    <col min="12048" max="12048" width="7.36328125" style="6" bestFit="1" customWidth="1"/>
    <col min="12049" max="12049" width="16.6328125" style="6" customWidth="1"/>
    <col min="12050" max="12293" width="9" style="6"/>
    <col min="12294" max="12294" width="16.36328125" style="6" customWidth="1"/>
    <col min="12295" max="12295" width="9" style="6"/>
    <col min="12296" max="12296" width="11.453125" style="6" customWidth="1"/>
    <col min="12297" max="12298" width="9" style="6"/>
    <col min="12299" max="12299" width="23" style="6" bestFit="1" customWidth="1"/>
    <col min="12300" max="12300" width="10" style="6" customWidth="1"/>
    <col min="12301" max="12301" width="6.36328125" style="6" bestFit="1" customWidth="1"/>
    <col min="12302" max="12302" width="7.36328125" style="6" bestFit="1" customWidth="1"/>
    <col min="12303" max="12303" width="16.6328125" style="6" customWidth="1"/>
    <col min="12304" max="12304" width="7.36328125" style="6" bestFit="1" customWidth="1"/>
    <col min="12305" max="12305" width="16.6328125" style="6" customWidth="1"/>
    <col min="12306" max="12549" width="9" style="6"/>
    <col min="12550" max="12550" width="16.36328125" style="6" customWidth="1"/>
    <col min="12551" max="12551" width="9" style="6"/>
    <col min="12552" max="12552" width="11.453125" style="6" customWidth="1"/>
    <col min="12553" max="12554" width="9" style="6"/>
    <col min="12555" max="12555" width="23" style="6" bestFit="1" customWidth="1"/>
    <col min="12556" max="12556" width="10" style="6" customWidth="1"/>
    <col min="12557" max="12557" width="6.36328125" style="6" bestFit="1" customWidth="1"/>
    <col min="12558" max="12558" width="7.36328125" style="6" bestFit="1" customWidth="1"/>
    <col min="12559" max="12559" width="16.6328125" style="6" customWidth="1"/>
    <col min="12560" max="12560" width="7.36328125" style="6" bestFit="1" customWidth="1"/>
    <col min="12561" max="12561" width="16.6328125" style="6" customWidth="1"/>
    <col min="12562" max="12805" width="9" style="6"/>
    <col min="12806" max="12806" width="16.36328125" style="6" customWidth="1"/>
    <col min="12807" max="12807" width="9" style="6"/>
    <col min="12808" max="12808" width="11.453125" style="6" customWidth="1"/>
    <col min="12809" max="12810" width="9" style="6"/>
    <col min="12811" max="12811" width="23" style="6" bestFit="1" customWidth="1"/>
    <col min="12812" max="12812" width="10" style="6" customWidth="1"/>
    <col min="12813" max="12813" width="6.36328125" style="6" bestFit="1" customWidth="1"/>
    <col min="12814" max="12814" width="7.36328125" style="6" bestFit="1" customWidth="1"/>
    <col min="12815" max="12815" width="16.6328125" style="6" customWidth="1"/>
    <col min="12816" max="12816" width="7.36328125" style="6" bestFit="1" customWidth="1"/>
    <col min="12817" max="12817" width="16.6328125" style="6" customWidth="1"/>
    <col min="12818" max="13061" width="9" style="6"/>
    <col min="13062" max="13062" width="16.36328125" style="6" customWidth="1"/>
    <col min="13063" max="13063" width="9" style="6"/>
    <col min="13064" max="13064" width="11.453125" style="6" customWidth="1"/>
    <col min="13065" max="13066" width="9" style="6"/>
    <col min="13067" max="13067" width="23" style="6" bestFit="1" customWidth="1"/>
    <col min="13068" max="13068" width="10" style="6" customWidth="1"/>
    <col min="13069" max="13069" width="6.36328125" style="6" bestFit="1" customWidth="1"/>
    <col min="13070" max="13070" width="7.36328125" style="6" bestFit="1" customWidth="1"/>
    <col min="13071" max="13071" width="16.6328125" style="6" customWidth="1"/>
    <col min="13072" max="13072" width="7.36328125" style="6" bestFit="1" customWidth="1"/>
    <col min="13073" max="13073" width="16.6328125" style="6" customWidth="1"/>
    <col min="13074" max="13317" width="9" style="6"/>
    <col min="13318" max="13318" width="16.36328125" style="6" customWidth="1"/>
    <col min="13319" max="13319" width="9" style="6"/>
    <col min="13320" max="13320" width="11.453125" style="6" customWidth="1"/>
    <col min="13321" max="13322" width="9" style="6"/>
    <col min="13323" max="13323" width="23" style="6" bestFit="1" customWidth="1"/>
    <col min="13324" max="13324" width="10" style="6" customWidth="1"/>
    <col min="13325" max="13325" width="6.36328125" style="6" bestFit="1" customWidth="1"/>
    <col min="13326" max="13326" width="7.36328125" style="6" bestFit="1" customWidth="1"/>
    <col min="13327" max="13327" width="16.6328125" style="6" customWidth="1"/>
    <col min="13328" max="13328" width="7.36328125" style="6" bestFit="1" customWidth="1"/>
    <col min="13329" max="13329" width="16.6328125" style="6" customWidth="1"/>
    <col min="13330" max="13573" width="9" style="6"/>
    <col min="13574" max="13574" width="16.36328125" style="6" customWidth="1"/>
    <col min="13575" max="13575" width="9" style="6"/>
    <col min="13576" max="13576" width="11.453125" style="6" customWidth="1"/>
    <col min="13577" max="13578" width="9" style="6"/>
    <col min="13579" max="13579" width="23" style="6" bestFit="1" customWidth="1"/>
    <col min="13580" max="13580" width="10" style="6" customWidth="1"/>
    <col min="13581" max="13581" width="6.36328125" style="6" bestFit="1" customWidth="1"/>
    <col min="13582" max="13582" width="7.36328125" style="6" bestFit="1" customWidth="1"/>
    <col min="13583" max="13583" width="16.6328125" style="6" customWidth="1"/>
    <col min="13584" max="13584" width="7.36328125" style="6" bestFit="1" customWidth="1"/>
    <col min="13585" max="13585" width="16.6328125" style="6" customWidth="1"/>
    <col min="13586" max="13829" width="9" style="6"/>
    <col min="13830" max="13830" width="16.36328125" style="6" customWidth="1"/>
    <col min="13831" max="13831" width="9" style="6"/>
    <col min="13832" max="13832" width="11.453125" style="6" customWidth="1"/>
    <col min="13833" max="13834" width="9" style="6"/>
    <col min="13835" max="13835" width="23" style="6" bestFit="1" customWidth="1"/>
    <col min="13836" max="13836" width="10" style="6" customWidth="1"/>
    <col min="13837" max="13837" width="6.36328125" style="6" bestFit="1" customWidth="1"/>
    <col min="13838" max="13838" width="7.36328125" style="6" bestFit="1" customWidth="1"/>
    <col min="13839" max="13839" width="16.6328125" style="6" customWidth="1"/>
    <col min="13840" max="13840" width="7.36328125" style="6" bestFit="1" customWidth="1"/>
    <col min="13841" max="13841" width="16.6328125" style="6" customWidth="1"/>
    <col min="13842" max="14085" width="9" style="6"/>
    <col min="14086" max="14086" width="16.36328125" style="6" customWidth="1"/>
    <col min="14087" max="14087" width="9" style="6"/>
    <col min="14088" max="14088" width="11.453125" style="6" customWidth="1"/>
    <col min="14089" max="14090" width="9" style="6"/>
    <col min="14091" max="14091" width="23" style="6" bestFit="1" customWidth="1"/>
    <col min="14092" max="14092" width="10" style="6" customWidth="1"/>
    <col min="14093" max="14093" width="6.36328125" style="6" bestFit="1" customWidth="1"/>
    <col min="14094" max="14094" width="7.36328125" style="6" bestFit="1" customWidth="1"/>
    <col min="14095" max="14095" width="16.6328125" style="6" customWidth="1"/>
    <col min="14096" max="14096" width="7.36328125" style="6" bestFit="1" customWidth="1"/>
    <col min="14097" max="14097" width="16.6328125" style="6" customWidth="1"/>
    <col min="14098" max="14341" width="9" style="6"/>
    <col min="14342" max="14342" width="16.36328125" style="6" customWidth="1"/>
    <col min="14343" max="14343" width="9" style="6"/>
    <col min="14344" max="14344" width="11.453125" style="6" customWidth="1"/>
    <col min="14345" max="14346" width="9" style="6"/>
    <col min="14347" max="14347" width="23" style="6" bestFit="1" customWidth="1"/>
    <col min="14348" max="14348" width="10" style="6" customWidth="1"/>
    <col min="14349" max="14349" width="6.36328125" style="6" bestFit="1" customWidth="1"/>
    <col min="14350" max="14350" width="7.36328125" style="6" bestFit="1" customWidth="1"/>
    <col min="14351" max="14351" width="16.6328125" style="6" customWidth="1"/>
    <col min="14352" max="14352" width="7.36328125" style="6" bestFit="1" customWidth="1"/>
    <col min="14353" max="14353" width="16.6328125" style="6" customWidth="1"/>
    <col min="14354" max="14597" width="9" style="6"/>
    <col min="14598" max="14598" width="16.36328125" style="6" customWidth="1"/>
    <col min="14599" max="14599" width="9" style="6"/>
    <col min="14600" max="14600" width="11.453125" style="6" customWidth="1"/>
    <col min="14601" max="14602" width="9" style="6"/>
    <col min="14603" max="14603" width="23" style="6" bestFit="1" customWidth="1"/>
    <col min="14604" max="14604" width="10" style="6" customWidth="1"/>
    <col min="14605" max="14605" width="6.36328125" style="6" bestFit="1" customWidth="1"/>
    <col min="14606" max="14606" width="7.36328125" style="6" bestFit="1" customWidth="1"/>
    <col min="14607" max="14607" width="16.6328125" style="6" customWidth="1"/>
    <col min="14608" max="14608" width="7.36328125" style="6" bestFit="1" customWidth="1"/>
    <col min="14609" max="14609" width="16.6328125" style="6" customWidth="1"/>
    <col min="14610" max="14853" width="9" style="6"/>
    <col min="14854" max="14854" width="16.36328125" style="6" customWidth="1"/>
    <col min="14855" max="14855" width="9" style="6"/>
    <col min="14856" max="14856" width="11.453125" style="6" customWidth="1"/>
    <col min="14857" max="14858" width="9" style="6"/>
    <col min="14859" max="14859" width="23" style="6" bestFit="1" customWidth="1"/>
    <col min="14860" max="14860" width="10" style="6" customWidth="1"/>
    <col min="14861" max="14861" width="6.36328125" style="6" bestFit="1" customWidth="1"/>
    <col min="14862" max="14862" width="7.36328125" style="6" bestFit="1" customWidth="1"/>
    <col min="14863" max="14863" width="16.6328125" style="6" customWidth="1"/>
    <col min="14864" max="14864" width="7.36328125" style="6" bestFit="1" customWidth="1"/>
    <col min="14865" max="14865" width="16.6328125" style="6" customWidth="1"/>
    <col min="14866" max="15109" width="9" style="6"/>
    <col min="15110" max="15110" width="16.36328125" style="6" customWidth="1"/>
    <col min="15111" max="15111" width="9" style="6"/>
    <col min="15112" max="15112" width="11.453125" style="6" customWidth="1"/>
    <col min="15113" max="15114" width="9" style="6"/>
    <col min="15115" max="15115" width="23" style="6" bestFit="1" customWidth="1"/>
    <col min="15116" max="15116" width="10" style="6" customWidth="1"/>
    <col min="15117" max="15117" width="6.36328125" style="6" bestFit="1" customWidth="1"/>
    <col min="15118" max="15118" width="7.36328125" style="6" bestFit="1" customWidth="1"/>
    <col min="15119" max="15119" width="16.6328125" style="6" customWidth="1"/>
    <col min="15120" max="15120" width="7.36328125" style="6" bestFit="1" customWidth="1"/>
    <col min="15121" max="15121" width="16.6328125" style="6" customWidth="1"/>
    <col min="15122" max="15365" width="9" style="6"/>
    <col min="15366" max="15366" width="16.36328125" style="6" customWidth="1"/>
    <col min="15367" max="15367" width="9" style="6"/>
    <col min="15368" max="15368" width="11.453125" style="6" customWidth="1"/>
    <col min="15369" max="15370" width="9" style="6"/>
    <col min="15371" max="15371" width="23" style="6" bestFit="1" customWidth="1"/>
    <col min="15372" max="15372" width="10" style="6" customWidth="1"/>
    <col min="15373" max="15373" width="6.36328125" style="6" bestFit="1" customWidth="1"/>
    <col min="15374" max="15374" width="7.36328125" style="6" bestFit="1" customWidth="1"/>
    <col min="15375" max="15375" width="16.6328125" style="6" customWidth="1"/>
    <col min="15376" max="15376" width="7.36328125" style="6" bestFit="1" customWidth="1"/>
    <col min="15377" max="15377" width="16.6328125" style="6" customWidth="1"/>
    <col min="15378" max="15621" width="9" style="6"/>
    <col min="15622" max="15622" width="16.36328125" style="6" customWidth="1"/>
    <col min="15623" max="15623" width="9" style="6"/>
    <col min="15624" max="15624" width="11.453125" style="6" customWidth="1"/>
    <col min="15625" max="15626" width="9" style="6"/>
    <col min="15627" max="15627" width="23" style="6" bestFit="1" customWidth="1"/>
    <col min="15628" max="15628" width="10" style="6" customWidth="1"/>
    <col min="15629" max="15629" width="6.36328125" style="6" bestFit="1" customWidth="1"/>
    <col min="15630" max="15630" width="7.36328125" style="6" bestFit="1" customWidth="1"/>
    <col min="15631" max="15631" width="16.6328125" style="6" customWidth="1"/>
    <col min="15632" max="15632" width="7.36328125" style="6" bestFit="1" customWidth="1"/>
    <col min="15633" max="15633" width="16.6328125" style="6" customWidth="1"/>
    <col min="15634" max="15877" width="9" style="6"/>
    <col min="15878" max="15878" width="16.36328125" style="6" customWidth="1"/>
    <col min="15879" max="15879" width="9" style="6"/>
    <col min="15880" max="15880" width="11.453125" style="6" customWidth="1"/>
    <col min="15881" max="15882" width="9" style="6"/>
    <col min="15883" max="15883" width="23" style="6" bestFit="1" customWidth="1"/>
    <col min="15884" max="15884" width="10" style="6" customWidth="1"/>
    <col min="15885" max="15885" width="6.36328125" style="6" bestFit="1" customWidth="1"/>
    <col min="15886" max="15886" width="7.36328125" style="6" bestFit="1" customWidth="1"/>
    <col min="15887" max="15887" width="16.6328125" style="6" customWidth="1"/>
    <col min="15888" max="15888" width="7.36328125" style="6" bestFit="1" customWidth="1"/>
    <col min="15889" max="15889" width="16.6328125" style="6" customWidth="1"/>
    <col min="15890" max="16133" width="9" style="6"/>
    <col min="16134" max="16134" width="16.36328125" style="6" customWidth="1"/>
    <col min="16135" max="16135" width="9" style="6"/>
    <col min="16136" max="16136" width="11.453125" style="6" customWidth="1"/>
    <col min="16137" max="16138" width="9" style="6"/>
    <col min="16139" max="16139" width="23" style="6" bestFit="1" customWidth="1"/>
    <col min="16140" max="16140" width="10" style="6" customWidth="1"/>
    <col min="16141" max="16141" width="6.36328125" style="6" bestFit="1" customWidth="1"/>
    <col min="16142" max="16142" width="7.36328125" style="6" bestFit="1" customWidth="1"/>
    <col min="16143" max="16143" width="16.6328125" style="6" customWidth="1"/>
    <col min="16144" max="16144" width="7.36328125" style="6" bestFit="1" customWidth="1"/>
    <col min="16145" max="16145" width="16.6328125" style="6" customWidth="1"/>
    <col min="16146" max="16384" width="9" style="6"/>
  </cols>
  <sheetData>
    <row r="1" spans="1:26" s="17" customFormat="1" ht="23.5" customHeight="1">
      <c r="A1" s="34"/>
      <c r="B1" s="34"/>
      <c r="C1" s="34"/>
      <c r="D1" s="34"/>
      <c r="E1" s="34"/>
      <c r="F1" s="34"/>
      <c r="G1" s="34"/>
      <c r="H1" s="34"/>
      <c r="I1" s="34"/>
      <c r="J1" s="34"/>
      <c r="K1" s="34"/>
      <c r="L1" s="34"/>
      <c r="M1" s="129" t="str">
        <f>資訊清單資訊!B3 &amp;資訊清單資訊!B7 &amp;資訊清單資訊!B5</f>
        <v>石油與天然氣輸儲查核與檢測雲端平台硬體類(HW)資訊資產風險評鑑</v>
      </c>
      <c r="N1" s="129"/>
      <c r="O1" s="129"/>
      <c r="P1" s="129"/>
      <c r="Q1" s="129"/>
      <c r="R1" s="129"/>
      <c r="S1" s="129"/>
      <c r="T1" s="129"/>
      <c r="U1" s="129"/>
      <c r="V1" s="129"/>
      <c r="W1" s="129"/>
      <c r="X1" s="129"/>
      <c r="Y1" s="129"/>
      <c r="Z1" s="129"/>
    </row>
    <row r="2" spans="1:26">
      <c r="M2" s="36" t="s">
        <v>9</v>
      </c>
      <c r="N2" s="164" t="str">
        <f>資訊清單資訊!B7</f>
        <v>硬體類(HW)</v>
      </c>
      <c r="O2" s="165"/>
      <c r="P2" s="166"/>
      <c r="Q2" s="65"/>
      <c r="R2" s="28" t="s">
        <v>11</v>
      </c>
      <c r="S2" s="15">
        <f>IF(ISNA(VLOOKUP($N$3,ALL_LIST,16,FALSE)), "",VLOOKUP($N$3,ALL_LIST,16,FALSE))</f>
        <v>3</v>
      </c>
    </row>
    <row r="3" spans="1:26" ht="32" customHeight="1">
      <c r="M3" s="39" t="s">
        <v>5</v>
      </c>
      <c r="N3" s="167" t="s">
        <v>173</v>
      </c>
      <c r="O3" s="168"/>
      <c r="P3" s="169"/>
      <c r="R3" s="27" t="s">
        <v>74</v>
      </c>
      <c r="S3" s="16">
        <f>IF(ISNA(VLOOKUP($N$3,ALL_LIST,8,FALSE)), "",VLOOKUP($N$3,ALL_LIST,8,FALSE))</f>
        <v>3</v>
      </c>
    </row>
    <row r="4" spans="1:26">
      <c r="M4" s="37" t="s">
        <v>10</v>
      </c>
      <c r="N4" s="170" t="str">
        <f>IF(ISNA(VLOOKUP($N$3,ALL_LIST,3,FALSE)), "",VLOOKUP($N$3,ALL_LIST,3,FALSE))</f>
        <v>計畫成員個人電腦</v>
      </c>
      <c r="O4" s="171"/>
      <c r="P4" s="172"/>
      <c r="Q4" s="65"/>
      <c r="R4" s="27" t="s">
        <v>75</v>
      </c>
      <c r="S4" s="16">
        <f>IF(ISNA(VLOOKUP($N$3,ALL_LIST,10,FALSE)), "",VLOOKUP($N$3,ALL_LIST,10,FALSE))</f>
        <v>2</v>
      </c>
    </row>
    <row r="5" spans="1:26">
      <c r="M5" s="36" t="s">
        <v>6</v>
      </c>
      <c r="N5" s="173" t="str">
        <f>IF(ISNA(VLOOKUP($N$3,ALL_LIST,17,FALSE)), "",VLOOKUP($N$3,ALL_LIST,17,FALSE))</f>
        <v>賴斐瓔 </v>
      </c>
      <c r="O5" s="174"/>
      <c r="P5" s="175"/>
      <c r="Q5" s="65"/>
      <c r="R5" s="27" t="s">
        <v>76</v>
      </c>
      <c r="S5" s="16">
        <f>IF(ISNA(VLOOKUP($N$3,ALL_LIST,12,FALSE)), " ",VLOOKUP($N$3,ALL_LIST,12,FALSE))</f>
        <v>2</v>
      </c>
    </row>
    <row r="6" spans="1:26">
      <c r="M6" s="38" t="s">
        <v>7</v>
      </c>
      <c r="N6" s="176" t="s">
        <v>219</v>
      </c>
      <c r="O6" s="177"/>
      <c r="P6" s="178"/>
      <c r="R6" s="27" t="s">
        <v>77</v>
      </c>
      <c r="S6" s="16">
        <f>IF(ISNA(VLOOKUP($N$3,ALL_LIST,14,FALSE)), "",VLOOKUP($N$3,ALL_LIST,14,FALSE))</f>
        <v>3</v>
      </c>
    </row>
    <row r="7" spans="1:26">
      <c r="M7" s="38" t="s">
        <v>8</v>
      </c>
      <c r="N7" s="179" t="s">
        <v>144</v>
      </c>
      <c r="O7" s="180"/>
      <c r="P7" s="181"/>
      <c r="Q7" s="65"/>
      <c r="R7" s="29" t="s">
        <v>12</v>
      </c>
      <c r="S7" s="21">
        <f>MAX(Y11:Y29)</f>
        <v>6</v>
      </c>
    </row>
    <row r="10" spans="1:26" s="18" customFormat="1" ht="16">
      <c r="A10" s="30" t="s">
        <v>13</v>
      </c>
      <c r="B10" s="30" t="s">
        <v>2</v>
      </c>
      <c r="C10" s="30" t="s">
        <v>15</v>
      </c>
      <c r="D10" s="30" t="s">
        <v>16</v>
      </c>
      <c r="E10" s="30" t="s">
        <v>3</v>
      </c>
      <c r="F10" s="30" t="s">
        <v>17</v>
      </c>
      <c r="G10" s="31" t="s">
        <v>18</v>
      </c>
      <c r="H10" s="31" t="s">
        <v>19</v>
      </c>
      <c r="I10" s="31" t="s">
        <v>20</v>
      </c>
      <c r="J10" s="31" t="s">
        <v>21</v>
      </c>
      <c r="K10" s="32" t="s">
        <v>22</v>
      </c>
      <c r="L10" s="33" t="s">
        <v>32</v>
      </c>
      <c r="M10" s="144" t="s">
        <v>23</v>
      </c>
      <c r="N10" s="145"/>
      <c r="O10" s="146"/>
      <c r="P10" s="144" t="s">
        <v>4</v>
      </c>
      <c r="Q10" s="145"/>
      <c r="R10" s="145"/>
      <c r="S10" s="146"/>
      <c r="T10" s="26" t="s">
        <v>24</v>
      </c>
      <c r="U10" s="26" t="s">
        <v>25</v>
      </c>
      <c r="V10" s="26" t="s">
        <v>26</v>
      </c>
      <c r="W10" s="26" t="s">
        <v>27</v>
      </c>
      <c r="X10" s="26" t="s">
        <v>26</v>
      </c>
      <c r="Y10" s="26" t="s">
        <v>28</v>
      </c>
      <c r="Z10" s="26" t="s">
        <v>29</v>
      </c>
    </row>
    <row r="11" spans="1:26" ht="31" customHeight="1">
      <c r="A11" s="54" t="str">
        <f>$N$3</f>
        <v>材1-1-HW-04</v>
      </c>
      <c r="B11" s="55">
        <f t="shared" ref="B11:B20" si="0">VLOOKUP($N$3,ALL_LIST,2,FALSE)</f>
        <v>0</v>
      </c>
      <c r="C11" s="55" t="str">
        <f t="shared" ref="C11:C20" si="1">VLOOKUP($N$3,ALL_LIST,3,FALSE)</f>
        <v>計畫成員個人電腦</v>
      </c>
      <c r="D11" s="55" t="str">
        <f t="shared" ref="D11:D20" si="2">VLOOKUP($N$3,ALL_LIST,4,FALSE)</f>
        <v>計畫負責人及成員個人電腦</v>
      </c>
      <c r="E11" s="55">
        <f t="shared" ref="E11:E20" si="3">VLOOKUP($N$3,ALL_LIST,6,FALSE)</f>
        <v>1</v>
      </c>
      <c r="F11" s="55" t="str">
        <f t="shared" ref="F11:F20" si="4">VLOOKUP($N$3,ALL_LIST,7,FALSE)</f>
        <v>吳榮正</v>
      </c>
      <c r="G11" s="55">
        <f t="shared" ref="G11:G20" si="5">VLOOKUP($N$3,ALL_LIST,8,FALSE)</f>
        <v>3</v>
      </c>
      <c r="H11" s="55">
        <f t="shared" ref="H11:H20" si="6">VLOOKUP($N$3,ALL_LIST,10,FALSE)</f>
        <v>2</v>
      </c>
      <c r="I11" s="55">
        <f t="shared" ref="I11:I20" si="7">VLOOKUP($N$3,ALL_LIST,12,FALSE)</f>
        <v>2</v>
      </c>
      <c r="J11" s="55">
        <f t="shared" ref="J11:J20" si="8">VLOOKUP($N$3,ALL_LIST,14,FALSE)</f>
        <v>3</v>
      </c>
      <c r="K11" s="56">
        <f t="shared" ref="K11:K20" si="9">VLOOKUP($N$3,ALL_LIST,16,FALSE)</f>
        <v>3</v>
      </c>
      <c r="L11" s="56">
        <f t="shared" ref="L11:L18" si="10">$S$7</f>
        <v>6</v>
      </c>
      <c r="M11" s="138" t="s">
        <v>80</v>
      </c>
      <c r="N11" s="139"/>
      <c r="O11" s="140"/>
      <c r="P11" s="141" t="s">
        <v>211</v>
      </c>
      <c r="Q11" s="142"/>
      <c r="R11" s="142"/>
      <c r="S11" s="133"/>
      <c r="T11" s="69" t="s">
        <v>119</v>
      </c>
      <c r="U11" s="69">
        <v>1</v>
      </c>
      <c r="V11" s="77" t="s">
        <v>203</v>
      </c>
      <c r="W11" s="69">
        <v>1</v>
      </c>
      <c r="X11" s="70" t="s">
        <v>188</v>
      </c>
      <c r="Y11" s="58">
        <f>IF((T11="N"),"不適用",IF(COUNTA(U11,W11)&lt;2,"評鑑中",$S$2*U11*W11))</f>
        <v>3</v>
      </c>
      <c r="Z11" s="41"/>
    </row>
    <row r="12" spans="1:26" ht="31">
      <c r="A12" s="54" t="str">
        <f t="shared" ref="A12:A20" si="11">$N$3</f>
        <v>材1-1-HW-04</v>
      </c>
      <c r="B12" s="55">
        <f t="shared" si="0"/>
        <v>0</v>
      </c>
      <c r="C12" s="55" t="str">
        <f t="shared" si="1"/>
        <v>計畫成員個人電腦</v>
      </c>
      <c r="D12" s="55" t="str">
        <f t="shared" si="2"/>
        <v>計畫負責人及成員個人電腦</v>
      </c>
      <c r="E12" s="55">
        <f t="shared" si="3"/>
        <v>1</v>
      </c>
      <c r="F12" s="55" t="str">
        <f t="shared" si="4"/>
        <v>吳榮正</v>
      </c>
      <c r="G12" s="55">
        <f t="shared" si="5"/>
        <v>3</v>
      </c>
      <c r="H12" s="55">
        <f t="shared" si="6"/>
        <v>2</v>
      </c>
      <c r="I12" s="55">
        <f t="shared" si="7"/>
        <v>2</v>
      </c>
      <c r="J12" s="55">
        <f t="shared" si="8"/>
        <v>3</v>
      </c>
      <c r="K12" s="56">
        <f t="shared" si="9"/>
        <v>3</v>
      </c>
      <c r="L12" s="56">
        <f t="shared" si="10"/>
        <v>6</v>
      </c>
      <c r="M12" s="135" t="s">
        <v>120</v>
      </c>
      <c r="N12" s="136"/>
      <c r="O12" s="137"/>
      <c r="P12" s="182" t="s">
        <v>121</v>
      </c>
      <c r="Q12" s="183"/>
      <c r="R12" s="183"/>
      <c r="S12" s="184"/>
      <c r="T12" s="69" t="s">
        <v>119</v>
      </c>
      <c r="U12" s="69">
        <v>1</v>
      </c>
      <c r="V12" s="77" t="s">
        <v>203</v>
      </c>
      <c r="W12" s="69">
        <v>1</v>
      </c>
      <c r="X12" s="70"/>
      <c r="Y12" s="58">
        <f t="shared" ref="Y12:Y29" si="12">IF((T12="N"),"不適用",IF(COUNTA(U12,W12)&lt;2,"評鑑中",$S$2*U12*W12))</f>
        <v>3</v>
      </c>
      <c r="Z12" s="41"/>
    </row>
    <row r="13" spans="1:26" ht="46.5">
      <c r="A13" s="54" t="str">
        <f t="shared" si="11"/>
        <v>材1-1-HW-04</v>
      </c>
      <c r="B13" s="55">
        <f t="shared" si="0"/>
        <v>0</v>
      </c>
      <c r="C13" s="55" t="str">
        <f t="shared" si="1"/>
        <v>計畫成員個人電腦</v>
      </c>
      <c r="D13" s="55" t="str">
        <f t="shared" si="2"/>
        <v>計畫負責人及成員個人電腦</v>
      </c>
      <c r="E13" s="55">
        <f t="shared" si="3"/>
        <v>1</v>
      </c>
      <c r="F13" s="55" t="str">
        <f t="shared" si="4"/>
        <v>吳榮正</v>
      </c>
      <c r="G13" s="55">
        <f t="shared" si="5"/>
        <v>3</v>
      </c>
      <c r="H13" s="55">
        <f t="shared" si="6"/>
        <v>2</v>
      </c>
      <c r="I13" s="55">
        <f t="shared" si="7"/>
        <v>2</v>
      </c>
      <c r="J13" s="55">
        <f t="shared" si="8"/>
        <v>3</v>
      </c>
      <c r="K13" s="56">
        <f t="shared" si="9"/>
        <v>3</v>
      </c>
      <c r="L13" s="56">
        <f t="shared" si="10"/>
        <v>6</v>
      </c>
      <c r="M13" s="135" t="s">
        <v>120</v>
      </c>
      <c r="N13" s="136"/>
      <c r="O13" s="137"/>
      <c r="P13" s="182" t="s">
        <v>122</v>
      </c>
      <c r="Q13" s="183"/>
      <c r="R13" s="183"/>
      <c r="S13" s="184"/>
      <c r="T13" s="69" t="s">
        <v>119</v>
      </c>
      <c r="U13" s="69">
        <v>1</v>
      </c>
      <c r="V13" s="41" t="s">
        <v>204</v>
      </c>
      <c r="W13" s="69">
        <v>1</v>
      </c>
      <c r="X13" s="70" t="s">
        <v>189</v>
      </c>
      <c r="Y13" s="58">
        <f>IF((T13="N"),"不適用",IF(COUNTA(U13,W13)&lt;2,"評鑑中",$S$2*U13*W13))</f>
        <v>3</v>
      </c>
      <c r="Z13" s="41"/>
    </row>
    <row r="14" spans="1:26">
      <c r="A14" s="54" t="str">
        <f t="shared" si="11"/>
        <v>材1-1-HW-04</v>
      </c>
      <c r="B14" s="55">
        <f t="shared" si="0"/>
        <v>0</v>
      </c>
      <c r="C14" s="55" t="str">
        <f t="shared" si="1"/>
        <v>計畫成員個人電腦</v>
      </c>
      <c r="D14" s="55" t="str">
        <f t="shared" si="2"/>
        <v>計畫負責人及成員個人電腦</v>
      </c>
      <c r="E14" s="55">
        <f t="shared" si="3"/>
        <v>1</v>
      </c>
      <c r="F14" s="55" t="str">
        <f t="shared" si="4"/>
        <v>吳榮正</v>
      </c>
      <c r="G14" s="55">
        <f t="shared" si="5"/>
        <v>3</v>
      </c>
      <c r="H14" s="55">
        <f t="shared" si="6"/>
        <v>2</v>
      </c>
      <c r="I14" s="55">
        <f t="shared" si="7"/>
        <v>2</v>
      </c>
      <c r="J14" s="55">
        <f t="shared" si="8"/>
        <v>3</v>
      </c>
      <c r="K14" s="56">
        <f t="shared" si="9"/>
        <v>3</v>
      </c>
      <c r="L14" s="56">
        <f t="shared" si="10"/>
        <v>6</v>
      </c>
      <c r="M14" s="138" t="s">
        <v>82</v>
      </c>
      <c r="N14" s="139"/>
      <c r="O14" s="140"/>
      <c r="P14" s="141" t="s">
        <v>123</v>
      </c>
      <c r="Q14" s="142" t="s">
        <v>30</v>
      </c>
      <c r="R14" s="142" t="s">
        <v>30</v>
      </c>
      <c r="S14" s="133" t="s">
        <v>30</v>
      </c>
      <c r="T14" s="69" t="s">
        <v>119</v>
      </c>
      <c r="U14" s="69">
        <v>1</v>
      </c>
      <c r="V14" s="77" t="s">
        <v>205</v>
      </c>
      <c r="W14" s="69">
        <v>2</v>
      </c>
      <c r="X14" s="71"/>
      <c r="Y14" s="58">
        <f t="shared" si="12"/>
        <v>6</v>
      </c>
      <c r="Z14" s="41"/>
    </row>
    <row r="15" spans="1:26" ht="46.5">
      <c r="A15" s="54" t="str">
        <f t="shared" si="11"/>
        <v>材1-1-HW-04</v>
      </c>
      <c r="B15" s="55">
        <f t="shared" si="0"/>
        <v>0</v>
      </c>
      <c r="C15" s="55" t="str">
        <f t="shared" si="1"/>
        <v>計畫成員個人電腦</v>
      </c>
      <c r="D15" s="55" t="str">
        <f t="shared" si="2"/>
        <v>計畫負責人及成員個人電腦</v>
      </c>
      <c r="E15" s="55">
        <f t="shared" si="3"/>
        <v>1</v>
      </c>
      <c r="F15" s="55" t="str">
        <f t="shared" si="4"/>
        <v>吳榮正</v>
      </c>
      <c r="G15" s="55">
        <f t="shared" si="5"/>
        <v>3</v>
      </c>
      <c r="H15" s="55">
        <f t="shared" si="6"/>
        <v>2</v>
      </c>
      <c r="I15" s="55">
        <f t="shared" si="7"/>
        <v>2</v>
      </c>
      <c r="J15" s="55">
        <f t="shared" si="8"/>
        <v>3</v>
      </c>
      <c r="K15" s="56">
        <f t="shared" si="9"/>
        <v>3</v>
      </c>
      <c r="L15" s="56">
        <f t="shared" si="10"/>
        <v>6</v>
      </c>
      <c r="M15" s="135" t="s">
        <v>124</v>
      </c>
      <c r="N15" s="136"/>
      <c r="O15" s="137"/>
      <c r="P15" s="141" t="s">
        <v>125</v>
      </c>
      <c r="Q15" s="142" t="s">
        <v>125</v>
      </c>
      <c r="R15" s="142" t="s">
        <v>125</v>
      </c>
      <c r="S15" s="133" t="s">
        <v>125</v>
      </c>
      <c r="T15" s="69" t="s">
        <v>119</v>
      </c>
      <c r="U15" s="69">
        <v>1</v>
      </c>
      <c r="V15" s="41" t="s">
        <v>206</v>
      </c>
      <c r="W15" s="69">
        <v>2</v>
      </c>
      <c r="X15" s="71"/>
      <c r="Y15" s="58">
        <f t="shared" si="12"/>
        <v>6</v>
      </c>
      <c r="Z15" s="41"/>
    </row>
    <row r="16" spans="1:26">
      <c r="A16" s="54" t="str">
        <f t="shared" si="11"/>
        <v>材1-1-HW-04</v>
      </c>
      <c r="B16" s="55">
        <f t="shared" si="0"/>
        <v>0</v>
      </c>
      <c r="C16" s="55" t="str">
        <f t="shared" si="1"/>
        <v>計畫成員個人電腦</v>
      </c>
      <c r="D16" s="55" t="str">
        <f t="shared" si="2"/>
        <v>計畫負責人及成員個人電腦</v>
      </c>
      <c r="E16" s="55">
        <f t="shared" si="3"/>
        <v>1</v>
      </c>
      <c r="F16" s="55" t="str">
        <f t="shared" si="4"/>
        <v>吳榮正</v>
      </c>
      <c r="G16" s="55">
        <f t="shared" si="5"/>
        <v>3</v>
      </c>
      <c r="H16" s="55">
        <f t="shared" si="6"/>
        <v>2</v>
      </c>
      <c r="I16" s="55">
        <f t="shared" si="7"/>
        <v>2</v>
      </c>
      <c r="J16" s="55">
        <f t="shared" si="8"/>
        <v>3</v>
      </c>
      <c r="K16" s="56">
        <f t="shared" si="9"/>
        <v>3</v>
      </c>
      <c r="L16" s="56">
        <f t="shared" si="10"/>
        <v>6</v>
      </c>
      <c r="M16" s="135" t="s">
        <v>124</v>
      </c>
      <c r="N16" s="136"/>
      <c r="O16" s="137"/>
      <c r="P16" s="141" t="s">
        <v>126</v>
      </c>
      <c r="Q16" s="142" t="s">
        <v>127</v>
      </c>
      <c r="R16" s="142" t="s">
        <v>127</v>
      </c>
      <c r="S16" s="133" t="s">
        <v>127</v>
      </c>
      <c r="T16" s="69" t="s">
        <v>119</v>
      </c>
      <c r="U16" s="69">
        <v>1</v>
      </c>
      <c r="V16" s="77" t="s">
        <v>205</v>
      </c>
      <c r="W16" s="69">
        <v>2</v>
      </c>
      <c r="X16" s="71"/>
      <c r="Y16" s="58">
        <f t="shared" si="12"/>
        <v>6</v>
      </c>
      <c r="Z16" s="41"/>
    </row>
    <row r="17" spans="1:26" ht="62">
      <c r="A17" s="54" t="str">
        <f t="shared" si="11"/>
        <v>材1-1-HW-04</v>
      </c>
      <c r="B17" s="55">
        <f t="shared" si="0"/>
        <v>0</v>
      </c>
      <c r="C17" s="55" t="str">
        <f t="shared" si="1"/>
        <v>計畫成員個人電腦</v>
      </c>
      <c r="D17" s="55" t="str">
        <f t="shared" si="2"/>
        <v>計畫負責人及成員個人電腦</v>
      </c>
      <c r="E17" s="55">
        <f t="shared" si="3"/>
        <v>1</v>
      </c>
      <c r="F17" s="55" t="str">
        <f t="shared" si="4"/>
        <v>吳榮正</v>
      </c>
      <c r="G17" s="55">
        <f t="shared" si="5"/>
        <v>3</v>
      </c>
      <c r="H17" s="55">
        <f t="shared" si="6"/>
        <v>2</v>
      </c>
      <c r="I17" s="55">
        <f t="shared" si="7"/>
        <v>2</v>
      </c>
      <c r="J17" s="55">
        <f t="shared" si="8"/>
        <v>3</v>
      </c>
      <c r="K17" s="56">
        <f t="shared" si="9"/>
        <v>3</v>
      </c>
      <c r="L17" s="56">
        <f t="shared" si="10"/>
        <v>6</v>
      </c>
      <c r="M17" s="135" t="s">
        <v>124</v>
      </c>
      <c r="N17" s="136"/>
      <c r="O17" s="137"/>
      <c r="P17" s="124" t="s">
        <v>128</v>
      </c>
      <c r="Q17" s="125" t="s">
        <v>129</v>
      </c>
      <c r="R17" s="125" t="s">
        <v>129</v>
      </c>
      <c r="S17" s="126" t="s">
        <v>129</v>
      </c>
      <c r="T17" s="69" t="s">
        <v>119</v>
      </c>
      <c r="U17" s="69">
        <v>1</v>
      </c>
      <c r="V17" s="77" t="s">
        <v>216</v>
      </c>
      <c r="W17" s="69">
        <v>2</v>
      </c>
      <c r="X17" s="71"/>
      <c r="Y17" s="58">
        <f t="shared" si="12"/>
        <v>6</v>
      </c>
      <c r="Z17" s="41"/>
    </row>
    <row r="18" spans="1:26" ht="46.5">
      <c r="A18" s="54" t="str">
        <f t="shared" si="11"/>
        <v>材1-1-HW-04</v>
      </c>
      <c r="B18" s="55">
        <f t="shared" si="0"/>
        <v>0</v>
      </c>
      <c r="C18" s="55" t="str">
        <f t="shared" si="1"/>
        <v>計畫成員個人電腦</v>
      </c>
      <c r="D18" s="55" t="str">
        <f t="shared" si="2"/>
        <v>計畫負責人及成員個人電腦</v>
      </c>
      <c r="E18" s="55">
        <f t="shared" si="3"/>
        <v>1</v>
      </c>
      <c r="F18" s="55" t="str">
        <f t="shared" si="4"/>
        <v>吳榮正</v>
      </c>
      <c r="G18" s="55">
        <f t="shared" si="5"/>
        <v>3</v>
      </c>
      <c r="H18" s="55">
        <f t="shared" si="6"/>
        <v>2</v>
      </c>
      <c r="I18" s="55">
        <f t="shared" si="7"/>
        <v>2</v>
      </c>
      <c r="J18" s="55">
        <f t="shared" si="8"/>
        <v>3</v>
      </c>
      <c r="K18" s="56">
        <f t="shared" si="9"/>
        <v>3</v>
      </c>
      <c r="L18" s="56">
        <f t="shared" si="10"/>
        <v>6</v>
      </c>
      <c r="M18" s="135" t="s">
        <v>124</v>
      </c>
      <c r="N18" s="136"/>
      <c r="O18" s="137"/>
      <c r="P18" s="124" t="s">
        <v>130</v>
      </c>
      <c r="Q18" s="125" t="s">
        <v>131</v>
      </c>
      <c r="R18" s="125" t="s">
        <v>131</v>
      </c>
      <c r="S18" s="126" t="s">
        <v>131</v>
      </c>
      <c r="T18" s="69" t="s">
        <v>119</v>
      </c>
      <c r="U18" s="69">
        <v>1</v>
      </c>
      <c r="V18" s="41" t="s">
        <v>206</v>
      </c>
      <c r="W18" s="69">
        <v>2</v>
      </c>
      <c r="X18" s="71"/>
      <c r="Y18" s="58">
        <f t="shared" si="12"/>
        <v>6</v>
      </c>
      <c r="Z18" s="41"/>
    </row>
    <row r="19" spans="1:26" ht="31">
      <c r="A19" s="54"/>
      <c r="B19" s="55"/>
      <c r="C19" s="55"/>
      <c r="D19" s="55"/>
      <c r="E19" s="55"/>
      <c r="F19" s="55"/>
      <c r="G19" s="55"/>
      <c r="H19" s="55"/>
      <c r="I19" s="55"/>
      <c r="J19" s="55"/>
      <c r="K19" s="56"/>
      <c r="L19" s="56"/>
      <c r="M19" s="135" t="s">
        <v>124</v>
      </c>
      <c r="N19" s="136"/>
      <c r="O19" s="137"/>
      <c r="P19" s="124" t="s">
        <v>132</v>
      </c>
      <c r="Q19" s="125"/>
      <c r="R19" s="125"/>
      <c r="S19" s="126"/>
      <c r="T19" s="69" t="s">
        <v>119</v>
      </c>
      <c r="U19" s="69">
        <v>1</v>
      </c>
      <c r="V19" s="41" t="s">
        <v>207</v>
      </c>
      <c r="W19" s="69">
        <v>2</v>
      </c>
      <c r="X19" s="71"/>
      <c r="Y19" s="58">
        <f t="shared" si="12"/>
        <v>6</v>
      </c>
      <c r="Z19" s="41"/>
    </row>
    <row r="20" spans="1:26" ht="46.5">
      <c r="A20" s="54" t="str">
        <f t="shared" si="11"/>
        <v>材1-1-HW-04</v>
      </c>
      <c r="B20" s="55">
        <f t="shared" si="0"/>
        <v>0</v>
      </c>
      <c r="C20" s="55" t="str">
        <f t="shared" si="1"/>
        <v>計畫成員個人電腦</v>
      </c>
      <c r="D20" s="55" t="str">
        <f t="shared" si="2"/>
        <v>計畫負責人及成員個人電腦</v>
      </c>
      <c r="E20" s="55">
        <f t="shared" si="3"/>
        <v>1</v>
      </c>
      <c r="F20" s="55" t="str">
        <f t="shared" si="4"/>
        <v>吳榮正</v>
      </c>
      <c r="G20" s="55">
        <f t="shared" si="5"/>
        <v>3</v>
      </c>
      <c r="H20" s="55">
        <f t="shared" si="6"/>
        <v>2</v>
      </c>
      <c r="I20" s="55">
        <f t="shared" si="7"/>
        <v>2</v>
      </c>
      <c r="J20" s="55">
        <f t="shared" si="8"/>
        <v>3</v>
      </c>
      <c r="K20" s="56">
        <f t="shared" si="9"/>
        <v>3</v>
      </c>
      <c r="L20" s="56">
        <f>$S$7</f>
        <v>6</v>
      </c>
      <c r="M20" s="138" t="s">
        <v>84</v>
      </c>
      <c r="N20" s="139"/>
      <c r="O20" s="140"/>
      <c r="P20" s="143" t="s">
        <v>133</v>
      </c>
      <c r="Q20" s="143" t="s">
        <v>134</v>
      </c>
      <c r="R20" s="143" t="s">
        <v>134</v>
      </c>
      <c r="S20" s="143" t="s">
        <v>134</v>
      </c>
      <c r="T20" s="69" t="s">
        <v>119</v>
      </c>
      <c r="U20" s="69">
        <v>1</v>
      </c>
      <c r="V20" s="78" t="s">
        <v>208</v>
      </c>
      <c r="W20" s="69">
        <v>1</v>
      </c>
      <c r="X20" s="70" t="s">
        <v>188</v>
      </c>
      <c r="Y20" s="58">
        <f t="shared" si="12"/>
        <v>3</v>
      </c>
      <c r="Z20" s="61"/>
    </row>
    <row r="21" spans="1:26" ht="35.25" customHeight="1">
      <c r="A21" s="59"/>
      <c r="B21" s="60"/>
      <c r="C21" s="60"/>
      <c r="D21" s="60"/>
      <c r="E21" s="60"/>
      <c r="F21" s="60"/>
      <c r="G21" s="60"/>
      <c r="H21" s="60"/>
      <c r="I21" s="60"/>
      <c r="J21" s="60"/>
      <c r="K21" s="60"/>
      <c r="L21" s="60"/>
      <c r="M21" s="138" t="s">
        <v>85</v>
      </c>
      <c r="N21" s="139"/>
      <c r="O21" s="140"/>
      <c r="P21" s="133" t="s">
        <v>135</v>
      </c>
      <c r="Q21" s="134"/>
      <c r="R21" s="134"/>
      <c r="S21" s="134"/>
      <c r="T21" s="69" t="s">
        <v>119</v>
      </c>
      <c r="U21" s="69">
        <v>1</v>
      </c>
      <c r="V21" s="61" t="s">
        <v>209</v>
      </c>
      <c r="W21" s="69">
        <v>2</v>
      </c>
      <c r="X21" s="70" t="s">
        <v>193</v>
      </c>
      <c r="Y21" s="58">
        <f t="shared" si="12"/>
        <v>6</v>
      </c>
      <c r="Z21" s="61"/>
    </row>
    <row r="22" spans="1:26" ht="31">
      <c r="A22" s="59"/>
      <c r="B22" s="60"/>
      <c r="C22" s="60"/>
      <c r="D22" s="60"/>
      <c r="E22" s="60"/>
      <c r="F22" s="60"/>
      <c r="G22" s="60"/>
      <c r="H22" s="60"/>
      <c r="I22" s="60"/>
      <c r="J22" s="60"/>
      <c r="K22" s="60"/>
      <c r="L22" s="60"/>
      <c r="M22" s="158" t="s">
        <v>85</v>
      </c>
      <c r="N22" s="159"/>
      <c r="O22" s="160"/>
      <c r="P22" s="133" t="s">
        <v>136</v>
      </c>
      <c r="Q22" s="134"/>
      <c r="R22" s="134"/>
      <c r="S22" s="134"/>
      <c r="T22" s="69" t="s">
        <v>119</v>
      </c>
      <c r="U22" s="69">
        <v>1</v>
      </c>
      <c r="V22" s="61" t="s">
        <v>209</v>
      </c>
      <c r="W22" s="69">
        <v>2</v>
      </c>
      <c r="X22" s="70" t="s">
        <v>193</v>
      </c>
      <c r="Y22" s="58">
        <f t="shared" si="12"/>
        <v>6</v>
      </c>
      <c r="Z22" s="61"/>
    </row>
    <row r="23" spans="1:26" ht="36" customHeight="1">
      <c r="A23" s="59"/>
      <c r="B23" s="60"/>
      <c r="C23" s="60"/>
      <c r="D23" s="60"/>
      <c r="E23" s="60"/>
      <c r="F23" s="60"/>
      <c r="G23" s="60"/>
      <c r="H23" s="60"/>
      <c r="I23" s="60"/>
      <c r="J23" s="60"/>
      <c r="K23" s="60"/>
      <c r="L23" s="60"/>
      <c r="M23" s="138" t="s">
        <v>86</v>
      </c>
      <c r="N23" s="139"/>
      <c r="O23" s="140"/>
      <c r="P23" s="133" t="s">
        <v>137</v>
      </c>
      <c r="Q23" s="134"/>
      <c r="R23" s="134"/>
      <c r="S23" s="134"/>
      <c r="T23" s="69" t="s">
        <v>119</v>
      </c>
      <c r="U23" s="69">
        <v>1</v>
      </c>
      <c r="V23" s="61" t="s">
        <v>209</v>
      </c>
      <c r="W23" s="69">
        <v>2</v>
      </c>
      <c r="X23" s="70" t="s">
        <v>193</v>
      </c>
      <c r="Y23" s="58">
        <f t="shared" si="12"/>
        <v>6</v>
      </c>
      <c r="Z23" s="61"/>
    </row>
    <row r="24" spans="1:26" ht="31">
      <c r="A24" s="59"/>
      <c r="B24" s="60"/>
      <c r="C24" s="60"/>
      <c r="D24" s="60"/>
      <c r="E24" s="60"/>
      <c r="F24" s="60"/>
      <c r="G24" s="60"/>
      <c r="H24" s="60"/>
      <c r="I24" s="60"/>
      <c r="J24" s="60"/>
      <c r="K24" s="60"/>
      <c r="L24" s="60"/>
      <c r="M24" s="158" t="s">
        <v>86</v>
      </c>
      <c r="N24" s="159"/>
      <c r="O24" s="160"/>
      <c r="P24" s="133" t="s">
        <v>138</v>
      </c>
      <c r="Q24" s="134"/>
      <c r="R24" s="134"/>
      <c r="S24" s="134"/>
      <c r="T24" s="69" t="s">
        <v>119</v>
      </c>
      <c r="U24" s="69">
        <v>1</v>
      </c>
      <c r="V24" s="61" t="s">
        <v>209</v>
      </c>
      <c r="W24" s="69">
        <v>2</v>
      </c>
      <c r="X24" s="70" t="s">
        <v>193</v>
      </c>
      <c r="Y24" s="58">
        <f t="shared" si="12"/>
        <v>6</v>
      </c>
      <c r="Z24" s="61"/>
    </row>
    <row r="25" spans="1:26" ht="46.5">
      <c r="A25" s="59"/>
      <c r="B25" s="60"/>
      <c r="C25" s="60"/>
      <c r="D25" s="60"/>
      <c r="E25" s="60"/>
      <c r="F25" s="60"/>
      <c r="G25" s="60"/>
      <c r="H25" s="60"/>
      <c r="I25" s="60"/>
      <c r="J25" s="60"/>
      <c r="K25" s="60"/>
      <c r="L25" s="60"/>
      <c r="M25" s="130" t="s">
        <v>87</v>
      </c>
      <c r="N25" s="131"/>
      <c r="O25" s="132"/>
      <c r="P25" s="133" t="s">
        <v>139</v>
      </c>
      <c r="Q25" s="134"/>
      <c r="R25" s="134"/>
      <c r="S25" s="134"/>
      <c r="T25" s="69" t="s">
        <v>119</v>
      </c>
      <c r="U25" s="69">
        <v>1</v>
      </c>
      <c r="V25" s="61" t="s">
        <v>209</v>
      </c>
      <c r="W25" s="69">
        <v>2</v>
      </c>
      <c r="X25" s="70" t="s">
        <v>194</v>
      </c>
      <c r="Y25" s="58">
        <f t="shared" si="12"/>
        <v>6</v>
      </c>
      <c r="Z25" s="61"/>
    </row>
    <row r="26" spans="1:26" s="76" customFormat="1" ht="47" customHeight="1">
      <c r="A26" s="74"/>
      <c r="B26" s="74"/>
      <c r="C26" s="74"/>
      <c r="D26" s="74"/>
      <c r="E26" s="74"/>
      <c r="F26" s="74"/>
      <c r="G26" s="74"/>
      <c r="H26" s="74"/>
      <c r="I26" s="74"/>
      <c r="J26" s="74"/>
      <c r="K26" s="74"/>
      <c r="L26" s="74"/>
      <c r="M26" s="138" t="s">
        <v>198</v>
      </c>
      <c r="N26" s="139"/>
      <c r="O26" s="140"/>
      <c r="P26" s="127" t="s">
        <v>199</v>
      </c>
      <c r="Q26" s="127"/>
      <c r="R26" s="127"/>
      <c r="S26" s="128"/>
      <c r="T26" s="84" t="s">
        <v>119</v>
      </c>
      <c r="U26" s="84">
        <v>1</v>
      </c>
      <c r="V26" s="73" t="s">
        <v>200</v>
      </c>
      <c r="W26" s="84">
        <v>2</v>
      </c>
      <c r="X26" s="73" t="s">
        <v>201</v>
      </c>
      <c r="Y26" s="58">
        <f t="shared" si="12"/>
        <v>6</v>
      </c>
      <c r="Z26" s="75"/>
    </row>
    <row r="27" spans="1:26" s="76" customFormat="1" ht="51" customHeight="1">
      <c r="A27" s="74"/>
      <c r="B27" s="74"/>
      <c r="C27" s="74"/>
      <c r="D27" s="74"/>
      <c r="E27" s="74"/>
      <c r="F27" s="74"/>
      <c r="G27" s="74"/>
      <c r="H27" s="74"/>
      <c r="I27" s="74"/>
      <c r="J27" s="74"/>
      <c r="K27" s="74"/>
      <c r="L27" s="74"/>
      <c r="M27" s="161"/>
      <c r="N27" s="162"/>
      <c r="O27" s="163"/>
      <c r="P27" s="127" t="s">
        <v>212</v>
      </c>
      <c r="Q27" s="127"/>
      <c r="R27" s="127"/>
      <c r="S27" s="128"/>
      <c r="T27" s="85" t="s">
        <v>119</v>
      </c>
      <c r="U27" s="85">
        <v>1</v>
      </c>
      <c r="V27" s="73" t="s">
        <v>200</v>
      </c>
      <c r="W27" s="85">
        <v>2</v>
      </c>
      <c r="X27" s="73" t="s">
        <v>213</v>
      </c>
      <c r="Y27" s="58">
        <f t="shared" si="12"/>
        <v>6</v>
      </c>
      <c r="Z27" s="75"/>
    </row>
    <row r="28" spans="1:26" s="76" customFormat="1" ht="31" customHeight="1">
      <c r="A28" s="74"/>
      <c r="B28" s="74"/>
      <c r="C28" s="74"/>
      <c r="D28" s="74"/>
      <c r="E28" s="74"/>
      <c r="F28" s="74"/>
      <c r="G28" s="74"/>
      <c r="H28" s="74"/>
      <c r="I28" s="74"/>
      <c r="J28" s="74"/>
      <c r="K28" s="74"/>
      <c r="L28" s="74"/>
      <c r="M28" s="130"/>
      <c r="N28" s="131"/>
      <c r="O28" s="132"/>
      <c r="P28" s="127" t="s">
        <v>214</v>
      </c>
      <c r="Q28" s="127"/>
      <c r="R28" s="127"/>
      <c r="S28" s="128"/>
      <c r="T28" s="85" t="s">
        <v>142</v>
      </c>
      <c r="U28" s="85"/>
      <c r="V28" s="73"/>
      <c r="W28" s="85"/>
      <c r="X28" s="73"/>
      <c r="Y28" s="58" t="str">
        <f t="shared" si="12"/>
        <v>不適用</v>
      </c>
      <c r="Z28" s="75"/>
    </row>
    <row r="29" spans="1:26">
      <c r="A29" s="147"/>
      <c r="B29" s="148"/>
      <c r="C29" s="148"/>
      <c r="D29" s="149"/>
      <c r="E29" s="150" t="s">
        <v>140</v>
      </c>
      <c r="F29" s="151"/>
      <c r="G29" s="151"/>
      <c r="H29" s="151"/>
      <c r="I29" s="151"/>
      <c r="J29" s="151"/>
      <c r="K29" s="151"/>
      <c r="L29" s="151"/>
      <c r="M29" s="152" t="s">
        <v>88</v>
      </c>
      <c r="N29" s="153"/>
      <c r="O29" s="154"/>
      <c r="P29" s="155" t="s">
        <v>141</v>
      </c>
      <c r="Q29" s="156"/>
      <c r="R29" s="156"/>
      <c r="S29" s="157"/>
      <c r="T29" s="62" t="s">
        <v>142</v>
      </c>
      <c r="U29" s="62"/>
      <c r="V29" s="63"/>
      <c r="W29" s="62"/>
      <c r="X29" s="63"/>
      <c r="Y29" s="64" t="str">
        <f t="shared" si="12"/>
        <v>不適用</v>
      </c>
      <c r="Z29" s="57"/>
    </row>
    <row r="34" spans="13:13">
      <c r="M34" s="7"/>
    </row>
  </sheetData>
  <sheetProtection formatCells="0" formatColumns="0" formatRows="0" insertColumns="0" insertRows="0" insertHyperlinks="0" deleteColumns="0" deleteRows="0" sort="0" autoFilter="0" pivotTables="0"/>
  <autoFilter ref="M10:Z10" xr:uid="{00000000-0009-0000-0000-000006000000}">
    <filterColumn colId="0" showButton="0"/>
    <filterColumn colId="1" showButton="0"/>
    <filterColumn colId="3" showButton="0"/>
    <filterColumn colId="4" showButton="0"/>
    <filterColumn colId="5" showButton="0"/>
  </autoFilter>
  <mergeCells count="49">
    <mergeCell ref="M25:O25"/>
    <mergeCell ref="P25:S25"/>
    <mergeCell ref="A29:D29"/>
    <mergeCell ref="E29:L29"/>
    <mergeCell ref="M29:O29"/>
    <mergeCell ref="P29:S29"/>
    <mergeCell ref="M26:O26"/>
    <mergeCell ref="P26:S26"/>
    <mergeCell ref="M27:O27"/>
    <mergeCell ref="P27:S27"/>
    <mergeCell ref="M28:O28"/>
    <mergeCell ref="P28:S28"/>
    <mergeCell ref="M22:O22"/>
    <mergeCell ref="P22:S22"/>
    <mergeCell ref="M23:O23"/>
    <mergeCell ref="P23:S23"/>
    <mergeCell ref="M24:O24"/>
    <mergeCell ref="P24:S24"/>
    <mergeCell ref="M19:O19"/>
    <mergeCell ref="P19:S19"/>
    <mergeCell ref="M20:O20"/>
    <mergeCell ref="P20:S20"/>
    <mergeCell ref="M21:O21"/>
    <mergeCell ref="P21:S21"/>
    <mergeCell ref="M16:O16"/>
    <mergeCell ref="P16:S16"/>
    <mergeCell ref="M17:O17"/>
    <mergeCell ref="P17:S17"/>
    <mergeCell ref="M18:O18"/>
    <mergeCell ref="P18:S18"/>
    <mergeCell ref="M13:O13"/>
    <mergeCell ref="P13:S13"/>
    <mergeCell ref="M14:O14"/>
    <mergeCell ref="P14:S14"/>
    <mergeCell ref="M15:O15"/>
    <mergeCell ref="P15:S15"/>
    <mergeCell ref="M12:O12"/>
    <mergeCell ref="P12:S12"/>
    <mergeCell ref="M1:Z1"/>
    <mergeCell ref="N2:P2"/>
    <mergeCell ref="N3:P3"/>
    <mergeCell ref="N4:P4"/>
    <mergeCell ref="N5:P5"/>
    <mergeCell ref="N6:P6"/>
    <mergeCell ref="N7:P7"/>
    <mergeCell ref="M10:O10"/>
    <mergeCell ref="P10:S10"/>
    <mergeCell ref="M11:O11"/>
    <mergeCell ref="P11:S11"/>
  </mergeCells>
  <phoneticPr fontId="1" type="noConversion"/>
  <dataValidations count="2">
    <dataValidation type="list" allowBlank="1" showInputMessage="1" showErrorMessage="1" sqref="T65541:T65564 JI65541:JI65564 TE65541:TE65564 ADA65541:ADA65564 AMW65541:AMW65564 AWS65541:AWS65564 BGO65541:BGO65564 BQK65541:BQK65564 CAG65541:CAG65564 CKC65541:CKC65564 CTY65541:CTY65564 DDU65541:DDU65564 DNQ65541:DNQ65564 DXM65541:DXM65564 EHI65541:EHI65564 ERE65541:ERE65564 FBA65541:FBA65564 FKW65541:FKW65564 FUS65541:FUS65564 GEO65541:GEO65564 GOK65541:GOK65564 GYG65541:GYG65564 HIC65541:HIC65564 HRY65541:HRY65564 IBU65541:IBU65564 ILQ65541:ILQ65564 IVM65541:IVM65564 JFI65541:JFI65564 JPE65541:JPE65564 JZA65541:JZA65564 KIW65541:KIW65564 KSS65541:KSS65564 LCO65541:LCO65564 LMK65541:LMK65564 LWG65541:LWG65564 MGC65541:MGC65564 MPY65541:MPY65564 MZU65541:MZU65564 NJQ65541:NJQ65564 NTM65541:NTM65564 ODI65541:ODI65564 ONE65541:ONE65564 OXA65541:OXA65564 PGW65541:PGW65564 PQS65541:PQS65564 QAO65541:QAO65564 QKK65541:QKK65564 QUG65541:QUG65564 REC65541:REC65564 RNY65541:RNY65564 RXU65541:RXU65564 SHQ65541:SHQ65564 SRM65541:SRM65564 TBI65541:TBI65564 TLE65541:TLE65564 TVA65541:TVA65564 UEW65541:UEW65564 UOS65541:UOS65564 UYO65541:UYO65564 VIK65541:VIK65564 VSG65541:VSG65564 WCC65541:WCC65564 WLY65541:WLY65564 WVU65541:WVU65564 T131077:T131100 JI131077:JI131100 TE131077:TE131100 ADA131077:ADA131100 AMW131077:AMW131100 AWS131077:AWS131100 BGO131077:BGO131100 BQK131077:BQK131100 CAG131077:CAG131100 CKC131077:CKC131100 CTY131077:CTY131100 DDU131077:DDU131100 DNQ131077:DNQ131100 DXM131077:DXM131100 EHI131077:EHI131100 ERE131077:ERE131100 FBA131077:FBA131100 FKW131077:FKW131100 FUS131077:FUS131100 GEO131077:GEO131100 GOK131077:GOK131100 GYG131077:GYG131100 HIC131077:HIC131100 HRY131077:HRY131100 IBU131077:IBU131100 ILQ131077:ILQ131100 IVM131077:IVM131100 JFI131077:JFI131100 JPE131077:JPE131100 JZA131077:JZA131100 KIW131077:KIW131100 KSS131077:KSS131100 LCO131077:LCO131100 LMK131077:LMK131100 LWG131077:LWG131100 MGC131077:MGC131100 MPY131077:MPY131100 MZU131077:MZU131100 NJQ131077:NJQ131100 NTM131077:NTM131100 ODI131077:ODI131100 ONE131077:ONE131100 OXA131077:OXA131100 PGW131077:PGW131100 PQS131077:PQS131100 QAO131077:QAO131100 QKK131077:QKK131100 QUG131077:QUG131100 REC131077:REC131100 RNY131077:RNY131100 RXU131077:RXU131100 SHQ131077:SHQ131100 SRM131077:SRM131100 TBI131077:TBI131100 TLE131077:TLE131100 TVA131077:TVA131100 UEW131077:UEW131100 UOS131077:UOS131100 UYO131077:UYO131100 VIK131077:VIK131100 VSG131077:VSG131100 WCC131077:WCC131100 WLY131077:WLY131100 WVU131077:WVU131100 T196613:T196636 JI196613:JI196636 TE196613:TE196636 ADA196613:ADA196636 AMW196613:AMW196636 AWS196613:AWS196636 BGO196613:BGO196636 BQK196613:BQK196636 CAG196613:CAG196636 CKC196613:CKC196636 CTY196613:CTY196636 DDU196613:DDU196636 DNQ196613:DNQ196636 DXM196613:DXM196636 EHI196613:EHI196636 ERE196613:ERE196636 FBA196613:FBA196636 FKW196613:FKW196636 FUS196613:FUS196636 GEO196613:GEO196636 GOK196613:GOK196636 GYG196613:GYG196636 HIC196613:HIC196636 HRY196613:HRY196636 IBU196613:IBU196636 ILQ196613:ILQ196636 IVM196613:IVM196636 JFI196613:JFI196636 JPE196613:JPE196636 JZA196613:JZA196636 KIW196613:KIW196636 KSS196613:KSS196636 LCO196613:LCO196636 LMK196613:LMK196636 LWG196613:LWG196636 MGC196613:MGC196636 MPY196613:MPY196636 MZU196613:MZU196636 NJQ196613:NJQ196636 NTM196613:NTM196636 ODI196613:ODI196636 ONE196613:ONE196636 OXA196613:OXA196636 PGW196613:PGW196636 PQS196613:PQS196636 QAO196613:QAO196636 QKK196613:QKK196636 QUG196613:QUG196636 REC196613:REC196636 RNY196613:RNY196636 RXU196613:RXU196636 SHQ196613:SHQ196636 SRM196613:SRM196636 TBI196613:TBI196636 TLE196613:TLE196636 TVA196613:TVA196636 UEW196613:UEW196636 UOS196613:UOS196636 UYO196613:UYO196636 VIK196613:VIK196636 VSG196613:VSG196636 WCC196613:WCC196636 WLY196613:WLY196636 WVU196613:WVU196636 T262149:T262172 JI262149:JI262172 TE262149:TE262172 ADA262149:ADA262172 AMW262149:AMW262172 AWS262149:AWS262172 BGO262149:BGO262172 BQK262149:BQK262172 CAG262149:CAG262172 CKC262149:CKC262172 CTY262149:CTY262172 DDU262149:DDU262172 DNQ262149:DNQ262172 DXM262149:DXM262172 EHI262149:EHI262172 ERE262149:ERE262172 FBA262149:FBA262172 FKW262149:FKW262172 FUS262149:FUS262172 GEO262149:GEO262172 GOK262149:GOK262172 GYG262149:GYG262172 HIC262149:HIC262172 HRY262149:HRY262172 IBU262149:IBU262172 ILQ262149:ILQ262172 IVM262149:IVM262172 JFI262149:JFI262172 JPE262149:JPE262172 JZA262149:JZA262172 KIW262149:KIW262172 KSS262149:KSS262172 LCO262149:LCO262172 LMK262149:LMK262172 LWG262149:LWG262172 MGC262149:MGC262172 MPY262149:MPY262172 MZU262149:MZU262172 NJQ262149:NJQ262172 NTM262149:NTM262172 ODI262149:ODI262172 ONE262149:ONE262172 OXA262149:OXA262172 PGW262149:PGW262172 PQS262149:PQS262172 QAO262149:QAO262172 QKK262149:QKK262172 QUG262149:QUG262172 REC262149:REC262172 RNY262149:RNY262172 RXU262149:RXU262172 SHQ262149:SHQ262172 SRM262149:SRM262172 TBI262149:TBI262172 TLE262149:TLE262172 TVA262149:TVA262172 UEW262149:UEW262172 UOS262149:UOS262172 UYO262149:UYO262172 VIK262149:VIK262172 VSG262149:VSG262172 WCC262149:WCC262172 WLY262149:WLY262172 WVU262149:WVU262172 T327685:T327708 JI327685:JI327708 TE327685:TE327708 ADA327685:ADA327708 AMW327685:AMW327708 AWS327685:AWS327708 BGO327685:BGO327708 BQK327685:BQK327708 CAG327685:CAG327708 CKC327685:CKC327708 CTY327685:CTY327708 DDU327685:DDU327708 DNQ327685:DNQ327708 DXM327685:DXM327708 EHI327685:EHI327708 ERE327685:ERE327708 FBA327685:FBA327708 FKW327685:FKW327708 FUS327685:FUS327708 GEO327685:GEO327708 GOK327685:GOK327708 GYG327685:GYG327708 HIC327685:HIC327708 HRY327685:HRY327708 IBU327685:IBU327708 ILQ327685:ILQ327708 IVM327685:IVM327708 JFI327685:JFI327708 JPE327685:JPE327708 JZA327685:JZA327708 KIW327685:KIW327708 KSS327685:KSS327708 LCO327685:LCO327708 LMK327685:LMK327708 LWG327685:LWG327708 MGC327685:MGC327708 MPY327685:MPY327708 MZU327685:MZU327708 NJQ327685:NJQ327708 NTM327685:NTM327708 ODI327685:ODI327708 ONE327685:ONE327708 OXA327685:OXA327708 PGW327685:PGW327708 PQS327685:PQS327708 QAO327685:QAO327708 QKK327685:QKK327708 QUG327685:QUG327708 REC327685:REC327708 RNY327685:RNY327708 RXU327685:RXU327708 SHQ327685:SHQ327708 SRM327685:SRM327708 TBI327685:TBI327708 TLE327685:TLE327708 TVA327685:TVA327708 UEW327685:UEW327708 UOS327685:UOS327708 UYO327685:UYO327708 VIK327685:VIK327708 VSG327685:VSG327708 WCC327685:WCC327708 WLY327685:WLY327708 WVU327685:WVU327708 T393221:T393244 JI393221:JI393244 TE393221:TE393244 ADA393221:ADA393244 AMW393221:AMW393244 AWS393221:AWS393244 BGO393221:BGO393244 BQK393221:BQK393244 CAG393221:CAG393244 CKC393221:CKC393244 CTY393221:CTY393244 DDU393221:DDU393244 DNQ393221:DNQ393244 DXM393221:DXM393244 EHI393221:EHI393244 ERE393221:ERE393244 FBA393221:FBA393244 FKW393221:FKW393244 FUS393221:FUS393244 GEO393221:GEO393244 GOK393221:GOK393244 GYG393221:GYG393244 HIC393221:HIC393244 HRY393221:HRY393244 IBU393221:IBU393244 ILQ393221:ILQ393244 IVM393221:IVM393244 JFI393221:JFI393244 JPE393221:JPE393244 JZA393221:JZA393244 KIW393221:KIW393244 KSS393221:KSS393244 LCO393221:LCO393244 LMK393221:LMK393244 LWG393221:LWG393244 MGC393221:MGC393244 MPY393221:MPY393244 MZU393221:MZU393244 NJQ393221:NJQ393244 NTM393221:NTM393244 ODI393221:ODI393244 ONE393221:ONE393244 OXA393221:OXA393244 PGW393221:PGW393244 PQS393221:PQS393244 QAO393221:QAO393244 QKK393221:QKK393244 QUG393221:QUG393244 REC393221:REC393244 RNY393221:RNY393244 RXU393221:RXU393244 SHQ393221:SHQ393244 SRM393221:SRM393244 TBI393221:TBI393244 TLE393221:TLE393244 TVA393221:TVA393244 UEW393221:UEW393244 UOS393221:UOS393244 UYO393221:UYO393244 VIK393221:VIK393244 VSG393221:VSG393244 WCC393221:WCC393244 WLY393221:WLY393244 WVU393221:WVU393244 T458757:T458780 JI458757:JI458780 TE458757:TE458780 ADA458757:ADA458780 AMW458757:AMW458780 AWS458757:AWS458780 BGO458757:BGO458780 BQK458757:BQK458780 CAG458757:CAG458780 CKC458757:CKC458780 CTY458757:CTY458780 DDU458757:DDU458780 DNQ458757:DNQ458780 DXM458757:DXM458780 EHI458757:EHI458780 ERE458757:ERE458780 FBA458757:FBA458780 FKW458757:FKW458780 FUS458757:FUS458780 GEO458757:GEO458780 GOK458757:GOK458780 GYG458757:GYG458780 HIC458757:HIC458780 HRY458757:HRY458780 IBU458757:IBU458780 ILQ458757:ILQ458780 IVM458757:IVM458780 JFI458757:JFI458780 JPE458757:JPE458780 JZA458757:JZA458780 KIW458757:KIW458780 KSS458757:KSS458780 LCO458757:LCO458780 LMK458757:LMK458780 LWG458757:LWG458780 MGC458757:MGC458780 MPY458757:MPY458780 MZU458757:MZU458780 NJQ458757:NJQ458780 NTM458757:NTM458780 ODI458757:ODI458780 ONE458757:ONE458780 OXA458757:OXA458780 PGW458757:PGW458780 PQS458757:PQS458780 QAO458757:QAO458780 QKK458757:QKK458780 QUG458757:QUG458780 REC458757:REC458780 RNY458757:RNY458780 RXU458757:RXU458780 SHQ458757:SHQ458780 SRM458757:SRM458780 TBI458757:TBI458780 TLE458757:TLE458780 TVA458757:TVA458780 UEW458757:UEW458780 UOS458757:UOS458780 UYO458757:UYO458780 VIK458757:VIK458780 VSG458757:VSG458780 WCC458757:WCC458780 WLY458757:WLY458780 WVU458757:WVU458780 T524293:T524316 JI524293:JI524316 TE524293:TE524316 ADA524293:ADA524316 AMW524293:AMW524316 AWS524293:AWS524316 BGO524293:BGO524316 BQK524293:BQK524316 CAG524293:CAG524316 CKC524293:CKC524316 CTY524293:CTY524316 DDU524293:DDU524316 DNQ524293:DNQ524316 DXM524293:DXM524316 EHI524293:EHI524316 ERE524293:ERE524316 FBA524293:FBA524316 FKW524293:FKW524316 FUS524293:FUS524316 GEO524293:GEO524316 GOK524293:GOK524316 GYG524293:GYG524316 HIC524293:HIC524316 HRY524293:HRY524316 IBU524293:IBU524316 ILQ524293:ILQ524316 IVM524293:IVM524316 JFI524293:JFI524316 JPE524293:JPE524316 JZA524293:JZA524316 KIW524293:KIW524316 KSS524293:KSS524316 LCO524293:LCO524316 LMK524293:LMK524316 LWG524293:LWG524316 MGC524293:MGC524316 MPY524293:MPY524316 MZU524293:MZU524316 NJQ524293:NJQ524316 NTM524293:NTM524316 ODI524293:ODI524316 ONE524293:ONE524316 OXA524293:OXA524316 PGW524293:PGW524316 PQS524293:PQS524316 QAO524293:QAO524316 QKK524293:QKK524316 QUG524293:QUG524316 REC524293:REC524316 RNY524293:RNY524316 RXU524293:RXU524316 SHQ524293:SHQ524316 SRM524293:SRM524316 TBI524293:TBI524316 TLE524293:TLE524316 TVA524293:TVA524316 UEW524293:UEW524316 UOS524293:UOS524316 UYO524293:UYO524316 VIK524293:VIK524316 VSG524293:VSG524316 WCC524293:WCC524316 WLY524293:WLY524316 WVU524293:WVU524316 T589829:T589852 JI589829:JI589852 TE589829:TE589852 ADA589829:ADA589852 AMW589829:AMW589852 AWS589829:AWS589852 BGO589829:BGO589852 BQK589829:BQK589852 CAG589829:CAG589852 CKC589829:CKC589852 CTY589829:CTY589852 DDU589829:DDU589852 DNQ589829:DNQ589852 DXM589829:DXM589852 EHI589829:EHI589852 ERE589829:ERE589852 FBA589829:FBA589852 FKW589829:FKW589852 FUS589829:FUS589852 GEO589829:GEO589852 GOK589829:GOK589852 GYG589829:GYG589852 HIC589829:HIC589852 HRY589829:HRY589852 IBU589829:IBU589852 ILQ589829:ILQ589852 IVM589829:IVM589852 JFI589829:JFI589852 JPE589829:JPE589852 JZA589829:JZA589852 KIW589829:KIW589852 KSS589829:KSS589852 LCO589829:LCO589852 LMK589829:LMK589852 LWG589829:LWG589852 MGC589829:MGC589852 MPY589829:MPY589852 MZU589829:MZU589852 NJQ589829:NJQ589852 NTM589829:NTM589852 ODI589829:ODI589852 ONE589829:ONE589852 OXA589829:OXA589852 PGW589829:PGW589852 PQS589829:PQS589852 QAO589829:QAO589852 QKK589829:QKK589852 QUG589829:QUG589852 REC589829:REC589852 RNY589829:RNY589852 RXU589829:RXU589852 SHQ589829:SHQ589852 SRM589829:SRM589852 TBI589829:TBI589852 TLE589829:TLE589852 TVA589829:TVA589852 UEW589829:UEW589852 UOS589829:UOS589852 UYO589829:UYO589852 VIK589829:VIK589852 VSG589829:VSG589852 WCC589829:WCC589852 WLY589829:WLY589852 WVU589829:WVU589852 T655365:T655388 JI655365:JI655388 TE655365:TE655388 ADA655365:ADA655388 AMW655365:AMW655388 AWS655365:AWS655388 BGO655365:BGO655388 BQK655365:BQK655388 CAG655365:CAG655388 CKC655365:CKC655388 CTY655365:CTY655388 DDU655365:DDU655388 DNQ655365:DNQ655388 DXM655365:DXM655388 EHI655365:EHI655388 ERE655365:ERE655388 FBA655365:FBA655388 FKW655365:FKW655388 FUS655365:FUS655388 GEO655365:GEO655388 GOK655365:GOK655388 GYG655365:GYG655388 HIC655365:HIC655388 HRY655365:HRY655388 IBU655365:IBU655388 ILQ655365:ILQ655388 IVM655365:IVM655388 JFI655365:JFI655388 JPE655365:JPE655388 JZA655365:JZA655388 KIW655365:KIW655388 KSS655365:KSS655388 LCO655365:LCO655388 LMK655365:LMK655388 LWG655365:LWG655388 MGC655365:MGC655388 MPY655365:MPY655388 MZU655365:MZU655388 NJQ655365:NJQ655388 NTM655365:NTM655388 ODI655365:ODI655388 ONE655365:ONE655388 OXA655365:OXA655388 PGW655365:PGW655388 PQS655365:PQS655388 QAO655365:QAO655388 QKK655365:QKK655388 QUG655365:QUG655388 REC655365:REC655388 RNY655365:RNY655388 RXU655365:RXU655388 SHQ655365:SHQ655388 SRM655365:SRM655388 TBI655365:TBI655388 TLE655365:TLE655388 TVA655365:TVA655388 UEW655365:UEW655388 UOS655365:UOS655388 UYO655365:UYO655388 VIK655365:VIK655388 VSG655365:VSG655388 WCC655365:WCC655388 WLY655365:WLY655388 WVU655365:WVU655388 T720901:T720924 JI720901:JI720924 TE720901:TE720924 ADA720901:ADA720924 AMW720901:AMW720924 AWS720901:AWS720924 BGO720901:BGO720924 BQK720901:BQK720924 CAG720901:CAG720924 CKC720901:CKC720924 CTY720901:CTY720924 DDU720901:DDU720924 DNQ720901:DNQ720924 DXM720901:DXM720924 EHI720901:EHI720924 ERE720901:ERE720924 FBA720901:FBA720924 FKW720901:FKW720924 FUS720901:FUS720924 GEO720901:GEO720924 GOK720901:GOK720924 GYG720901:GYG720924 HIC720901:HIC720924 HRY720901:HRY720924 IBU720901:IBU720924 ILQ720901:ILQ720924 IVM720901:IVM720924 JFI720901:JFI720924 JPE720901:JPE720924 JZA720901:JZA720924 KIW720901:KIW720924 KSS720901:KSS720924 LCO720901:LCO720924 LMK720901:LMK720924 LWG720901:LWG720924 MGC720901:MGC720924 MPY720901:MPY720924 MZU720901:MZU720924 NJQ720901:NJQ720924 NTM720901:NTM720924 ODI720901:ODI720924 ONE720901:ONE720924 OXA720901:OXA720924 PGW720901:PGW720924 PQS720901:PQS720924 QAO720901:QAO720924 QKK720901:QKK720924 QUG720901:QUG720924 REC720901:REC720924 RNY720901:RNY720924 RXU720901:RXU720924 SHQ720901:SHQ720924 SRM720901:SRM720924 TBI720901:TBI720924 TLE720901:TLE720924 TVA720901:TVA720924 UEW720901:UEW720924 UOS720901:UOS720924 UYO720901:UYO720924 VIK720901:VIK720924 VSG720901:VSG720924 WCC720901:WCC720924 WLY720901:WLY720924 WVU720901:WVU720924 T786437:T786460 JI786437:JI786460 TE786437:TE786460 ADA786437:ADA786460 AMW786437:AMW786460 AWS786437:AWS786460 BGO786437:BGO786460 BQK786437:BQK786460 CAG786437:CAG786460 CKC786437:CKC786460 CTY786437:CTY786460 DDU786437:DDU786460 DNQ786437:DNQ786460 DXM786437:DXM786460 EHI786437:EHI786460 ERE786437:ERE786460 FBA786437:FBA786460 FKW786437:FKW786460 FUS786437:FUS786460 GEO786437:GEO786460 GOK786437:GOK786460 GYG786437:GYG786460 HIC786437:HIC786460 HRY786437:HRY786460 IBU786437:IBU786460 ILQ786437:ILQ786460 IVM786437:IVM786460 JFI786437:JFI786460 JPE786437:JPE786460 JZA786437:JZA786460 KIW786437:KIW786460 KSS786437:KSS786460 LCO786437:LCO786460 LMK786437:LMK786460 LWG786437:LWG786460 MGC786437:MGC786460 MPY786437:MPY786460 MZU786437:MZU786460 NJQ786437:NJQ786460 NTM786437:NTM786460 ODI786437:ODI786460 ONE786437:ONE786460 OXA786437:OXA786460 PGW786437:PGW786460 PQS786437:PQS786460 QAO786437:QAO786460 QKK786437:QKK786460 QUG786437:QUG786460 REC786437:REC786460 RNY786437:RNY786460 RXU786437:RXU786460 SHQ786437:SHQ786460 SRM786437:SRM786460 TBI786437:TBI786460 TLE786437:TLE786460 TVA786437:TVA786460 UEW786437:UEW786460 UOS786437:UOS786460 UYO786437:UYO786460 VIK786437:VIK786460 VSG786437:VSG786460 WCC786437:WCC786460 WLY786437:WLY786460 WVU786437:WVU786460 T851973:T851996 JI851973:JI851996 TE851973:TE851996 ADA851973:ADA851996 AMW851973:AMW851996 AWS851973:AWS851996 BGO851973:BGO851996 BQK851973:BQK851996 CAG851973:CAG851996 CKC851973:CKC851996 CTY851973:CTY851996 DDU851973:DDU851996 DNQ851973:DNQ851996 DXM851973:DXM851996 EHI851973:EHI851996 ERE851973:ERE851996 FBA851973:FBA851996 FKW851973:FKW851996 FUS851973:FUS851996 GEO851973:GEO851996 GOK851973:GOK851996 GYG851973:GYG851996 HIC851973:HIC851996 HRY851973:HRY851996 IBU851973:IBU851996 ILQ851973:ILQ851996 IVM851973:IVM851996 JFI851973:JFI851996 JPE851973:JPE851996 JZA851973:JZA851996 KIW851973:KIW851996 KSS851973:KSS851996 LCO851973:LCO851996 LMK851973:LMK851996 LWG851973:LWG851996 MGC851973:MGC851996 MPY851973:MPY851996 MZU851973:MZU851996 NJQ851973:NJQ851996 NTM851973:NTM851996 ODI851973:ODI851996 ONE851973:ONE851996 OXA851973:OXA851996 PGW851973:PGW851996 PQS851973:PQS851996 QAO851973:QAO851996 QKK851973:QKK851996 QUG851973:QUG851996 REC851973:REC851996 RNY851973:RNY851996 RXU851973:RXU851996 SHQ851973:SHQ851996 SRM851973:SRM851996 TBI851973:TBI851996 TLE851973:TLE851996 TVA851973:TVA851996 UEW851973:UEW851996 UOS851973:UOS851996 UYO851973:UYO851996 VIK851973:VIK851996 VSG851973:VSG851996 WCC851973:WCC851996 WLY851973:WLY851996 WVU851973:WVU851996 T917509:T917532 JI917509:JI917532 TE917509:TE917532 ADA917509:ADA917532 AMW917509:AMW917532 AWS917509:AWS917532 BGO917509:BGO917532 BQK917509:BQK917532 CAG917509:CAG917532 CKC917509:CKC917532 CTY917509:CTY917532 DDU917509:DDU917532 DNQ917509:DNQ917532 DXM917509:DXM917532 EHI917509:EHI917532 ERE917509:ERE917532 FBA917509:FBA917532 FKW917509:FKW917532 FUS917509:FUS917532 GEO917509:GEO917532 GOK917509:GOK917532 GYG917509:GYG917532 HIC917509:HIC917532 HRY917509:HRY917532 IBU917509:IBU917532 ILQ917509:ILQ917532 IVM917509:IVM917532 JFI917509:JFI917532 JPE917509:JPE917532 JZA917509:JZA917532 KIW917509:KIW917532 KSS917509:KSS917532 LCO917509:LCO917532 LMK917509:LMK917532 LWG917509:LWG917532 MGC917509:MGC917532 MPY917509:MPY917532 MZU917509:MZU917532 NJQ917509:NJQ917532 NTM917509:NTM917532 ODI917509:ODI917532 ONE917509:ONE917532 OXA917509:OXA917532 PGW917509:PGW917532 PQS917509:PQS917532 QAO917509:QAO917532 QKK917509:QKK917532 QUG917509:QUG917532 REC917509:REC917532 RNY917509:RNY917532 RXU917509:RXU917532 SHQ917509:SHQ917532 SRM917509:SRM917532 TBI917509:TBI917532 TLE917509:TLE917532 TVA917509:TVA917532 UEW917509:UEW917532 UOS917509:UOS917532 UYO917509:UYO917532 VIK917509:VIK917532 VSG917509:VSG917532 WCC917509:WCC917532 WLY917509:WLY917532 WVU917509:WVU917532 T983045:T983068 JI983045:JI983068 TE983045:TE983068 ADA983045:ADA983068 AMW983045:AMW983068 AWS983045:AWS983068 BGO983045:BGO983068 BQK983045:BQK983068 CAG983045:CAG983068 CKC983045:CKC983068 CTY983045:CTY983068 DDU983045:DDU983068 DNQ983045:DNQ983068 DXM983045:DXM983068 EHI983045:EHI983068 ERE983045:ERE983068 FBA983045:FBA983068 FKW983045:FKW983068 FUS983045:FUS983068 GEO983045:GEO983068 GOK983045:GOK983068 GYG983045:GYG983068 HIC983045:HIC983068 HRY983045:HRY983068 IBU983045:IBU983068 ILQ983045:ILQ983068 IVM983045:IVM983068 JFI983045:JFI983068 JPE983045:JPE983068 JZA983045:JZA983068 KIW983045:KIW983068 KSS983045:KSS983068 LCO983045:LCO983068 LMK983045:LMK983068 LWG983045:LWG983068 MGC983045:MGC983068 MPY983045:MPY983068 MZU983045:MZU983068 NJQ983045:NJQ983068 NTM983045:NTM983068 ODI983045:ODI983068 ONE983045:ONE983068 OXA983045:OXA983068 PGW983045:PGW983068 PQS983045:PQS983068 QAO983045:QAO983068 QKK983045:QKK983068 QUG983045:QUG983068 REC983045:REC983068 RNY983045:RNY983068 RXU983045:RXU983068 SHQ983045:SHQ983068 SRM983045:SRM983068 TBI983045:TBI983068 TLE983045:TLE983068 TVA983045:TVA983068 UEW983045:UEW983068 UOS983045:UOS983068 UYO983045:UYO983068 VIK983045:VIK983068 VSG983045:VSG983068 WCC983045:WCC983068 WLY983045:WLY983068 WVU983045:WVU983068 WVF11:WVF25 WLJ11:WLJ25 WBN11:WBN25 VRR11:VRR25 VHV11:VHV25 UXZ11:UXZ25 UOD11:UOD25 UEH11:UEH25 TUL11:TUL25 TKP11:TKP25 TAT11:TAT25 SQX11:SQX25 SHB11:SHB25 RXF11:RXF25 RNJ11:RNJ25 RDN11:RDN25 QTR11:QTR25 QJV11:QJV25 PZZ11:PZZ25 PQD11:PQD25 PGH11:PGH25 OWL11:OWL25 OMP11:OMP25 OCT11:OCT25 NSX11:NSX25 NJB11:NJB25 MZF11:MZF25 MPJ11:MPJ25 MFN11:MFN25 LVR11:LVR25 LLV11:LLV25 LBZ11:LBZ25 KSD11:KSD25 KIH11:KIH25 JYL11:JYL25 JOP11:JOP25 JET11:JET25 IUX11:IUX25 ILB11:ILB25 IBF11:IBF25 HRJ11:HRJ25 HHN11:HHN25 GXR11:GXR25 GNV11:GNV25 GDZ11:GDZ25 FUD11:FUD25 FKH11:FKH25 FAL11:FAL25 EQP11:EQP25 EGT11:EGT25 DWX11:DWX25 DNB11:DNB25 DDF11:DDF25 CTJ11:CTJ25 CJN11:CJN25 BZR11:BZR25 BPV11:BPV25 BFZ11:BFZ25 AWD11:AWD25 AMH11:AMH25 ACL11:ACL25 SP11:SP25 IT11:IT25 T11:T29" xr:uid="{00000000-0002-0000-0600-000000000000}">
      <formula1>"Y,N"</formula1>
    </dataValidation>
    <dataValidation type="list" allowBlank="1" showInputMessage="1" showErrorMessage="1" sqref="WVX983045:WVX983068 JH5:JH7 TD5:TD7 ACZ5:ACZ7 AMV5:AMV7 AWR5:AWR7 BGN5:BGN7 BQJ5:BQJ7 CAF5:CAF7 CKB5:CKB7 CTX5:CTX7 DDT5:DDT7 DNP5:DNP7 DXL5:DXL7 EHH5:EHH7 ERD5:ERD7 FAZ5:FAZ7 FKV5:FKV7 FUR5:FUR7 GEN5:GEN7 GOJ5:GOJ7 GYF5:GYF7 HIB5:HIB7 HRX5:HRX7 IBT5:IBT7 ILP5:ILP7 IVL5:IVL7 JFH5:JFH7 JPD5:JPD7 JYZ5:JYZ7 KIV5:KIV7 KSR5:KSR7 LCN5:LCN7 LMJ5:LMJ7 LWF5:LWF7 MGB5:MGB7 MPX5:MPX7 MZT5:MZT7 NJP5:NJP7 NTL5:NTL7 ODH5:ODH7 OND5:OND7 OWZ5:OWZ7 PGV5:PGV7 PQR5:PQR7 QAN5:QAN7 QKJ5:QKJ7 QUF5:QUF7 REB5:REB7 RNX5:RNX7 RXT5:RXT7 SHP5:SHP7 SRL5:SRL7 TBH5:TBH7 TLD5:TLD7 TUZ5:TUZ7 UEV5:UEV7 UOR5:UOR7 UYN5:UYN7 VIJ5:VIJ7 VSF5:VSF7 WCB5:WCB7 WLX5:WLX7 WVT5:WVT7 S65535:S65537 JH65535:JH65537 TD65535:TD65537 ACZ65535:ACZ65537 AMV65535:AMV65537 AWR65535:AWR65537 BGN65535:BGN65537 BQJ65535:BQJ65537 CAF65535:CAF65537 CKB65535:CKB65537 CTX65535:CTX65537 DDT65535:DDT65537 DNP65535:DNP65537 DXL65535:DXL65537 EHH65535:EHH65537 ERD65535:ERD65537 FAZ65535:FAZ65537 FKV65535:FKV65537 FUR65535:FUR65537 GEN65535:GEN65537 GOJ65535:GOJ65537 GYF65535:GYF65537 HIB65535:HIB65537 HRX65535:HRX65537 IBT65535:IBT65537 ILP65535:ILP65537 IVL65535:IVL65537 JFH65535:JFH65537 JPD65535:JPD65537 JYZ65535:JYZ65537 KIV65535:KIV65537 KSR65535:KSR65537 LCN65535:LCN65537 LMJ65535:LMJ65537 LWF65535:LWF65537 MGB65535:MGB65537 MPX65535:MPX65537 MZT65535:MZT65537 NJP65535:NJP65537 NTL65535:NTL65537 ODH65535:ODH65537 OND65535:OND65537 OWZ65535:OWZ65537 PGV65535:PGV65537 PQR65535:PQR65537 QAN65535:QAN65537 QKJ65535:QKJ65537 QUF65535:QUF65537 REB65535:REB65537 RNX65535:RNX65537 RXT65535:RXT65537 SHP65535:SHP65537 SRL65535:SRL65537 TBH65535:TBH65537 TLD65535:TLD65537 TUZ65535:TUZ65537 UEV65535:UEV65537 UOR65535:UOR65537 UYN65535:UYN65537 VIJ65535:VIJ65537 VSF65535:VSF65537 WCB65535:WCB65537 WLX65535:WLX65537 WVT65535:WVT65537 S131071:S131073 JH131071:JH131073 TD131071:TD131073 ACZ131071:ACZ131073 AMV131071:AMV131073 AWR131071:AWR131073 BGN131071:BGN131073 BQJ131071:BQJ131073 CAF131071:CAF131073 CKB131071:CKB131073 CTX131071:CTX131073 DDT131071:DDT131073 DNP131071:DNP131073 DXL131071:DXL131073 EHH131071:EHH131073 ERD131071:ERD131073 FAZ131071:FAZ131073 FKV131071:FKV131073 FUR131071:FUR131073 GEN131071:GEN131073 GOJ131071:GOJ131073 GYF131071:GYF131073 HIB131071:HIB131073 HRX131071:HRX131073 IBT131071:IBT131073 ILP131071:ILP131073 IVL131071:IVL131073 JFH131071:JFH131073 JPD131071:JPD131073 JYZ131071:JYZ131073 KIV131071:KIV131073 KSR131071:KSR131073 LCN131071:LCN131073 LMJ131071:LMJ131073 LWF131071:LWF131073 MGB131071:MGB131073 MPX131071:MPX131073 MZT131071:MZT131073 NJP131071:NJP131073 NTL131071:NTL131073 ODH131071:ODH131073 OND131071:OND131073 OWZ131071:OWZ131073 PGV131071:PGV131073 PQR131071:PQR131073 QAN131071:QAN131073 QKJ131071:QKJ131073 QUF131071:QUF131073 REB131071:REB131073 RNX131071:RNX131073 RXT131071:RXT131073 SHP131071:SHP131073 SRL131071:SRL131073 TBH131071:TBH131073 TLD131071:TLD131073 TUZ131071:TUZ131073 UEV131071:UEV131073 UOR131071:UOR131073 UYN131071:UYN131073 VIJ131071:VIJ131073 VSF131071:VSF131073 WCB131071:WCB131073 WLX131071:WLX131073 WVT131071:WVT131073 S196607:S196609 JH196607:JH196609 TD196607:TD196609 ACZ196607:ACZ196609 AMV196607:AMV196609 AWR196607:AWR196609 BGN196607:BGN196609 BQJ196607:BQJ196609 CAF196607:CAF196609 CKB196607:CKB196609 CTX196607:CTX196609 DDT196607:DDT196609 DNP196607:DNP196609 DXL196607:DXL196609 EHH196607:EHH196609 ERD196607:ERD196609 FAZ196607:FAZ196609 FKV196607:FKV196609 FUR196607:FUR196609 GEN196607:GEN196609 GOJ196607:GOJ196609 GYF196607:GYF196609 HIB196607:HIB196609 HRX196607:HRX196609 IBT196607:IBT196609 ILP196607:ILP196609 IVL196607:IVL196609 JFH196607:JFH196609 JPD196607:JPD196609 JYZ196607:JYZ196609 KIV196607:KIV196609 KSR196607:KSR196609 LCN196607:LCN196609 LMJ196607:LMJ196609 LWF196607:LWF196609 MGB196607:MGB196609 MPX196607:MPX196609 MZT196607:MZT196609 NJP196607:NJP196609 NTL196607:NTL196609 ODH196607:ODH196609 OND196607:OND196609 OWZ196607:OWZ196609 PGV196607:PGV196609 PQR196607:PQR196609 QAN196607:QAN196609 QKJ196607:QKJ196609 QUF196607:QUF196609 REB196607:REB196609 RNX196607:RNX196609 RXT196607:RXT196609 SHP196607:SHP196609 SRL196607:SRL196609 TBH196607:TBH196609 TLD196607:TLD196609 TUZ196607:TUZ196609 UEV196607:UEV196609 UOR196607:UOR196609 UYN196607:UYN196609 VIJ196607:VIJ196609 VSF196607:VSF196609 WCB196607:WCB196609 WLX196607:WLX196609 WVT196607:WVT196609 S262143:S262145 JH262143:JH262145 TD262143:TD262145 ACZ262143:ACZ262145 AMV262143:AMV262145 AWR262143:AWR262145 BGN262143:BGN262145 BQJ262143:BQJ262145 CAF262143:CAF262145 CKB262143:CKB262145 CTX262143:CTX262145 DDT262143:DDT262145 DNP262143:DNP262145 DXL262143:DXL262145 EHH262143:EHH262145 ERD262143:ERD262145 FAZ262143:FAZ262145 FKV262143:FKV262145 FUR262143:FUR262145 GEN262143:GEN262145 GOJ262143:GOJ262145 GYF262143:GYF262145 HIB262143:HIB262145 HRX262143:HRX262145 IBT262143:IBT262145 ILP262143:ILP262145 IVL262143:IVL262145 JFH262143:JFH262145 JPD262143:JPD262145 JYZ262143:JYZ262145 KIV262143:KIV262145 KSR262143:KSR262145 LCN262143:LCN262145 LMJ262143:LMJ262145 LWF262143:LWF262145 MGB262143:MGB262145 MPX262143:MPX262145 MZT262143:MZT262145 NJP262143:NJP262145 NTL262143:NTL262145 ODH262143:ODH262145 OND262143:OND262145 OWZ262143:OWZ262145 PGV262143:PGV262145 PQR262143:PQR262145 QAN262143:QAN262145 QKJ262143:QKJ262145 QUF262143:QUF262145 REB262143:REB262145 RNX262143:RNX262145 RXT262143:RXT262145 SHP262143:SHP262145 SRL262143:SRL262145 TBH262143:TBH262145 TLD262143:TLD262145 TUZ262143:TUZ262145 UEV262143:UEV262145 UOR262143:UOR262145 UYN262143:UYN262145 VIJ262143:VIJ262145 VSF262143:VSF262145 WCB262143:WCB262145 WLX262143:WLX262145 WVT262143:WVT262145 S327679:S327681 JH327679:JH327681 TD327679:TD327681 ACZ327679:ACZ327681 AMV327679:AMV327681 AWR327679:AWR327681 BGN327679:BGN327681 BQJ327679:BQJ327681 CAF327679:CAF327681 CKB327679:CKB327681 CTX327679:CTX327681 DDT327679:DDT327681 DNP327679:DNP327681 DXL327679:DXL327681 EHH327679:EHH327681 ERD327679:ERD327681 FAZ327679:FAZ327681 FKV327679:FKV327681 FUR327679:FUR327681 GEN327679:GEN327681 GOJ327679:GOJ327681 GYF327679:GYF327681 HIB327679:HIB327681 HRX327679:HRX327681 IBT327679:IBT327681 ILP327679:ILP327681 IVL327679:IVL327681 JFH327679:JFH327681 JPD327679:JPD327681 JYZ327679:JYZ327681 KIV327679:KIV327681 KSR327679:KSR327681 LCN327679:LCN327681 LMJ327679:LMJ327681 LWF327679:LWF327681 MGB327679:MGB327681 MPX327679:MPX327681 MZT327679:MZT327681 NJP327679:NJP327681 NTL327679:NTL327681 ODH327679:ODH327681 OND327679:OND327681 OWZ327679:OWZ327681 PGV327679:PGV327681 PQR327679:PQR327681 QAN327679:QAN327681 QKJ327679:QKJ327681 QUF327679:QUF327681 REB327679:REB327681 RNX327679:RNX327681 RXT327679:RXT327681 SHP327679:SHP327681 SRL327679:SRL327681 TBH327679:TBH327681 TLD327679:TLD327681 TUZ327679:TUZ327681 UEV327679:UEV327681 UOR327679:UOR327681 UYN327679:UYN327681 VIJ327679:VIJ327681 VSF327679:VSF327681 WCB327679:WCB327681 WLX327679:WLX327681 WVT327679:WVT327681 S393215:S393217 JH393215:JH393217 TD393215:TD393217 ACZ393215:ACZ393217 AMV393215:AMV393217 AWR393215:AWR393217 BGN393215:BGN393217 BQJ393215:BQJ393217 CAF393215:CAF393217 CKB393215:CKB393217 CTX393215:CTX393217 DDT393215:DDT393217 DNP393215:DNP393217 DXL393215:DXL393217 EHH393215:EHH393217 ERD393215:ERD393217 FAZ393215:FAZ393217 FKV393215:FKV393217 FUR393215:FUR393217 GEN393215:GEN393217 GOJ393215:GOJ393217 GYF393215:GYF393217 HIB393215:HIB393217 HRX393215:HRX393217 IBT393215:IBT393217 ILP393215:ILP393217 IVL393215:IVL393217 JFH393215:JFH393217 JPD393215:JPD393217 JYZ393215:JYZ393217 KIV393215:KIV393217 KSR393215:KSR393217 LCN393215:LCN393217 LMJ393215:LMJ393217 LWF393215:LWF393217 MGB393215:MGB393217 MPX393215:MPX393217 MZT393215:MZT393217 NJP393215:NJP393217 NTL393215:NTL393217 ODH393215:ODH393217 OND393215:OND393217 OWZ393215:OWZ393217 PGV393215:PGV393217 PQR393215:PQR393217 QAN393215:QAN393217 QKJ393215:QKJ393217 QUF393215:QUF393217 REB393215:REB393217 RNX393215:RNX393217 RXT393215:RXT393217 SHP393215:SHP393217 SRL393215:SRL393217 TBH393215:TBH393217 TLD393215:TLD393217 TUZ393215:TUZ393217 UEV393215:UEV393217 UOR393215:UOR393217 UYN393215:UYN393217 VIJ393215:VIJ393217 VSF393215:VSF393217 WCB393215:WCB393217 WLX393215:WLX393217 WVT393215:WVT393217 S458751:S458753 JH458751:JH458753 TD458751:TD458753 ACZ458751:ACZ458753 AMV458751:AMV458753 AWR458751:AWR458753 BGN458751:BGN458753 BQJ458751:BQJ458753 CAF458751:CAF458753 CKB458751:CKB458753 CTX458751:CTX458753 DDT458751:DDT458753 DNP458751:DNP458753 DXL458751:DXL458753 EHH458751:EHH458753 ERD458751:ERD458753 FAZ458751:FAZ458753 FKV458751:FKV458753 FUR458751:FUR458753 GEN458751:GEN458753 GOJ458751:GOJ458753 GYF458751:GYF458753 HIB458751:HIB458753 HRX458751:HRX458753 IBT458751:IBT458753 ILP458751:ILP458753 IVL458751:IVL458753 JFH458751:JFH458753 JPD458751:JPD458753 JYZ458751:JYZ458753 KIV458751:KIV458753 KSR458751:KSR458753 LCN458751:LCN458753 LMJ458751:LMJ458753 LWF458751:LWF458753 MGB458751:MGB458753 MPX458751:MPX458753 MZT458751:MZT458753 NJP458751:NJP458753 NTL458751:NTL458753 ODH458751:ODH458753 OND458751:OND458753 OWZ458751:OWZ458753 PGV458751:PGV458753 PQR458751:PQR458753 QAN458751:QAN458753 QKJ458751:QKJ458753 QUF458751:QUF458753 REB458751:REB458753 RNX458751:RNX458753 RXT458751:RXT458753 SHP458751:SHP458753 SRL458751:SRL458753 TBH458751:TBH458753 TLD458751:TLD458753 TUZ458751:TUZ458753 UEV458751:UEV458753 UOR458751:UOR458753 UYN458751:UYN458753 VIJ458751:VIJ458753 VSF458751:VSF458753 WCB458751:WCB458753 WLX458751:WLX458753 WVT458751:WVT458753 S524287:S524289 JH524287:JH524289 TD524287:TD524289 ACZ524287:ACZ524289 AMV524287:AMV524289 AWR524287:AWR524289 BGN524287:BGN524289 BQJ524287:BQJ524289 CAF524287:CAF524289 CKB524287:CKB524289 CTX524287:CTX524289 DDT524287:DDT524289 DNP524287:DNP524289 DXL524287:DXL524289 EHH524287:EHH524289 ERD524287:ERD524289 FAZ524287:FAZ524289 FKV524287:FKV524289 FUR524287:FUR524289 GEN524287:GEN524289 GOJ524287:GOJ524289 GYF524287:GYF524289 HIB524287:HIB524289 HRX524287:HRX524289 IBT524287:IBT524289 ILP524287:ILP524289 IVL524287:IVL524289 JFH524287:JFH524289 JPD524287:JPD524289 JYZ524287:JYZ524289 KIV524287:KIV524289 KSR524287:KSR524289 LCN524287:LCN524289 LMJ524287:LMJ524289 LWF524287:LWF524289 MGB524287:MGB524289 MPX524287:MPX524289 MZT524287:MZT524289 NJP524287:NJP524289 NTL524287:NTL524289 ODH524287:ODH524289 OND524287:OND524289 OWZ524287:OWZ524289 PGV524287:PGV524289 PQR524287:PQR524289 QAN524287:QAN524289 QKJ524287:QKJ524289 QUF524287:QUF524289 REB524287:REB524289 RNX524287:RNX524289 RXT524287:RXT524289 SHP524287:SHP524289 SRL524287:SRL524289 TBH524287:TBH524289 TLD524287:TLD524289 TUZ524287:TUZ524289 UEV524287:UEV524289 UOR524287:UOR524289 UYN524287:UYN524289 VIJ524287:VIJ524289 VSF524287:VSF524289 WCB524287:WCB524289 WLX524287:WLX524289 WVT524287:WVT524289 S589823:S589825 JH589823:JH589825 TD589823:TD589825 ACZ589823:ACZ589825 AMV589823:AMV589825 AWR589823:AWR589825 BGN589823:BGN589825 BQJ589823:BQJ589825 CAF589823:CAF589825 CKB589823:CKB589825 CTX589823:CTX589825 DDT589823:DDT589825 DNP589823:DNP589825 DXL589823:DXL589825 EHH589823:EHH589825 ERD589823:ERD589825 FAZ589823:FAZ589825 FKV589823:FKV589825 FUR589823:FUR589825 GEN589823:GEN589825 GOJ589823:GOJ589825 GYF589823:GYF589825 HIB589823:HIB589825 HRX589823:HRX589825 IBT589823:IBT589825 ILP589823:ILP589825 IVL589823:IVL589825 JFH589823:JFH589825 JPD589823:JPD589825 JYZ589823:JYZ589825 KIV589823:KIV589825 KSR589823:KSR589825 LCN589823:LCN589825 LMJ589823:LMJ589825 LWF589823:LWF589825 MGB589823:MGB589825 MPX589823:MPX589825 MZT589823:MZT589825 NJP589823:NJP589825 NTL589823:NTL589825 ODH589823:ODH589825 OND589823:OND589825 OWZ589823:OWZ589825 PGV589823:PGV589825 PQR589823:PQR589825 QAN589823:QAN589825 QKJ589823:QKJ589825 QUF589823:QUF589825 REB589823:REB589825 RNX589823:RNX589825 RXT589823:RXT589825 SHP589823:SHP589825 SRL589823:SRL589825 TBH589823:TBH589825 TLD589823:TLD589825 TUZ589823:TUZ589825 UEV589823:UEV589825 UOR589823:UOR589825 UYN589823:UYN589825 VIJ589823:VIJ589825 VSF589823:VSF589825 WCB589823:WCB589825 WLX589823:WLX589825 WVT589823:WVT589825 S655359:S655361 JH655359:JH655361 TD655359:TD655361 ACZ655359:ACZ655361 AMV655359:AMV655361 AWR655359:AWR655361 BGN655359:BGN655361 BQJ655359:BQJ655361 CAF655359:CAF655361 CKB655359:CKB655361 CTX655359:CTX655361 DDT655359:DDT655361 DNP655359:DNP655361 DXL655359:DXL655361 EHH655359:EHH655361 ERD655359:ERD655361 FAZ655359:FAZ655361 FKV655359:FKV655361 FUR655359:FUR655361 GEN655359:GEN655361 GOJ655359:GOJ655361 GYF655359:GYF655361 HIB655359:HIB655361 HRX655359:HRX655361 IBT655359:IBT655361 ILP655359:ILP655361 IVL655359:IVL655361 JFH655359:JFH655361 JPD655359:JPD655361 JYZ655359:JYZ655361 KIV655359:KIV655361 KSR655359:KSR655361 LCN655359:LCN655361 LMJ655359:LMJ655361 LWF655359:LWF655361 MGB655359:MGB655361 MPX655359:MPX655361 MZT655359:MZT655361 NJP655359:NJP655361 NTL655359:NTL655361 ODH655359:ODH655361 OND655359:OND655361 OWZ655359:OWZ655361 PGV655359:PGV655361 PQR655359:PQR655361 QAN655359:QAN655361 QKJ655359:QKJ655361 QUF655359:QUF655361 REB655359:REB655361 RNX655359:RNX655361 RXT655359:RXT655361 SHP655359:SHP655361 SRL655359:SRL655361 TBH655359:TBH655361 TLD655359:TLD655361 TUZ655359:TUZ655361 UEV655359:UEV655361 UOR655359:UOR655361 UYN655359:UYN655361 VIJ655359:VIJ655361 VSF655359:VSF655361 WCB655359:WCB655361 WLX655359:WLX655361 WVT655359:WVT655361 S720895:S720897 JH720895:JH720897 TD720895:TD720897 ACZ720895:ACZ720897 AMV720895:AMV720897 AWR720895:AWR720897 BGN720895:BGN720897 BQJ720895:BQJ720897 CAF720895:CAF720897 CKB720895:CKB720897 CTX720895:CTX720897 DDT720895:DDT720897 DNP720895:DNP720897 DXL720895:DXL720897 EHH720895:EHH720897 ERD720895:ERD720897 FAZ720895:FAZ720897 FKV720895:FKV720897 FUR720895:FUR720897 GEN720895:GEN720897 GOJ720895:GOJ720897 GYF720895:GYF720897 HIB720895:HIB720897 HRX720895:HRX720897 IBT720895:IBT720897 ILP720895:ILP720897 IVL720895:IVL720897 JFH720895:JFH720897 JPD720895:JPD720897 JYZ720895:JYZ720897 KIV720895:KIV720897 KSR720895:KSR720897 LCN720895:LCN720897 LMJ720895:LMJ720897 LWF720895:LWF720897 MGB720895:MGB720897 MPX720895:MPX720897 MZT720895:MZT720897 NJP720895:NJP720897 NTL720895:NTL720897 ODH720895:ODH720897 OND720895:OND720897 OWZ720895:OWZ720897 PGV720895:PGV720897 PQR720895:PQR720897 QAN720895:QAN720897 QKJ720895:QKJ720897 QUF720895:QUF720897 REB720895:REB720897 RNX720895:RNX720897 RXT720895:RXT720897 SHP720895:SHP720897 SRL720895:SRL720897 TBH720895:TBH720897 TLD720895:TLD720897 TUZ720895:TUZ720897 UEV720895:UEV720897 UOR720895:UOR720897 UYN720895:UYN720897 VIJ720895:VIJ720897 VSF720895:VSF720897 WCB720895:WCB720897 WLX720895:WLX720897 WVT720895:WVT720897 S786431:S786433 JH786431:JH786433 TD786431:TD786433 ACZ786431:ACZ786433 AMV786431:AMV786433 AWR786431:AWR786433 BGN786431:BGN786433 BQJ786431:BQJ786433 CAF786431:CAF786433 CKB786431:CKB786433 CTX786431:CTX786433 DDT786431:DDT786433 DNP786431:DNP786433 DXL786431:DXL786433 EHH786431:EHH786433 ERD786431:ERD786433 FAZ786431:FAZ786433 FKV786431:FKV786433 FUR786431:FUR786433 GEN786431:GEN786433 GOJ786431:GOJ786433 GYF786431:GYF786433 HIB786431:HIB786433 HRX786431:HRX786433 IBT786431:IBT786433 ILP786431:ILP786433 IVL786431:IVL786433 JFH786431:JFH786433 JPD786431:JPD786433 JYZ786431:JYZ786433 KIV786431:KIV786433 KSR786431:KSR786433 LCN786431:LCN786433 LMJ786431:LMJ786433 LWF786431:LWF786433 MGB786431:MGB786433 MPX786431:MPX786433 MZT786431:MZT786433 NJP786431:NJP786433 NTL786431:NTL786433 ODH786431:ODH786433 OND786431:OND786433 OWZ786431:OWZ786433 PGV786431:PGV786433 PQR786431:PQR786433 QAN786431:QAN786433 QKJ786431:QKJ786433 QUF786431:QUF786433 REB786431:REB786433 RNX786431:RNX786433 RXT786431:RXT786433 SHP786431:SHP786433 SRL786431:SRL786433 TBH786431:TBH786433 TLD786431:TLD786433 TUZ786431:TUZ786433 UEV786431:UEV786433 UOR786431:UOR786433 UYN786431:UYN786433 VIJ786431:VIJ786433 VSF786431:VSF786433 WCB786431:WCB786433 WLX786431:WLX786433 WVT786431:WVT786433 S851967:S851969 JH851967:JH851969 TD851967:TD851969 ACZ851967:ACZ851969 AMV851967:AMV851969 AWR851967:AWR851969 BGN851967:BGN851969 BQJ851967:BQJ851969 CAF851967:CAF851969 CKB851967:CKB851969 CTX851967:CTX851969 DDT851967:DDT851969 DNP851967:DNP851969 DXL851967:DXL851969 EHH851967:EHH851969 ERD851967:ERD851969 FAZ851967:FAZ851969 FKV851967:FKV851969 FUR851967:FUR851969 GEN851967:GEN851969 GOJ851967:GOJ851969 GYF851967:GYF851969 HIB851967:HIB851969 HRX851967:HRX851969 IBT851967:IBT851969 ILP851967:ILP851969 IVL851967:IVL851969 JFH851967:JFH851969 JPD851967:JPD851969 JYZ851967:JYZ851969 KIV851967:KIV851969 KSR851967:KSR851969 LCN851967:LCN851969 LMJ851967:LMJ851969 LWF851967:LWF851969 MGB851967:MGB851969 MPX851967:MPX851969 MZT851967:MZT851969 NJP851967:NJP851969 NTL851967:NTL851969 ODH851967:ODH851969 OND851967:OND851969 OWZ851967:OWZ851969 PGV851967:PGV851969 PQR851967:PQR851969 QAN851967:QAN851969 QKJ851967:QKJ851969 QUF851967:QUF851969 REB851967:REB851969 RNX851967:RNX851969 RXT851967:RXT851969 SHP851967:SHP851969 SRL851967:SRL851969 TBH851967:TBH851969 TLD851967:TLD851969 TUZ851967:TUZ851969 UEV851967:UEV851969 UOR851967:UOR851969 UYN851967:UYN851969 VIJ851967:VIJ851969 VSF851967:VSF851969 WCB851967:WCB851969 WLX851967:WLX851969 WVT851967:WVT851969 S917503:S917505 JH917503:JH917505 TD917503:TD917505 ACZ917503:ACZ917505 AMV917503:AMV917505 AWR917503:AWR917505 BGN917503:BGN917505 BQJ917503:BQJ917505 CAF917503:CAF917505 CKB917503:CKB917505 CTX917503:CTX917505 DDT917503:DDT917505 DNP917503:DNP917505 DXL917503:DXL917505 EHH917503:EHH917505 ERD917503:ERD917505 FAZ917503:FAZ917505 FKV917503:FKV917505 FUR917503:FUR917505 GEN917503:GEN917505 GOJ917503:GOJ917505 GYF917503:GYF917505 HIB917503:HIB917505 HRX917503:HRX917505 IBT917503:IBT917505 ILP917503:ILP917505 IVL917503:IVL917505 JFH917503:JFH917505 JPD917503:JPD917505 JYZ917503:JYZ917505 KIV917503:KIV917505 KSR917503:KSR917505 LCN917503:LCN917505 LMJ917503:LMJ917505 LWF917503:LWF917505 MGB917503:MGB917505 MPX917503:MPX917505 MZT917503:MZT917505 NJP917503:NJP917505 NTL917503:NTL917505 ODH917503:ODH917505 OND917503:OND917505 OWZ917503:OWZ917505 PGV917503:PGV917505 PQR917503:PQR917505 QAN917503:QAN917505 QKJ917503:QKJ917505 QUF917503:QUF917505 REB917503:REB917505 RNX917503:RNX917505 RXT917503:RXT917505 SHP917503:SHP917505 SRL917503:SRL917505 TBH917503:TBH917505 TLD917503:TLD917505 TUZ917503:TUZ917505 UEV917503:UEV917505 UOR917503:UOR917505 UYN917503:UYN917505 VIJ917503:VIJ917505 VSF917503:VSF917505 WCB917503:WCB917505 WLX917503:WLX917505 WVT917503:WVT917505 S983039:S983041 JH983039:JH983041 TD983039:TD983041 ACZ983039:ACZ983041 AMV983039:AMV983041 AWR983039:AWR983041 BGN983039:BGN983041 BQJ983039:BQJ983041 CAF983039:CAF983041 CKB983039:CKB983041 CTX983039:CTX983041 DDT983039:DDT983041 DNP983039:DNP983041 DXL983039:DXL983041 EHH983039:EHH983041 ERD983039:ERD983041 FAZ983039:FAZ983041 FKV983039:FKV983041 FUR983039:FUR983041 GEN983039:GEN983041 GOJ983039:GOJ983041 GYF983039:GYF983041 HIB983039:HIB983041 HRX983039:HRX983041 IBT983039:IBT983041 ILP983039:ILP983041 IVL983039:IVL983041 JFH983039:JFH983041 JPD983039:JPD983041 JYZ983039:JYZ983041 KIV983039:KIV983041 KSR983039:KSR983041 LCN983039:LCN983041 LMJ983039:LMJ983041 LWF983039:LWF983041 MGB983039:MGB983041 MPX983039:MPX983041 MZT983039:MZT983041 NJP983039:NJP983041 NTL983039:NTL983041 ODH983039:ODH983041 OND983039:OND983041 OWZ983039:OWZ983041 PGV983039:PGV983041 PQR983039:PQR983041 QAN983039:QAN983041 QKJ983039:QKJ983041 QUF983039:QUF983041 REB983039:REB983041 RNX983039:RNX983041 RXT983039:RXT983041 SHP983039:SHP983041 SRL983039:SRL983041 TBH983039:TBH983041 TLD983039:TLD983041 TUZ983039:TUZ983041 UEV983039:UEV983041 UOR983039:UOR983041 UYN983039:UYN983041 VIJ983039:VIJ983041 VSF983039:VSF983041 WCB983039:WCB983041 WLX983039:WLX983041 WVT983039:WVT983041 U65541:U65564 JJ65541:JJ65564 TF65541:TF65564 ADB65541:ADB65564 AMX65541:AMX65564 AWT65541:AWT65564 BGP65541:BGP65564 BQL65541:BQL65564 CAH65541:CAH65564 CKD65541:CKD65564 CTZ65541:CTZ65564 DDV65541:DDV65564 DNR65541:DNR65564 DXN65541:DXN65564 EHJ65541:EHJ65564 ERF65541:ERF65564 FBB65541:FBB65564 FKX65541:FKX65564 FUT65541:FUT65564 GEP65541:GEP65564 GOL65541:GOL65564 GYH65541:GYH65564 HID65541:HID65564 HRZ65541:HRZ65564 IBV65541:IBV65564 ILR65541:ILR65564 IVN65541:IVN65564 JFJ65541:JFJ65564 JPF65541:JPF65564 JZB65541:JZB65564 KIX65541:KIX65564 KST65541:KST65564 LCP65541:LCP65564 LML65541:LML65564 LWH65541:LWH65564 MGD65541:MGD65564 MPZ65541:MPZ65564 MZV65541:MZV65564 NJR65541:NJR65564 NTN65541:NTN65564 ODJ65541:ODJ65564 ONF65541:ONF65564 OXB65541:OXB65564 PGX65541:PGX65564 PQT65541:PQT65564 QAP65541:QAP65564 QKL65541:QKL65564 QUH65541:QUH65564 RED65541:RED65564 RNZ65541:RNZ65564 RXV65541:RXV65564 SHR65541:SHR65564 SRN65541:SRN65564 TBJ65541:TBJ65564 TLF65541:TLF65564 TVB65541:TVB65564 UEX65541:UEX65564 UOT65541:UOT65564 UYP65541:UYP65564 VIL65541:VIL65564 VSH65541:VSH65564 WCD65541:WCD65564 WLZ65541:WLZ65564 WVV65541:WVV65564 U131077:U131100 JJ131077:JJ131100 TF131077:TF131100 ADB131077:ADB131100 AMX131077:AMX131100 AWT131077:AWT131100 BGP131077:BGP131100 BQL131077:BQL131100 CAH131077:CAH131100 CKD131077:CKD131100 CTZ131077:CTZ131100 DDV131077:DDV131100 DNR131077:DNR131100 DXN131077:DXN131100 EHJ131077:EHJ131100 ERF131077:ERF131100 FBB131077:FBB131100 FKX131077:FKX131100 FUT131077:FUT131100 GEP131077:GEP131100 GOL131077:GOL131100 GYH131077:GYH131100 HID131077:HID131100 HRZ131077:HRZ131100 IBV131077:IBV131100 ILR131077:ILR131100 IVN131077:IVN131100 JFJ131077:JFJ131100 JPF131077:JPF131100 JZB131077:JZB131100 KIX131077:KIX131100 KST131077:KST131100 LCP131077:LCP131100 LML131077:LML131100 LWH131077:LWH131100 MGD131077:MGD131100 MPZ131077:MPZ131100 MZV131077:MZV131100 NJR131077:NJR131100 NTN131077:NTN131100 ODJ131077:ODJ131100 ONF131077:ONF131100 OXB131077:OXB131100 PGX131077:PGX131100 PQT131077:PQT131100 QAP131077:QAP131100 QKL131077:QKL131100 QUH131077:QUH131100 RED131077:RED131100 RNZ131077:RNZ131100 RXV131077:RXV131100 SHR131077:SHR131100 SRN131077:SRN131100 TBJ131077:TBJ131100 TLF131077:TLF131100 TVB131077:TVB131100 UEX131077:UEX131100 UOT131077:UOT131100 UYP131077:UYP131100 VIL131077:VIL131100 VSH131077:VSH131100 WCD131077:WCD131100 WLZ131077:WLZ131100 WVV131077:WVV131100 U196613:U196636 JJ196613:JJ196636 TF196613:TF196636 ADB196613:ADB196636 AMX196613:AMX196636 AWT196613:AWT196636 BGP196613:BGP196636 BQL196613:BQL196636 CAH196613:CAH196636 CKD196613:CKD196636 CTZ196613:CTZ196636 DDV196613:DDV196636 DNR196613:DNR196636 DXN196613:DXN196636 EHJ196613:EHJ196636 ERF196613:ERF196636 FBB196613:FBB196636 FKX196613:FKX196636 FUT196613:FUT196636 GEP196613:GEP196636 GOL196613:GOL196636 GYH196613:GYH196636 HID196613:HID196636 HRZ196613:HRZ196636 IBV196613:IBV196636 ILR196613:ILR196636 IVN196613:IVN196636 JFJ196613:JFJ196636 JPF196613:JPF196636 JZB196613:JZB196636 KIX196613:KIX196636 KST196613:KST196636 LCP196613:LCP196636 LML196613:LML196636 LWH196613:LWH196636 MGD196613:MGD196636 MPZ196613:MPZ196636 MZV196613:MZV196636 NJR196613:NJR196636 NTN196613:NTN196636 ODJ196613:ODJ196636 ONF196613:ONF196636 OXB196613:OXB196636 PGX196613:PGX196636 PQT196613:PQT196636 QAP196613:QAP196636 QKL196613:QKL196636 QUH196613:QUH196636 RED196613:RED196636 RNZ196613:RNZ196636 RXV196613:RXV196636 SHR196613:SHR196636 SRN196613:SRN196636 TBJ196613:TBJ196636 TLF196613:TLF196636 TVB196613:TVB196636 UEX196613:UEX196636 UOT196613:UOT196636 UYP196613:UYP196636 VIL196613:VIL196636 VSH196613:VSH196636 WCD196613:WCD196636 WLZ196613:WLZ196636 WVV196613:WVV196636 U262149:U262172 JJ262149:JJ262172 TF262149:TF262172 ADB262149:ADB262172 AMX262149:AMX262172 AWT262149:AWT262172 BGP262149:BGP262172 BQL262149:BQL262172 CAH262149:CAH262172 CKD262149:CKD262172 CTZ262149:CTZ262172 DDV262149:DDV262172 DNR262149:DNR262172 DXN262149:DXN262172 EHJ262149:EHJ262172 ERF262149:ERF262172 FBB262149:FBB262172 FKX262149:FKX262172 FUT262149:FUT262172 GEP262149:GEP262172 GOL262149:GOL262172 GYH262149:GYH262172 HID262149:HID262172 HRZ262149:HRZ262172 IBV262149:IBV262172 ILR262149:ILR262172 IVN262149:IVN262172 JFJ262149:JFJ262172 JPF262149:JPF262172 JZB262149:JZB262172 KIX262149:KIX262172 KST262149:KST262172 LCP262149:LCP262172 LML262149:LML262172 LWH262149:LWH262172 MGD262149:MGD262172 MPZ262149:MPZ262172 MZV262149:MZV262172 NJR262149:NJR262172 NTN262149:NTN262172 ODJ262149:ODJ262172 ONF262149:ONF262172 OXB262149:OXB262172 PGX262149:PGX262172 PQT262149:PQT262172 QAP262149:QAP262172 QKL262149:QKL262172 QUH262149:QUH262172 RED262149:RED262172 RNZ262149:RNZ262172 RXV262149:RXV262172 SHR262149:SHR262172 SRN262149:SRN262172 TBJ262149:TBJ262172 TLF262149:TLF262172 TVB262149:TVB262172 UEX262149:UEX262172 UOT262149:UOT262172 UYP262149:UYP262172 VIL262149:VIL262172 VSH262149:VSH262172 WCD262149:WCD262172 WLZ262149:WLZ262172 WVV262149:WVV262172 U327685:U327708 JJ327685:JJ327708 TF327685:TF327708 ADB327685:ADB327708 AMX327685:AMX327708 AWT327685:AWT327708 BGP327685:BGP327708 BQL327685:BQL327708 CAH327685:CAH327708 CKD327685:CKD327708 CTZ327685:CTZ327708 DDV327685:DDV327708 DNR327685:DNR327708 DXN327685:DXN327708 EHJ327685:EHJ327708 ERF327685:ERF327708 FBB327685:FBB327708 FKX327685:FKX327708 FUT327685:FUT327708 GEP327685:GEP327708 GOL327685:GOL327708 GYH327685:GYH327708 HID327685:HID327708 HRZ327685:HRZ327708 IBV327685:IBV327708 ILR327685:ILR327708 IVN327685:IVN327708 JFJ327685:JFJ327708 JPF327685:JPF327708 JZB327685:JZB327708 KIX327685:KIX327708 KST327685:KST327708 LCP327685:LCP327708 LML327685:LML327708 LWH327685:LWH327708 MGD327685:MGD327708 MPZ327685:MPZ327708 MZV327685:MZV327708 NJR327685:NJR327708 NTN327685:NTN327708 ODJ327685:ODJ327708 ONF327685:ONF327708 OXB327685:OXB327708 PGX327685:PGX327708 PQT327685:PQT327708 QAP327685:QAP327708 QKL327685:QKL327708 QUH327685:QUH327708 RED327685:RED327708 RNZ327685:RNZ327708 RXV327685:RXV327708 SHR327685:SHR327708 SRN327685:SRN327708 TBJ327685:TBJ327708 TLF327685:TLF327708 TVB327685:TVB327708 UEX327685:UEX327708 UOT327685:UOT327708 UYP327685:UYP327708 VIL327685:VIL327708 VSH327685:VSH327708 WCD327685:WCD327708 WLZ327685:WLZ327708 WVV327685:WVV327708 U393221:U393244 JJ393221:JJ393244 TF393221:TF393244 ADB393221:ADB393244 AMX393221:AMX393244 AWT393221:AWT393244 BGP393221:BGP393244 BQL393221:BQL393244 CAH393221:CAH393244 CKD393221:CKD393244 CTZ393221:CTZ393244 DDV393221:DDV393244 DNR393221:DNR393244 DXN393221:DXN393244 EHJ393221:EHJ393244 ERF393221:ERF393244 FBB393221:FBB393244 FKX393221:FKX393244 FUT393221:FUT393244 GEP393221:GEP393244 GOL393221:GOL393244 GYH393221:GYH393244 HID393221:HID393244 HRZ393221:HRZ393244 IBV393221:IBV393244 ILR393221:ILR393244 IVN393221:IVN393244 JFJ393221:JFJ393244 JPF393221:JPF393244 JZB393221:JZB393244 KIX393221:KIX393244 KST393221:KST393244 LCP393221:LCP393244 LML393221:LML393244 LWH393221:LWH393244 MGD393221:MGD393244 MPZ393221:MPZ393244 MZV393221:MZV393244 NJR393221:NJR393244 NTN393221:NTN393244 ODJ393221:ODJ393244 ONF393221:ONF393244 OXB393221:OXB393244 PGX393221:PGX393244 PQT393221:PQT393244 QAP393221:QAP393244 QKL393221:QKL393244 QUH393221:QUH393244 RED393221:RED393244 RNZ393221:RNZ393244 RXV393221:RXV393244 SHR393221:SHR393244 SRN393221:SRN393244 TBJ393221:TBJ393244 TLF393221:TLF393244 TVB393221:TVB393244 UEX393221:UEX393244 UOT393221:UOT393244 UYP393221:UYP393244 VIL393221:VIL393244 VSH393221:VSH393244 WCD393221:WCD393244 WLZ393221:WLZ393244 WVV393221:WVV393244 U458757:U458780 JJ458757:JJ458780 TF458757:TF458780 ADB458757:ADB458780 AMX458757:AMX458780 AWT458757:AWT458780 BGP458757:BGP458780 BQL458757:BQL458780 CAH458757:CAH458780 CKD458757:CKD458780 CTZ458757:CTZ458780 DDV458757:DDV458780 DNR458757:DNR458780 DXN458757:DXN458780 EHJ458757:EHJ458780 ERF458757:ERF458780 FBB458757:FBB458780 FKX458757:FKX458780 FUT458757:FUT458780 GEP458757:GEP458780 GOL458757:GOL458780 GYH458757:GYH458780 HID458757:HID458780 HRZ458757:HRZ458780 IBV458757:IBV458780 ILR458757:ILR458780 IVN458757:IVN458780 JFJ458757:JFJ458780 JPF458757:JPF458780 JZB458757:JZB458780 KIX458757:KIX458780 KST458757:KST458780 LCP458757:LCP458780 LML458757:LML458780 LWH458757:LWH458780 MGD458757:MGD458780 MPZ458757:MPZ458780 MZV458757:MZV458780 NJR458757:NJR458780 NTN458757:NTN458780 ODJ458757:ODJ458780 ONF458757:ONF458780 OXB458757:OXB458780 PGX458757:PGX458780 PQT458757:PQT458780 QAP458757:QAP458780 QKL458757:QKL458780 QUH458757:QUH458780 RED458757:RED458780 RNZ458757:RNZ458780 RXV458757:RXV458780 SHR458757:SHR458780 SRN458757:SRN458780 TBJ458757:TBJ458780 TLF458757:TLF458780 TVB458757:TVB458780 UEX458757:UEX458780 UOT458757:UOT458780 UYP458757:UYP458780 VIL458757:VIL458780 VSH458757:VSH458780 WCD458757:WCD458780 WLZ458757:WLZ458780 WVV458757:WVV458780 U524293:U524316 JJ524293:JJ524316 TF524293:TF524316 ADB524293:ADB524316 AMX524293:AMX524316 AWT524293:AWT524316 BGP524293:BGP524316 BQL524293:BQL524316 CAH524293:CAH524316 CKD524293:CKD524316 CTZ524293:CTZ524316 DDV524293:DDV524316 DNR524293:DNR524316 DXN524293:DXN524316 EHJ524293:EHJ524316 ERF524293:ERF524316 FBB524293:FBB524316 FKX524293:FKX524316 FUT524293:FUT524316 GEP524293:GEP524316 GOL524293:GOL524316 GYH524293:GYH524316 HID524293:HID524316 HRZ524293:HRZ524316 IBV524293:IBV524316 ILR524293:ILR524316 IVN524293:IVN524316 JFJ524293:JFJ524316 JPF524293:JPF524316 JZB524293:JZB524316 KIX524293:KIX524316 KST524293:KST524316 LCP524293:LCP524316 LML524293:LML524316 LWH524293:LWH524316 MGD524293:MGD524316 MPZ524293:MPZ524316 MZV524293:MZV524316 NJR524293:NJR524316 NTN524293:NTN524316 ODJ524293:ODJ524316 ONF524293:ONF524316 OXB524293:OXB524316 PGX524293:PGX524316 PQT524293:PQT524316 QAP524293:QAP524316 QKL524293:QKL524316 QUH524293:QUH524316 RED524293:RED524316 RNZ524293:RNZ524316 RXV524293:RXV524316 SHR524293:SHR524316 SRN524293:SRN524316 TBJ524293:TBJ524316 TLF524293:TLF524316 TVB524293:TVB524316 UEX524293:UEX524316 UOT524293:UOT524316 UYP524293:UYP524316 VIL524293:VIL524316 VSH524293:VSH524316 WCD524293:WCD524316 WLZ524293:WLZ524316 WVV524293:WVV524316 U589829:U589852 JJ589829:JJ589852 TF589829:TF589852 ADB589829:ADB589852 AMX589829:AMX589852 AWT589829:AWT589852 BGP589829:BGP589852 BQL589829:BQL589852 CAH589829:CAH589852 CKD589829:CKD589852 CTZ589829:CTZ589852 DDV589829:DDV589852 DNR589829:DNR589852 DXN589829:DXN589852 EHJ589829:EHJ589852 ERF589829:ERF589852 FBB589829:FBB589852 FKX589829:FKX589852 FUT589829:FUT589852 GEP589829:GEP589852 GOL589829:GOL589852 GYH589829:GYH589852 HID589829:HID589852 HRZ589829:HRZ589852 IBV589829:IBV589852 ILR589829:ILR589852 IVN589829:IVN589852 JFJ589829:JFJ589852 JPF589829:JPF589852 JZB589829:JZB589852 KIX589829:KIX589852 KST589829:KST589852 LCP589829:LCP589852 LML589829:LML589852 LWH589829:LWH589852 MGD589829:MGD589852 MPZ589829:MPZ589852 MZV589829:MZV589852 NJR589829:NJR589852 NTN589829:NTN589852 ODJ589829:ODJ589852 ONF589829:ONF589852 OXB589829:OXB589852 PGX589829:PGX589852 PQT589829:PQT589852 QAP589829:QAP589852 QKL589829:QKL589852 QUH589829:QUH589852 RED589829:RED589852 RNZ589829:RNZ589852 RXV589829:RXV589852 SHR589829:SHR589852 SRN589829:SRN589852 TBJ589829:TBJ589852 TLF589829:TLF589852 TVB589829:TVB589852 UEX589829:UEX589852 UOT589829:UOT589852 UYP589829:UYP589852 VIL589829:VIL589852 VSH589829:VSH589852 WCD589829:WCD589852 WLZ589829:WLZ589852 WVV589829:WVV589852 U655365:U655388 JJ655365:JJ655388 TF655365:TF655388 ADB655365:ADB655388 AMX655365:AMX655388 AWT655365:AWT655388 BGP655365:BGP655388 BQL655365:BQL655388 CAH655365:CAH655388 CKD655365:CKD655388 CTZ655365:CTZ655388 DDV655365:DDV655388 DNR655365:DNR655388 DXN655365:DXN655388 EHJ655365:EHJ655388 ERF655365:ERF655388 FBB655365:FBB655388 FKX655365:FKX655388 FUT655365:FUT655388 GEP655365:GEP655388 GOL655365:GOL655388 GYH655365:GYH655388 HID655365:HID655388 HRZ655365:HRZ655388 IBV655365:IBV655388 ILR655365:ILR655388 IVN655365:IVN655388 JFJ655365:JFJ655388 JPF655365:JPF655388 JZB655365:JZB655388 KIX655365:KIX655388 KST655365:KST655388 LCP655365:LCP655388 LML655365:LML655388 LWH655365:LWH655388 MGD655365:MGD655388 MPZ655365:MPZ655388 MZV655365:MZV655388 NJR655365:NJR655388 NTN655365:NTN655388 ODJ655365:ODJ655388 ONF655365:ONF655388 OXB655365:OXB655388 PGX655365:PGX655388 PQT655365:PQT655388 QAP655365:QAP655388 QKL655365:QKL655388 QUH655365:QUH655388 RED655365:RED655388 RNZ655365:RNZ655388 RXV655365:RXV655388 SHR655365:SHR655388 SRN655365:SRN655388 TBJ655365:TBJ655388 TLF655365:TLF655388 TVB655365:TVB655388 UEX655365:UEX655388 UOT655365:UOT655388 UYP655365:UYP655388 VIL655365:VIL655388 VSH655365:VSH655388 WCD655365:WCD655388 WLZ655365:WLZ655388 WVV655365:WVV655388 U720901:U720924 JJ720901:JJ720924 TF720901:TF720924 ADB720901:ADB720924 AMX720901:AMX720924 AWT720901:AWT720924 BGP720901:BGP720924 BQL720901:BQL720924 CAH720901:CAH720924 CKD720901:CKD720924 CTZ720901:CTZ720924 DDV720901:DDV720924 DNR720901:DNR720924 DXN720901:DXN720924 EHJ720901:EHJ720924 ERF720901:ERF720924 FBB720901:FBB720924 FKX720901:FKX720924 FUT720901:FUT720924 GEP720901:GEP720924 GOL720901:GOL720924 GYH720901:GYH720924 HID720901:HID720924 HRZ720901:HRZ720924 IBV720901:IBV720924 ILR720901:ILR720924 IVN720901:IVN720924 JFJ720901:JFJ720924 JPF720901:JPF720924 JZB720901:JZB720924 KIX720901:KIX720924 KST720901:KST720924 LCP720901:LCP720924 LML720901:LML720924 LWH720901:LWH720924 MGD720901:MGD720924 MPZ720901:MPZ720924 MZV720901:MZV720924 NJR720901:NJR720924 NTN720901:NTN720924 ODJ720901:ODJ720924 ONF720901:ONF720924 OXB720901:OXB720924 PGX720901:PGX720924 PQT720901:PQT720924 QAP720901:QAP720924 QKL720901:QKL720924 QUH720901:QUH720924 RED720901:RED720924 RNZ720901:RNZ720924 RXV720901:RXV720924 SHR720901:SHR720924 SRN720901:SRN720924 TBJ720901:TBJ720924 TLF720901:TLF720924 TVB720901:TVB720924 UEX720901:UEX720924 UOT720901:UOT720924 UYP720901:UYP720924 VIL720901:VIL720924 VSH720901:VSH720924 WCD720901:WCD720924 WLZ720901:WLZ720924 WVV720901:WVV720924 U786437:U786460 JJ786437:JJ786460 TF786437:TF786460 ADB786437:ADB786460 AMX786437:AMX786460 AWT786437:AWT786460 BGP786437:BGP786460 BQL786437:BQL786460 CAH786437:CAH786460 CKD786437:CKD786460 CTZ786437:CTZ786460 DDV786437:DDV786460 DNR786437:DNR786460 DXN786437:DXN786460 EHJ786437:EHJ786460 ERF786437:ERF786460 FBB786437:FBB786460 FKX786437:FKX786460 FUT786437:FUT786460 GEP786437:GEP786460 GOL786437:GOL786460 GYH786437:GYH786460 HID786437:HID786460 HRZ786437:HRZ786460 IBV786437:IBV786460 ILR786437:ILR786460 IVN786437:IVN786460 JFJ786437:JFJ786460 JPF786437:JPF786460 JZB786437:JZB786460 KIX786437:KIX786460 KST786437:KST786460 LCP786437:LCP786460 LML786437:LML786460 LWH786437:LWH786460 MGD786437:MGD786460 MPZ786437:MPZ786460 MZV786437:MZV786460 NJR786437:NJR786460 NTN786437:NTN786460 ODJ786437:ODJ786460 ONF786437:ONF786460 OXB786437:OXB786460 PGX786437:PGX786460 PQT786437:PQT786460 QAP786437:QAP786460 QKL786437:QKL786460 QUH786437:QUH786460 RED786437:RED786460 RNZ786437:RNZ786460 RXV786437:RXV786460 SHR786437:SHR786460 SRN786437:SRN786460 TBJ786437:TBJ786460 TLF786437:TLF786460 TVB786437:TVB786460 UEX786437:UEX786460 UOT786437:UOT786460 UYP786437:UYP786460 VIL786437:VIL786460 VSH786437:VSH786460 WCD786437:WCD786460 WLZ786437:WLZ786460 WVV786437:WVV786460 U851973:U851996 JJ851973:JJ851996 TF851973:TF851996 ADB851973:ADB851996 AMX851973:AMX851996 AWT851973:AWT851996 BGP851973:BGP851996 BQL851973:BQL851996 CAH851973:CAH851996 CKD851973:CKD851996 CTZ851973:CTZ851996 DDV851973:DDV851996 DNR851973:DNR851996 DXN851973:DXN851996 EHJ851973:EHJ851996 ERF851973:ERF851996 FBB851973:FBB851996 FKX851973:FKX851996 FUT851973:FUT851996 GEP851973:GEP851996 GOL851973:GOL851996 GYH851973:GYH851996 HID851973:HID851996 HRZ851973:HRZ851996 IBV851973:IBV851996 ILR851973:ILR851996 IVN851973:IVN851996 JFJ851973:JFJ851996 JPF851973:JPF851996 JZB851973:JZB851996 KIX851973:KIX851996 KST851973:KST851996 LCP851973:LCP851996 LML851973:LML851996 LWH851973:LWH851996 MGD851973:MGD851996 MPZ851973:MPZ851996 MZV851973:MZV851996 NJR851973:NJR851996 NTN851973:NTN851996 ODJ851973:ODJ851996 ONF851973:ONF851996 OXB851973:OXB851996 PGX851973:PGX851996 PQT851973:PQT851996 QAP851973:QAP851996 QKL851973:QKL851996 QUH851973:QUH851996 RED851973:RED851996 RNZ851973:RNZ851996 RXV851973:RXV851996 SHR851973:SHR851996 SRN851973:SRN851996 TBJ851973:TBJ851996 TLF851973:TLF851996 TVB851973:TVB851996 UEX851973:UEX851996 UOT851973:UOT851996 UYP851973:UYP851996 VIL851973:VIL851996 VSH851973:VSH851996 WCD851973:WCD851996 WLZ851973:WLZ851996 WVV851973:WVV851996 U917509:U917532 JJ917509:JJ917532 TF917509:TF917532 ADB917509:ADB917532 AMX917509:AMX917532 AWT917509:AWT917532 BGP917509:BGP917532 BQL917509:BQL917532 CAH917509:CAH917532 CKD917509:CKD917532 CTZ917509:CTZ917532 DDV917509:DDV917532 DNR917509:DNR917532 DXN917509:DXN917532 EHJ917509:EHJ917532 ERF917509:ERF917532 FBB917509:FBB917532 FKX917509:FKX917532 FUT917509:FUT917532 GEP917509:GEP917532 GOL917509:GOL917532 GYH917509:GYH917532 HID917509:HID917532 HRZ917509:HRZ917532 IBV917509:IBV917532 ILR917509:ILR917532 IVN917509:IVN917532 JFJ917509:JFJ917532 JPF917509:JPF917532 JZB917509:JZB917532 KIX917509:KIX917532 KST917509:KST917532 LCP917509:LCP917532 LML917509:LML917532 LWH917509:LWH917532 MGD917509:MGD917532 MPZ917509:MPZ917532 MZV917509:MZV917532 NJR917509:NJR917532 NTN917509:NTN917532 ODJ917509:ODJ917532 ONF917509:ONF917532 OXB917509:OXB917532 PGX917509:PGX917532 PQT917509:PQT917532 QAP917509:QAP917532 QKL917509:QKL917532 QUH917509:QUH917532 RED917509:RED917532 RNZ917509:RNZ917532 RXV917509:RXV917532 SHR917509:SHR917532 SRN917509:SRN917532 TBJ917509:TBJ917532 TLF917509:TLF917532 TVB917509:TVB917532 UEX917509:UEX917532 UOT917509:UOT917532 UYP917509:UYP917532 VIL917509:VIL917532 VSH917509:VSH917532 WCD917509:WCD917532 WLZ917509:WLZ917532 WVV917509:WVV917532 U983045:U983068 JJ983045:JJ983068 TF983045:TF983068 ADB983045:ADB983068 AMX983045:AMX983068 AWT983045:AWT983068 BGP983045:BGP983068 BQL983045:BQL983068 CAH983045:CAH983068 CKD983045:CKD983068 CTZ983045:CTZ983068 DDV983045:DDV983068 DNR983045:DNR983068 DXN983045:DXN983068 EHJ983045:EHJ983068 ERF983045:ERF983068 FBB983045:FBB983068 FKX983045:FKX983068 FUT983045:FUT983068 GEP983045:GEP983068 GOL983045:GOL983068 GYH983045:GYH983068 HID983045:HID983068 HRZ983045:HRZ983068 IBV983045:IBV983068 ILR983045:ILR983068 IVN983045:IVN983068 JFJ983045:JFJ983068 JPF983045:JPF983068 JZB983045:JZB983068 KIX983045:KIX983068 KST983045:KST983068 LCP983045:LCP983068 LML983045:LML983068 LWH983045:LWH983068 MGD983045:MGD983068 MPZ983045:MPZ983068 MZV983045:MZV983068 NJR983045:NJR983068 NTN983045:NTN983068 ODJ983045:ODJ983068 ONF983045:ONF983068 OXB983045:OXB983068 PGX983045:PGX983068 PQT983045:PQT983068 QAP983045:QAP983068 QKL983045:QKL983068 QUH983045:QUH983068 RED983045:RED983068 RNZ983045:RNZ983068 RXV983045:RXV983068 SHR983045:SHR983068 SRN983045:SRN983068 TBJ983045:TBJ983068 TLF983045:TLF983068 TVB983045:TVB983068 UEX983045:UEX983068 UOT983045:UOT983068 UYP983045:UYP983068 VIL983045:VIL983068 VSH983045:VSH983068 WCD983045:WCD983068 WLZ983045:WLZ983068 WVV983045:WVV983068 JL65541:JL65564 TH65541:TH65564 ADD65541:ADD65564 AMZ65541:AMZ65564 AWV65541:AWV65564 BGR65541:BGR65564 BQN65541:BQN65564 CAJ65541:CAJ65564 CKF65541:CKF65564 CUB65541:CUB65564 DDX65541:DDX65564 DNT65541:DNT65564 DXP65541:DXP65564 EHL65541:EHL65564 ERH65541:ERH65564 FBD65541:FBD65564 FKZ65541:FKZ65564 FUV65541:FUV65564 GER65541:GER65564 GON65541:GON65564 GYJ65541:GYJ65564 HIF65541:HIF65564 HSB65541:HSB65564 IBX65541:IBX65564 ILT65541:ILT65564 IVP65541:IVP65564 JFL65541:JFL65564 JPH65541:JPH65564 JZD65541:JZD65564 KIZ65541:KIZ65564 KSV65541:KSV65564 LCR65541:LCR65564 LMN65541:LMN65564 LWJ65541:LWJ65564 MGF65541:MGF65564 MQB65541:MQB65564 MZX65541:MZX65564 NJT65541:NJT65564 NTP65541:NTP65564 ODL65541:ODL65564 ONH65541:ONH65564 OXD65541:OXD65564 PGZ65541:PGZ65564 PQV65541:PQV65564 QAR65541:QAR65564 QKN65541:QKN65564 QUJ65541:QUJ65564 REF65541:REF65564 ROB65541:ROB65564 RXX65541:RXX65564 SHT65541:SHT65564 SRP65541:SRP65564 TBL65541:TBL65564 TLH65541:TLH65564 TVD65541:TVD65564 UEZ65541:UEZ65564 UOV65541:UOV65564 UYR65541:UYR65564 VIN65541:VIN65564 VSJ65541:VSJ65564 WCF65541:WCF65564 WMB65541:WMB65564 WVX65541:WVX65564 JL131077:JL131100 TH131077:TH131100 ADD131077:ADD131100 AMZ131077:AMZ131100 AWV131077:AWV131100 BGR131077:BGR131100 BQN131077:BQN131100 CAJ131077:CAJ131100 CKF131077:CKF131100 CUB131077:CUB131100 DDX131077:DDX131100 DNT131077:DNT131100 DXP131077:DXP131100 EHL131077:EHL131100 ERH131077:ERH131100 FBD131077:FBD131100 FKZ131077:FKZ131100 FUV131077:FUV131100 GER131077:GER131100 GON131077:GON131100 GYJ131077:GYJ131100 HIF131077:HIF131100 HSB131077:HSB131100 IBX131077:IBX131100 ILT131077:ILT131100 IVP131077:IVP131100 JFL131077:JFL131100 JPH131077:JPH131100 JZD131077:JZD131100 KIZ131077:KIZ131100 KSV131077:KSV131100 LCR131077:LCR131100 LMN131077:LMN131100 LWJ131077:LWJ131100 MGF131077:MGF131100 MQB131077:MQB131100 MZX131077:MZX131100 NJT131077:NJT131100 NTP131077:NTP131100 ODL131077:ODL131100 ONH131077:ONH131100 OXD131077:OXD131100 PGZ131077:PGZ131100 PQV131077:PQV131100 QAR131077:QAR131100 QKN131077:QKN131100 QUJ131077:QUJ131100 REF131077:REF131100 ROB131077:ROB131100 RXX131077:RXX131100 SHT131077:SHT131100 SRP131077:SRP131100 TBL131077:TBL131100 TLH131077:TLH131100 TVD131077:TVD131100 UEZ131077:UEZ131100 UOV131077:UOV131100 UYR131077:UYR131100 VIN131077:VIN131100 VSJ131077:VSJ131100 WCF131077:WCF131100 WMB131077:WMB131100 WVX131077:WVX131100 JL196613:JL196636 TH196613:TH196636 ADD196613:ADD196636 AMZ196613:AMZ196636 AWV196613:AWV196636 BGR196613:BGR196636 BQN196613:BQN196636 CAJ196613:CAJ196636 CKF196613:CKF196636 CUB196613:CUB196636 DDX196613:DDX196636 DNT196613:DNT196636 DXP196613:DXP196636 EHL196613:EHL196636 ERH196613:ERH196636 FBD196613:FBD196636 FKZ196613:FKZ196636 FUV196613:FUV196636 GER196613:GER196636 GON196613:GON196636 GYJ196613:GYJ196636 HIF196613:HIF196636 HSB196613:HSB196636 IBX196613:IBX196636 ILT196613:ILT196636 IVP196613:IVP196636 JFL196613:JFL196636 JPH196613:JPH196636 JZD196613:JZD196636 KIZ196613:KIZ196636 KSV196613:KSV196636 LCR196613:LCR196636 LMN196613:LMN196636 LWJ196613:LWJ196636 MGF196613:MGF196636 MQB196613:MQB196636 MZX196613:MZX196636 NJT196613:NJT196636 NTP196613:NTP196636 ODL196613:ODL196636 ONH196613:ONH196636 OXD196613:OXD196636 PGZ196613:PGZ196636 PQV196613:PQV196636 QAR196613:QAR196636 QKN196613:QKN196636 QUJ196613:QUJ196636 REF196613:REF196636 ROB196613:ROB196636 RXX196613:RXX196636 SHT196613:SHT196636 SRP196613:SRP196636 TBL196613:TBL196636 TLH196613:TLH196636 TVD196613:TVD196636 UEZ196613:UEZ196636 UOV196613:UOV196636 UYR196613:UYR196636 VIN196613:VIN196636 VSJ196613:VSJ196636 WCF196613:WCF196636 WMB196613:WMB196636 WVX196613:WVX196636 JL262149:JL262172 TH262149:TH262172 ADD262149:ADD262172 AMZ262149:AMZ262172 AWV262149:AWV262172 BGR262149:BGR262172 BQN262149:BQN262172 CAJ262149:CAJ262172 CKF262149:CKF262172 CUB262149:CUB262172 DDX262149:DDX262172 DNT262149:DNT262172 DXP262149:DXP262172 EHL262149:EHL262172 ERH262149:ERH262172 FBD262149:FBD262172 FKZ262149:FKZ262172 FUV262149:FUV262172 GER262149:GER262172 GON262149:GON262172 GYJ262149:GYJ262172 HIF262149:HIF262172 HSB262149:HSB262172 IBX262149:IBX262172 ILT262149:ILT262172 IVP262149:IVP262172 JFL262149:JFL262172 JPH262149:JPH262172 JZD262149:JZD262172 KIZ262149:KIZ262172 KSV262149:KSV262172 LCR262149:LCR262172 LMN262149:LMN262172 LWJ262149:LWJ262172 MGF262149:MGF262172 MQB262149:MQB262172 MZX262149:MZX262172 NJT262149:NJT262172 NTP262149:NTP262172 ODL262149:ODL262172 ONH262149:ONH262172 OXD262149:OXD262172 PGZ262149:PGZ262172 PQV262149:PQV262172 QAR262149:QAR262172 QKN262149:QKN262172 QUJ262149:QUJ262172 REF262149:REF262172 ROB262149:ROB262172 RXX262149:RXX262172 SHT262149:SHT262172 SRP262149:SRP262172 TBL262149:TBL262172 TLH262149:TLH262172 TVD262149:TVD262172 UEZ262149:UEZ262172 UOV262149:UOV262172 UYR262149:UYR262172 VIN262149:VIN262172 VSJ262149:VSJ262172 WCF262149:WCF262172 WMB262149:WMB262172 WVX262149:WVX262172 JL327685:JL327708 TH327685:TH327708 ADD327685:ADD327708 AMZ327685:AMZ327708 AWV327685:AWV327708 BGR327685:BGR327708 BQN327685:BQN327708 CAJ327685:CAJ327708 CKF327685:CKF327708 CUB327685:CUB327708 DDX327685:DDX327708 DNT327685:DNT327708 DXP327685:DXP327708 EHL327685:EHL327708 ERH327685:ERH327708 FBD327685:FBD327708 FKZ327685:FKZ327708 FUV327685:FUV327708 GER327685:GER327708 GON327685:GON327708 GYJ327685:GYJ327708 HIF327685:HIF327708 HSB327685:HSB327708 IBX327685:IBX327708 ILT327685:ILT327708 IVP327685:IVP327708 JFL327685:JFL327708 JPH327685:JPH327708 JZD327685:JZD327708 KIZ327685:KIZ327708 KSV327685:KSV327708 LCR327685:LCR327708 LMN327685:LMN327708 LWJ327685:LWJ327708 MGF327685:MGF327708 MQB327685:MQB327708 MZX327685:MZX327708 NJT327685:NJT327708 NTP327685:NTP327708 ODL327685:ODL327708 ONH327685:ONH327708 OXD327685:OXD327708 PGZ327685:PGZ327708 PQV327685:PQV327708 QAR327685:QAR327708 QKN327685:QKN327708 QUJ327685:QUJ327708 REF327685:REF327708 ROB327685:ROB327708 RXX327685:RXX327708 SHT327685:SHT327708 SRP327685:SRP327708 TBL327685:TBL327708 TLH327685:TLH327708 TVD327685:TVD327708 UEZ327685:UEZ327708 UOV327685:UOV327708 UYR327685:UYR327708 VIN327685:VIN327708 VSJ327685:VSJ327708 WCF327685:WCF327708 WMB327685:WMB327708 WVX327685:WVX327708 JL393221:JL393244 TH393221:TH393244 ADD393221:ADD393244 AMZ393221:AMZ393244 AWV393221:AWV393244 BGR393221:BGR393244 BQN393221:BQN393244 CAJ393221:CAJ393244 CKF393221:CKF393244 CUB393221:CUB393244 DDX393221:DDX393244 DNT393221:DNT393244 DXP393221:DXP393244 EHL393221:EHL393244 ERH393221:ERH393244 FBD393221:FBD393244 FKZ393221:FKZ393244 FUV393221:FUV393244 GER393221:GER393244 GON393221:GON393244 GYJ393221:GYJ393244 HIF393221:HIF393244 HSB393221:HSB393244 IBX393221:IBX393244 ILT393221:ILT393244 IVP393221:IVP393244 JFL393221:JFL393244 JPH393221:JPH393244 JZD393221:JZD393244 KIZ393221:KIZ393244 KSV393221:KSV393244 LCR393221:LCR393244 LMN393221:LMN393244 LWJ393221:LWJ393244 MGF393221:MGF393244 MQB393221:MQB393244 MZX393221:MZX393244 NJT393221:NJT393244 NTP393221:NTP393244 ODL393221:ODL393244 ONH393221:ONH393244 OXD393221:OXD393244 PGZ393221:PGZ393244 PQV393221:PQV393244 QAR393221:QAR393244 QKN393221:QKN393244 QUJ393221:QUJ393244 REF393221:REF393244 ROB393221:ROB393244 RXX393221:RXX393244 SHT393221:SHT393244 SRP393221:SRP393244 TBL393221:TBL393244 TLH393221:TLH393244 TVD393221:TVD393244 UEZ393221:UEZ393244 UOV393221:UOV393244 UYR393221:UYR393244 VIN393221:VIN393244 VSJ393221:VSJ393244 WCF393221:WCF393244 WMB393221:WMB393244 WVX393221:WVX393244 JL458757:JL458780 TH458757:TH458780 ADD458757:ADD458780 AMZ458757:AMZ458780 AWV458757:AWV458780 BGR458757:BGR458780 BQN458757:BQN458780 CAJ458757:CAJ458780 CKF458757:CKF458780 CUB458757:CUB458780 DDX458757:DDX458780 DNT458757:DNT458780 DXP458757:DXP458780 EHL458757:EHL458780 ERH458757:ERH458780 FBD458757:FBD458780 FKZ458757:FKZ458780 FUV458757:FUV458780 GER458757:GER458780 GON458757:GON458780 GYJ458757:GYJ458780 HIF458757:HIF458780 HSB458757:HSB458780 IBX458757:IBX458780 ILT458757:ILT458780 IVP458757:IVP458780 JFL458757:JFL458780 JPH458757:JPH458780 JZD458757:JZD458780 KIZ458757:KIZ458780 KSV458757:KSV458780 LCR458757:LCR458780 LMN458757:LMN458780 LWJ458757:LWJ458780 MGF458757:MGF458780 MQB458757:MQB458780 MZX458757:MZX458780 NJT458757:NJT458780 NTP458757:NTP458780 ODL458757:ODL458780 ONH458757:ONH458780 OXD458757:OXD458780 PGZ458757:PGZ458780 PQV458757:PQV458780 QAR458757:QAR458780 QKN458757:QKN458780 QUJ458757:QUJ458780 REF458757:REF458780 ROB458757:ROB458780 RXX458757:RXX458780 SHT458757:SHT458780 SRP458757:SRP458780 TBL458757:TBL458780 TLH458757:TLH458780 TVD458757:TVD458780 UEZ458757:UEZ458780 UOV458757:UOV458780 UYR458757:UYR458780 VIN458757:VIN458780 VSJ458757:VSJ458780 WCF458757:WCF458780 WMB458757:WMB458780 WVX458757:WVX458780 JL524293:JL524316 TH524293:TH524316 ADD524293:ADD524316 AMZ524293:AMZ524316 AWV524293:AWV524316 BGR524293:BGR524316 BQN524293:BQN524316 CAJ524293:CAJ524316 CKF524293:CKF524316 CUB524293:CUB524316 DDX524293:DDX524316 DNT524293:DNT524316 DXP524293:DXP524316 EHL524293:EHL524316 ERH524293:ERH524316 FBD524293:FBD524316 FKZ524293:FKZ524316 FUV524293:FUV524316 GER524293:GER524316 GON524293:GON524316 GYJ524293:GYJ524316 HIF524293:HIF524316 HSB524293:HSB524316 IBX524293:IBX524316 ILT524293:ILT524316 IVP524293:IVP524316 JFL524293:JFL524316 JPH524293:JPH524316 JZD524293:JZD524316 KIZ524293:KIZ524316 KSV524293:KSV524316 LCR524293:LCR524316 LMN524293:LMN524316 LWJ524293:LWJ524316 MGF524293:MGF524316 MQB524293:MQB524316 MZX524293:MZX524316 NJT524293:NJT524316 NTP524293:NTP524316 ODL524293:ODL524316 ONH524293:ONH524316 OXD524293:OXD524316 PGZ524293:PGZ524316 PQV524293:PQV524316 QAR524293:QAR524316 QKN524293:QKN524316 QUJ524293:QUJ524316 REF524293:REF524316 ROB524293:ROB524316 RXX524293:RXX524316 SHT524293:SHT524316 SRP524293:SRP524316 TBL524293:TBL524316 TLH524293:TLH524316 TVD524293:TVD524316 UEZ524293:UEZ524316 UOV524293:UOV524316 UYR524293:UYR524316 VIN524293:VIN524316 VSJ524293:VSJ524316 WCF524293:WCF524316 WMB524293:WMB524316 WVX524293:WVX524316 JL589829:JL589852 TH589829:TH589852 ADD589829:ADD589852 AMZ589829:AMZ589852 AWV589829:AWV589852 BGR589829:BGR589852 BQN589829:BQN589852 CAJ589829:CAJ589852 CKF589829:CKF589852 CUB589829:CUB589852 DDX589829:DDX589852 DNT589829:DNT589852 DXP589829:DXP589852 EHL589829:EHL589852 ERH589829:ERH589852 FBD589829:FBD589852 FKZ589829:FKZ589852 FUV589829:FUV589852 GER589829:GER589852 GON589829:GON589852 GYJ589829:GYJ589852 HIF589829:HIF589852 HSB589829:HSB589852 IBX589829:IBX589852 ILT589829:ILT589852 IVP589829:IVP589852 JFL589829:JFL589852 JPH589829:JPH589852 JZD589829:JZD589852 KIZ589829:KIZ589852 KSV589829:KSV589852 LCR589829:LCR589852 LMN589829:LMN589852 LWJ589829:LWJ589852 MGF589829:MGF589852 MQB589829:MQB589852 MZX589829:MZX589852 NJT589829:NJT589852 NTP589829:NTP589852 ODL589829:ODL589852 ONH589829:ONH589852 OXD589829:OXD589852 PGZ589829:PGZ589852 PQV589829:PQV589852 QAR589829:QAR589852 QKN589829:QKN589852 QUJ589829:QUJ589852 REF589829:REF589852 ROB589829:ROB589852 RXX589829:RXX589852 SHT589829:SHT589852 SRP589829:SRP589852 TBL589829:TBL589852 TLH589829:TLH589852 TVD589829:TVD589852 UEZ589829:UEZ589852 UOV589829:UOV589852 UYR589829:UYR589852 VIN589829:VIN589852 VSJ589829:VSJ589852 WCF589829:WCF589852 WMB589829:WMB589852 WVX589829:WVX589852 JL655365:JL655388 TH655365:TH655388 ADD655365:ADD655388 AMZ655365:AMZ655388 AWV655365:AWV655388 BGR655365:BGR655388 BQN655365:BQN655388 CAJ655365:CAJ655388 CKF655365:CKF655388 CUB655365:CUB655388 DDX655365:DDX655388 DNT655365:DNT655388 DXP655365:DXP655388 EHL655365:EHL655388 ERH655365:ERH655388 FBD655365:FBD655388 FKZ655365:FKZ655388 FUV655365:FUV655388 GER655365:GER655388 GON655365:GON655388 GYJ655365:GYJ655388 HIF655365:HIF655388 HSB655365:HSB655388 IBX655365:IBX655388 ILT655365:ILT655388 IVP655365:IVP655388 JFL655365:JFL655388 JPH655365:JPH655388 JZD655365:JZD655388 KIZ655365:KIZ655388 KSV655365:KSV655388 LCR655365:LCR655388 LMN655365:LMN655388 LWJ655365:LWJ655388 MGF655365:MGF655388 MQB655365:MQB655388 MZX655365:MZX655388 NJT655365:NJT655388 NTP655365:NTP655388 ODL655365:ODL655388 ONH655365:ONH655388 OXD655365:OXD655388 PGZ655365:PGZ655388 PQV655365:PQV655388 QAR655365:QAR655388 QKN655365:QKN655388 QUJ655365:QUJ655388 REF655365:REF655388 ROB655365:ROB655388 RXX655365:RXX655388 SHT655365:SHT655388 SRP655365:SRP655388 TBL655365:TBL655388 TLH655365:TLH655388 TVD655365:TVD655388 UEZ655365:UEZ655388 UOV655365:UOV655388 UYR655365:UYR655388 VIN655365:VIN655388 VSJ655365:VSJ655388 WCF655365:WCF655388 WMB655365:WMB655388 WVX655365:WVX655388 JL720901:JL720924 TH720901:TH720924 ADD720901:ADD720924 AMZ720901:AMZ720924 AWV720901:AWV720924 BGR720901:BGR720924 BQN720901:BQN720924 CAJ720901:CAJ720924 CKF720901:CKF720924 CUB720901:CUB720924 DDX720901:DDX720924 DNT720901:DNT720924 DXP720901:DXP720924 EHL720901:EHL720924 ERH720901:ERH720924 FBD720901:FBD720924 FKZ720901:FKZ720924 FUV720901:FUV720924 GER720901:GER720924 GON720901:GON720924 GYJ720901:GYJ720924 HIF720901:HIF720924 HSB720901:HSB720924 IBX720901:IBX720924 ILT720901:ILT720924 IVP720901:IVP720924 JFL720901:JFL720924 JPH720901:JPH720924 JZD720901:JZD720924 KIZ720901:KIZ720924 KSV720901:KSV720924 LCR720901:LCR720924 LMN720901:LMN720924 LWJ720901:LWJ720924 MGF720901:MGF720924 MQB720901:MQB720924 MZX720901:MZX720924 NJT720901:NJT720924 NTP720901:NTP720924 ODL720901:ODL720924 ONH720901:ONH720924 OXD720901:OXD720924 PGZ720901:PGZ720924 PQV720901:PQV720924 QAR720901:QAR720924 QKN720901:QKN720924 QUJ720901:QUJ720924 REF720901:REF720924 ROB720901:ROB720924 RXX720901:RXX720924 SHT720901:SHT720924 SRP720901:SRP720924 TBL720901:TBL720924 TLH720901:TLH720924 TVD720901:TVD720924 UEZ720901:UEZ720924 UOV720901:UOV720924 UYR720901:UYR720924 VIN720901:VIN720924 VSJ720901:VSJ720924 WCF720901:WCF720924 WMB720901:WMB720924 WVX720901:WVX720924 JL786437:JL786460 TH786437:TH786460 ADD786437:ADD786460 AMZ786437:AMZ786460 AWV786437:AWV786460 BGR786437:BGR786460 BQN786437:BQN786460 CAJ786437:CAJ786460 CKF786437:CKF786460 CUB786437:CUB786460 DDX786437:DDX786460 DNT786437:DNT786460 DXP786437:DXP786460 EHL786437:EHL786460 ERH786437:ERH786460 FBD786437:FBD786460 FKZ786437:FKZ786460 FUV786437:FUV786460 GER786437:GER786460 GON786437:GON786460 GYJ786437:GYJ786460 HIF786437:HIF786460 HSB786437:HSB786460 IBX786437:IBX786460 ILT786437:ILT786460 IVP786437:IVP786460 JFL786437:JFL786460 JPH786437:JPH786460 JZD786437:JZD786460 KIZ786437:KIZ786460 KSV786437:KSV786460 LCR786437:LCR786460 LMN786437:LMN786460 LWJ786437:LWJ786460 MGF786437:MGF786460 MQB786437:MQB786460 MZX786437:MZX786460 NJT786437:NJT786460 NTP786437:NTP786460 ODL786437:ODL786460 ONH786437:ONH786460 OXD786437:OXD786460 PGZ786437:PGZ786460 PQV786437:PQV786460 QAR786437:QAR786460 QKN786437:QKN786460 QUJ786437:QUJ786460 REF786437:REF786460 ROB786437:ROB786460 RXX786437:RXX786460 SHT786437:SHT786460 SRP786437:SRP786460 TBL786437:TBL786460 TLH786437:TLH786460 TVD786437:TVD786460 UEZ786437:UEZ786460 UOV786437:UOV786460 UYR786437:UYR786460 VIN786437:VIN786460 VSJ786437:VSJ786460 WCF786437:WCF786460 WMB786437:WMB786460 WVX786437:WVX786460 JL851973:JL851996 TH851973:TH851996 ADD851973:ADD851996 AMZ851973:AMZ851996 AWV851973:AWV851996 BGR851973:BGR851996 BQN851973:BQN851996 CAJ851973:CAJ851996 CKF851973:CKF851996 CUB851973:CUB851996 DDX851973:DDX851996 DNT851973:DNT851996 DXP851973:DXP851996 EHL851973:EHL851996 ERH851973:ERH851996 FBD851973:FBD851996 FKZ851973:FKZ851996 FUV851973:FUV851996 GER851973:GER851996 GON851973:GON851996 GYJ851973:GYJ851996 HIF851973:HIF851996 HSB851973:HSB851996 IBX851973:IBX851996 ILT851973:ILT851996 IVP851973:IVP851996 JFL851973:JFL851996 JPH851973:JPH851996 JZD851973:JZD851996 KIZ851973:KIZ851996 KSV851973:KSV851996 LCR851973:LCR851996 LMN851973:LMN851996 LWJ851973:LWJ851996 MGF851973:MGF851996 MQB851973:MQB851996 MZX851973:MZX851996 NJT851973:NJT851996 NTP851973:NTP851996 ODL851973:ODL851996 ONH851973:ONH851996 OXD851973:OXD851996 PGZ851973:PGZ851996 PQV851973:PQV851996 QAR851973:QAR851996 QKN851973:QKN851996 QUJ851973:QUJ851996 REF851973:REF851996 ROB851973:ROB851996 RXX851973:RXX851996 SHT851973:SHT851996 SRP851973:SRP851996 TBL851973:TBL851996 TLH851973:TLH851996 TVD851973:TVD851996 UEZ851973:UEZ851996 UOV851973:UOV851996 UYR851973:UYR851996 VIN851973:VIN851996 VSJ851973:VSJ851996 WCF851973:WCF851996 WMB851973:WMB851996 WVX851973:WVX851996 JL917509:JL917532 TH917509:TH917532 ADD917509:ADD917532 AMZ917509:AMZ917532 AWV917509:AWV917532 BGR917509:BGR917532 BQN917509:BQN917532 CAJ917509:CAJ917532 CKF917509:CKF917532 CUB917509:CUB917532 DDX917509:DDX917532 DNT917509:DNT917532 DXP917509:DXP917532 EHL917509:EHL917532 ERH917509:ERH917532 FBD917509:FBD917532 FKZ917509:FKZ917532 FUV917509:FUV917532 GER917509:GER917532 GON917509:GON917532 GYJ917509:GYJ917532 HIF917509:HIF917532 HSB917509:HSB917532 IBX917509:IBX917532 ILT917509:ILT917532 IVP917509:IVP917532 JFL917509:JFL917532 JPH917509:JPH917532 JZD917509:JZD917532 KIZ917509:KIZ917532 KSV917509:KSV917532 LCR917509:LCR917532 LMN917509:LMN917532 LWJ917509:LWJ917532 MGF917509:MGF917532 MQB917509:MQB917532 MZX917509:MZX917532 NJT917509:NJT917532 NTP917509:NTP917532 ODL917509:ODL917532 ONH917509:ONH917532 OXD917509:OXD917532 PGZ917509:PGZ917532 PQV917509:PQV917532 QAR917509:QAR917532 QKN917509:QKN917532 QUJ917509:QUJ917532 REF917509:REF917532 ROB917509:ROB917532 RXX917509:RXX917532 SHT917509:SHT917532 SRP917509:SRP917532 TBL917509:TBL917532 TLH917509:TLH917532 TVD917509:TVD917532 UEZ917509:UEZ917532 UOV917509:UOV917532 UYR917509:UYR917532 VIN917509:VIN917532 VSJ917509:VSJ917532 WCF917509:WCF917532 WMB917509:WMB917532 WVX917509:WVX917532 JL983045:JL983068 TH983045:TH983068 ADD983045:ADD983068 AMZ983045:AMZ983068 AWV983045:AWV983068 BGR983045:BGR983068 BQN983045:BQN983068 CAJ983045:CAJ983068 CKF983045:CKF983068 CUB983045:CUB983068 DDX983045:DDX983068 DNT983045:DNT983068 DXP983045:DXP983068 EHL983045:EHL983068 ERH983045:ERH983068 FBD983045:FBD983068 FKZ983045:FKZ983068 FUV983045:FUV983068 GER983045:GER983068 GON983045:GON983068 GYJ983045:GYJ983068 HIF983045:HIF983068 HSB983045:HSB983068 IBX983045:IBX983068 ILT983045:ILT983068 IVP983045:IVP983068 JFL983045:JFL983068 JPH983045:JPH983068 JZD983045:JZD983068 KIZ983045:KIZ983068 KSV983045:KSV983068 LCR983045:LCR983068 LMN983045:LMN983068 LWJ983045:LWJ983068 MGF983045:MGF983068 MQB983045:MQB983068 MZX983045:MZX983068 NJT983045:NJT983068 NTP983045:NTP983068 ODL983045:ODL983068 ONH983045:ONH983068 OXD983045:OXD983068 PGZ983045:PGZ983068 PQV983045:PQV983068 QAR983045:QAR983068 QKN983045:QKN983068 QUJ983045:QUJ983068 REF983045:REF983068 ROB983045:ROB983068 RXX983045:RXX983068 SHT983045:SHT983068 SRP983045:SRP983068 TBL983045:TBL983068 TLH983045:TLH983068 TVD983045:TVD983068 UEZ983045:UEZ983068 UOV983045:UOV983068 UYR983045:UYR983068 VIN983045:VIN983068 VSJ983045:VSJ983068 WCF983045:WCF983068 WMB983045:WMB983068 WVI11:WVI25 WLM11:WLM25 WBQ11:WBQ25 VRU11:VRU25 VHY11:VHY25 UYC11:UYC25 UOG11:UOG25 UEK11:UEK25 TUO11:TUO25 TKS11:TKS25 TAW11:TAW25 SRA11:SRA25 SHE11:SHE25 RXI11:RXI25 RNM11:RNM25 RDQ11:RDQ25 QTU11:QTU25 QJY11:QJY25 QAC11:QAC25 PQG11:PQG25 PGK11:PGK25 OWO11:OWO25 OMS11:OMS25 OCW11:OCW25 NTA11:NTA25 NJE11:NJE25 MZI11:MZI25 MPM11:MPM25 MFQ11:MFQ25 LVU11:LVU25 LLY11:LLY25 LCC11:LCC25 KSG11:KSG25 KIK11:KIK25 JYO11:JYO25 JOS11:JOS25 JEW11:JEW25 IVA11:IVA25 ILE11:ILE25 IBI11:IBI25 HRM11:HRM25 HHQ11:HHQ25 GXU11:GXU25 GNY11:GNY25 GEC11:GEC25 FUG11:FUG25 FKK11:FKK25 FAO11:FAO25 EQS11:EQS25 EGW11:EGW25 DXA11:DXA25 DNE11:DNE25 DDI11:DDI25 CTM11:CTM25 CJQ11:CJQ25 BZU11:BZU25 BPY11:BPY25 BGC11:BGC25 AWG11:AWG25 AMK11:AMK25 ACO11:ACO25 SS11:SS25 IW11:IW25 WVG11:WVG25 WLK11:WLK25 WBO11:WBO25 VRS11:VRS25 VHW11:VHW25 UYA11:UYA25 UOE11:UOE25 UEI11:UEI25 TUM11:TUM25 TKQ11:TKQ25 TAU11:TAU25 SQY11:SQY25 SHC11:SHC25 RXG11:RXG25 RNK11:RNK25 RDO11:RDO25 QTS11:QTS25 QJW11:QJW25 QAA11:QAA25 PQE11:PQE25 PGI11:PGI25 OWM11:OWM25 OMQ11:OMQ25 OCU11:OCU25 NSY11:NSY25 NJC11:NJC25 MZG11:MZG25 MPK11:MPK25 MFO11:MFO25 LVS11:LVS25 LLW11:LLW25 LCA11:LCA25 KSE11:KSE25 KII11:KII25 JYM11:JYM25 JOQ11:JOQ25 JEU11:JEU25 IUY11:IUY25 ILC11:ILC25 IBG11:IBG25 HRK11:HRK25 HHO11:HHO25 GXS11:GXS25 GNW11:GNW25 GEA11:GEA25 FUE11:FUE25 FKI11:FKI25 FAM11:FAM25 EQQ11:EQQ25 EGU11:EGU25 DWY11:DWY25 DNC11:DNC25 DDG11:DDG25 CTK11:CTK25 CJO11:CJO25 BZS11:BZS25 BPW11:BPW25 BGA11:BGA25 AWE11:AWE25 AMI11:AMI25 ACM11:ACM25 SQ11:SQ25 IU11:IU25 W11:W29 U11:U29" xr:uid="{00000000-0002-0000-0600-000001000000}">
      <formula1>"1,2,3,4"</formula1>
    </dataValidation>
  </dataValidations>
  <pageMargins left="0" right="0" top="0.39370078740157483" bottom="0.59055118110236227" header="0.51181102362204722" footer="0.39370078740157483"/>
  <pageSetup paperSize="9" scale="82" fitToHeight="0" orientation="landscape" r:id="rId1"/>
  <headerFooter alignWithMargins="0">
    <oddFooter>第 &amp;P 頁，共 &amp;N 頁</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8">
    <tabColor rgb="FFFF0000"/>
    <pageSetUpPr fitToPage="1"/>
  </sheetPr>
  <dimension ref="A1:Z34"/>
  <sheetViews>
    <sheetView topLeftCell="M22" zoomScale="97" zoomScaleNormal="97" workbookViewId="0">
      <selection activeCell="P11" sqref="P11:S11"/>
    </sheetView>
  </sheetViews>
  <sheetFormatPr defaultRowHeight="15.5"/>
  <cols>
    <col min="1" max="1" width="7.90625" style="34" hidden="1" customWidth="1"/>
    <col min="2" max="2" width="11.90625" style="34" hidden="1" customWidth="1"/>
    <col min="3" max="4" width="9.90625" style="34" hidden="1" customWidth="1"/>
    <col min="5" max="5" width="5.90625" style="34" hidden="1" customWidth="1"/>
    <col min="6" max="6" width="7.90625" style="34" hidden="1" customWidth="1"/>
    <col min="7" max="7" width="3.08984375" style="34" hidden="1" customWidth="1"/>
    <col min="8" max="8" width="2.36328125" style="34" hidden="1" customWidth="1"/>
    <col min="9" max="9" width="3.08984375" style="34" hidden="1" customWidth="1"/>
    <col min="10" max="10" width="5.36328125" style="34" hidden="1" customWidth="1"/>
    <col min="11" max="11" width="9.90625" style="34" hidden="1" customWidth="1"/>
    <col min="12" max="12" width="5.90625" style="34" hidden="1" customWidth="1"/>
    <col min="13" max="13" width="21.08984375" style="6" customWidth="1"/>
    <col min="14" max="14" width="8.90625" style="6" customWidth="1"/>
    <col min="15" max="15" width="11.453125" style="6" customWidth="1"/>
    <col min="16" max="16" width="8.90625" style="6" customWidth="1"/>
    <col min="17" max="17" width="8.90625" style="35" customWidth="1"/>
    <col min="18" max="18" width="16.90625" style="6" customWidth="1"/>
    <col min="19" max="19" width="16.90625" style="35" customWidth="1"/>
    <col min="20" max="20" width="10" style="6" customWidth="1"/>
    <col min="21" max="21" width="10" style="35" customWidth="1"/>
    <col min="22" max="22" width="17.6328125" style="6" customWidth="1"/>
    <col min="23" max="23" width="10" style="6" customWidth="1"/>
    <col min="24" max="24" width="17.6328125" style="6" customWidth="1"/>
    <col min="25" max="25" width="10" style="6" customWidth="1"/>
    <col min="26" max="26" width="5.90625" style="6" customWidth="1"/>
    <col min="27" max="261" width="9" style="6"/>
    <col min="262" max="262" width="16.36328125" style="6" customWidth="1"/>
    <col min="263" max="263" width="9" style="6"/>
    <col min="264" max="264" width="11.453125" style="6" customWidth="1"/>
    <col min="265" max="266" width="9" style="6"/>
    <col min="267" max="267" width="23" style="6" bestFit="1" customWidth="1"/>
    <col min="268" max="268" width="10" style="6" customWidth="1"/>
    <col min="269" max="269" width="6.36328125" style="6" bestFit="1" customWidth="1"/>
    <col min="270" max="270" width="7.36328125" style="6" bestFit="1" customWidth="1"/>
    <col min="271" max="271" width="16.6328125" style="6" customWidth="1"/>
    <col min="272" max="272" width="7.36328125" style="6" bestFit="1" customWidth="1"/>
    <col min="273" max="273" width="16.6328125" style="6" customWidth="1"/>
    <col min="274" max="517" width="9" style="6"/>
    <col min="518" max="518" width="16.36328125" style="6" customWidth="1"/>
    <col min="519" max="519" width="9" style="6"/>
    <col min="520" max="520" width="11.453125" style="6" customWidth="1"/>
    <col min="521" max="522" width="9" style="6"/>
    <col min="523" max="523" width="23" style="6" bestFit="1" customWidth="1"/>
    <col min="524" max="524" width="10" style="6" customWidth="1"/>
    <col min="525" max="525" width="6.36328125" style="6" bestFit="1" customWidth="1"/>
    <col min="526" max="526" width="7.36328125" style="6" bestFit="1" customWidth="1"/>
    <col min="527" max="527" width="16.6328125" style="6" customWidth="1"/>
    <col min="528" max="528" width="7.36328125" style="6" bestFit="1" customWidth="1"/>
    <col min="529" max="529" width="16.6328125" style="6" customWidth="1"/>
    <col min="530" max="773" width="9" style="6"/>
    <col min="774" max="774" width="16.36328125" style="6" customWidth="1"/>
    <col min="775" max="775" width="9" style="6"/>
    <col min="776" max="776" width="11.453125" style="6" customWidth="1"/>
    <col min="777" max="778" width="9" style="6"/>
    <col min="779" max="779" width="23" style="6" bestFit="1" customWidth="1"/>
    <col min="780" max="780" width="10" style="6" customWidth="1"/>
    <col min="781" max="781" width="6.36328125" style="6" bestFit="1" customWidth="1"/>
    <col min="782" max="782" width="7.36328125" style="6" bestFit="1" customWidth="1"/>
    <col min="783" max="783" width="16.6328125" style="6" customWidth="1"/>
    <col min="784" max="784" width="7.36328125" style="6" bestFit="1" customWidth="1"/>
    <col min="785" max="785" width="16.6328125" style="6" customWidth="1"/>
    <col min="786" max="1029" width="9" style="6"/>
    <col min="1030" max="1030" width="16.36328125" style="6" customWidth="1"/>
    <col min="1031" max="1031" width="9" style="6"/>
    <col min="1032" max="1032" width="11.453125" style="6" customWidth="1"/>
    <col min="1033" max="1034" width="9" style="6"/>
    <col min="1035" max="1035" width="23" style="6" bestFit="1" customWidth="1"/>
    <col min="1036" max="1036" width="10" style="6" customWidth="1"/>
    <col min="1037" max="1037" width="6.36328125" style="6" bestFit="1" customWidth="1"/>
    <col min="1038" max="1038" width="7.36328125" style="6" bestFit="1" customWidth="1"/>
    <col min="1039" max="1039" width="16.6328125" style="6" customWidth="1"/>
    <col min="1040" max="1040" width="7.36328125" style="6" bestFit="1" customWidth="1"/>
    <col min="1041" max="1041" width="16.6328125" style="6" customWidth="1"/>
    <col min="1042" max="1285" width="9" style="6"/>
    <col min="1286" max="1286" width="16.36328125" style="6" customWidth="1"/>
    <col min="1287" max="1287" width="9" style="6"/>
    <col min="1288" max="1288" width="11.453125" style="6" customWidth="1"/>
    <col min="1289" max="1290" width="9" style="6"/>
    <col min="1291" max="1291" width="23" style="6" bestFit="1" customWidth="1"/>
    <col min="1292" max="1292" width="10" style="6" customWidth="1"/>
    <col min="1293" max="1293" width="6.36328125" style="6" bestFit="1" customWidth="1"/>
    <col min="1294" max="1294" width="7.36328125" style="6" bestFit="1" customWidth="1"/>
    <col min="1295" max="1295" width="16.6328125" style="6" customWidth="1"/>
    <col min="1296" max="1296" width="7.36328125" style="6" bestFit="1" customWidth="1"/>
    <col min="1297" max="1297" width="16.6328125" style="6" customWidth="1"/>
    <col min="1298" max="1541" width="9" style="6"/>
    <col min="1542" max="1542" width="16.36328125" style="6" customWidth="1"/>
    <col min="1543" max="1543" width="9" style="6"/>
    <col min="1544" max="1544" width="11.453125" style="6" customWidth="1"/>
    <col min="1545" max="1546" width="9" style="6"/>
    <col min="1547" max="1547" width="23" style="6" bestFit="1" customWidth="1"/>
    <col min="1548" max="1548" width="10" style="6" customWidth="1"/>
    <col min="1549" max="1549" width="6.36328125" style="6" bestFit="1" customWidth="1"/>
    <col min="1550" max="1550" width="7.36328125" style="6" bestFit="1" customWidth="1"/>
    <col min="1551" max="1551" width="16.6328125" style="6" customWidth="1"/>
    <col min="1552" max="1552" width="7.36328125" style="6" bestFit="1" customWidth="1"/>
    <col min="1553" max="1553" width="16.6328125" style="6" customWidth="1"/>
    <col min="1554" max="1797" width="9" style="6"/>
    <col min="1798" max="1798" width="16.36328125" style="6" customWidth="1"/>
    <col min="1799" max="1799" width="9" style="6"/>
    <col min="1800" max="1800" width="11.453125" style="6" customWidth="1"/>
    <col min="1801" max="1802" width="9" style="6"/>
    <col min="1803" max="1803" width="23" style="6" bestFit="1" customWidth="1"/>
    <col min="1804" max="1804" width="10" style="6" customWidth="1"/>
    <col min="1805" max="1805" width="6.36328125" style="6" bestFit="1" customWidth="1"/>
    <col min="1806" max="1806" width="7.36328125" style="6" bestFit="1" customWidth="1"/>
    <col min="1807" max="1807" width="16.6328125" style="6" customWidth="1"/>
    <col min="1808" max="1808" width="7.36328125" style="6" bestFit="1" customWidth="1"/>
    <col min="1809" max="1809" width="16.6328125" style="6" customWidth="1"/>
    <col min="1810" max="2053" width="9" style="6"/>
    <col min="2054" max="2054" width="16.36328125" style="6" customWidth="1"/>
    <col min="2055" max="2055" width="9" style="6"/>
    <col min="2056" max="2056" width="11.453125" style="6" customWidth="1"/>
    <col min="2057" max="2058" width="9" style="6"/>
    <col min="2059" max="2059" width="23" style="6" bestFit="1" customWidth="1"/>
    <col min="2060" max="2060" width="10" style="6" customWidth="1"/>
    <col min="2061" max="2061" width="6.36328125" style="6" bestFit="1" customWidth="1"/>
    <col min="2062" max="2062" width="7.36328125" style="6" bestFit="1" customWidth="1"/>
    <col min="2063" max="2063" width="16.6328125" style="6" customWidth="1"/>
    <col min="2064" max="2064" width="7.36328125" style="6" bestFit="1" customWidth="1"/>
    <col min="2065" max="2065" width="16.6328125" style="6" customWidth="1"/>
    <col min="2066" max="2309" width="9" style="6"/>
    <col min="2310" max="2310" width="16.36328125" style="6" customWidth="1"/>
    <col min="2311" max="2311" width="9" style="6"/>
    <col min="2312" max="2312" width="11.453125" style="6" customWidth="1"/>
    <col min="2313" max="2314" width="9" style="6"/>
    <col min="2315" max="2315" width="23" style="6" bestFit="1" customWidth="1"/>
    <col min="2316" max="2316" width="10" style="6" customWidth="1"/>
    <col min="2317" max="2317" width="6.36328125" style="6" bestFit="1" customWidth="1"/>
    <col min="2318" max="2318" width="7.36328125" style="6" bestFit="1" customWidth="1"/>
    <col min="2319" max="2319" width="16.6328125" style="6" customWidth="1"/>
    <col min="2320" max="2320" width="7.36328125" style="6" bestFit="1" customWidth="1"/>
    <col min="2321" max="2321" width="16.6328125" style="6" customWidth="1"/>
    <col min="2322" max="2565" width="9" style="6"/>
    <col min="2566" max="2566" width="16.36328125" style="6" customWidth="1"/>
    <col min="2567" max="2567" width="9" style="6"/>
    <col min="2568" max="2568" width="11.453125" style="6" customWidth="1"/>
    <col min="2569" max="2570" width="9" style="6"/>
    <col min="2571" max="2571" width="23" style="6" bestFit="1" customWidth="1"/>
    <col min="2572" max="2572" width="10" style="6" customWidth="1"/>
    <col min="2573" max="2573" width="6.36328125" style="6" bestFit="1" customWidth="1"/>
    <col min="2574" max="2574" width="7.36328125" style="6" bestFit="1" customWidth="1"/>
    <col min="2575" max="2575" width="16.6328125" style="6" customWidth="1"/>
    <col min="2576" max="2576" width="7.36328125" style="6" bestFit="1" customWidth="1"/>
    <col min="2577" max="2577" width="16.6328125" style="6" customWidth="1"/>
    <col min="2578" max="2821" width="9" style="6"/>
    <col min="2822" max="2822" width="16.36328125" style="6" customWidth="1"/>
    <col min="2823" max="2823" width="9" style="6"/>
    <col min="2824" max="2824" width="11.453125" style="6" customWidth="1"/>
    <col min="2825" max="2826" width="9" style="6"/>
    <col min="2827" max="2827" width="23" style="6" bestFit="1" customWidth="1"/>
    <col min="2828" max="2828" width="10" style="6" customWidth="1"/>
    <col min="2829" max="2829" width="6.36328125" style="6" bestFit="1" customWidth="1"/>
    <col min="2830" max="2830" width="7.36328125" style="6" bestFit="1" customWidth="1"/>
    <col min="2831" max="2831" width="16.6328125" style="6" customWidth="1"/>
    <col min="2832" max="2832" width="7.36328125" style="6" bestFit="1" customWidth="1"/>
    <col min="2833" max="2833" width="16.6328125" style="6" customWidth="1"/>
    <col min="2834" max="3077" width="9" style="6"/>
    <col min="3078" max="3078" width="16.36328125" style="6" customWidth="1"/>
    <col min="3079" max="3079" width="9" style="6"/>
    <col min="3080" max="3080" width="11.453125" style="6" customWidth="1"/>
    <col min="3081" max="3082" width="9" style="6"/>
    <col min="3083" max="3083" width="23" style="6" bestFit="1" customWidth="1"/>
    <col min="3084" max="3084" width="10" style="6" customWidth="1"/>
    <col min="3085" max="3085" width="6.36328125" style="6" bestFit="1" customWidth="1"/>
    <col min="3086" max="3086" width="7.36328125" style="6" bestFit="1" customWidth="1"/>
    <col min="3087" max="3087" width="16.6328125" style="6" customWidth="1"/>
    <col min="3088" max="3088" width="7.36328125" style="6" bestFit="1" customWidth="1"/>
    <col min="3089" max="3089" width="16.6328125" style="6" customWidth="1"/>
    <col min="3090" max="3333" width="9" style="6"/>
    <col min="3334" max="3334" width="16.36328125" style="6" customWidth="1"/>
    <col min="3335" max="3335" width="9" style="6"/>
    <col min="3336" max="3336" width="11.453125" style="6" customWidth="1"/>
    <col min="3337" max="3338" width="9" style="6"/>
    <col min="3339" max="3339" width="23" style="6" bestFit="1" customWidth="1"/>
    <col min="3340" max="3340" width="10" style="6" customWidth="1"/>
    <col min="3341" max="3341" width="6.36328125" style="6" bestFit="1" customWidth="1"/>
    <col min="3342" max="3342" width="7.36328125" style="6" bestFit="1" customWidth="1"/>
    <col min="3343" max="3343" width="16.6328125" style="6" customWidth="1"/>
    <col min="3344" max="3344" width="7.36328125" style="6" bestFit="1" customWidth="1"/>
    <col min="3345" max="3345" width="16.6328125" style="6" customWidth="1"/>
    <col min="3346" max="3589" width="9" style="6"/>
    <col min="3590" max="3590" width="16.36328125" style="6" customWidth="1"/>
    <col min="3591" max="3591" width="9" style="6"/>
    <col min="3592" max="3592" width="11.453125" style="6" customWidth="1"/>
    <col min="3593" max="3594" width="9" style="6"/>
    <col min="3595" max="3595" width="23" style="6" bestFit="1" customWidth="1"/>
    <col min="3596" max="3596" width="10" style="6" customWidth="1"/>
    <col min="3597" max="3597" width="6.36328125" style="6" bestFit="1" customWidth="1"/>
    <col min="3598" max="3598" width="7.36328125" style="6" bestFit="1" customWidth="1"/>
    <col min="3599" max="3599" width="16.6328125" style="6" customWidth="1"/>
    <col min="3600" max="3600" width="7.36328125" style="6" bestFit="1" customWidth="1"/>
    <col min="3601" max="3601" width="16.6328125" style="6" customWidth="1"/>
    <col min="3602" max="3845" width="9" style="6"/>
    <col min="3846" max="3846" width="16.36328125" style="6" customWidth="1"/>
    <col min="3847" max="3847" width="9" style="6"/>
    <col min="3848" max="3848" width="11.453125" style="6" customWidth="1"/>
    <col min="3849" max="3850" width="9" style="6"/>
    <col min="3851" max="3851" width="23" style="6" bestFit="1" customWidth="1"/>
    <col min="3852" max="3852" width="10" style="6" customWidth="1"/>
    <col min="3853" max="3853" width="6.36328125" style="6" bestFit="1" customWidth="1"/>
    <col min="3854" max="3854" width="7.36328125" style="6" bestFit="1" customWidth="1"/>
    <col min="3855" max="3855" width="16.6328125" style="6" customWidth="1"/>
    <col min="3856" max="3856" width="7.36328125" style="6" bestFit="1" customWidth="1"/>
    <col min="3857" max="3857" width="16.6328125" style="6" customWidth="1"/>
    <col min="3858" max="4101" width="9" style="6"/>
    <col min="4102" max="4102" width="16.36328125" style="6" customWidth="1"/>
    <col min="4103" max="4103" width="9" style="6"/>
    <col min="4104" max="4104" width="11.453125" style="6" customWidth="1"/>
    <col min="4105" max="4106" width="9" style="6"/>
    <col min="4107" max="4107" width="23" style="6" bestFit="1" customWidth="1"/>
    <col min="4108" max="4108" width="10" style="6" customWidth="1"/>
    <col min="4109" max="4109" width="6.36328125" style="6" bestFit="1" customWidth="1"/>
    <col min="4110" max="4110" width="7.36328125" style="6" bestFit="1" customWidth="1"/>
    <col min="4111" max="4111" width="16.6328125" style="6" customWidth="1"/>
    <col min="4112" max="4112" width="7.36328125" style="6" bestFit="1" customWidth="1"/>
    <col min="4113" max="4113" width="16.6328125" style="6" customWidth="1"/>
    <col min="4114" max="4357" width="9" style="6"/>
    <col min="4358" max="4358" width="16.36328125" style="6" customWidth="1"/>
    <col min="4359" max="4359" width="9" style="6"/>
    <col min="4360" max="4360" width="11.453125" style="6" customWidth="1"/>
    <col min="4361" max="4362" width="9" style="6"/>
    <col min="4363" max="4363" width="23" style="6" bestFit="1" customWidth="1"/>
    <col min="4364" max="4364" width="10" style="6" customWidth="1"/>
    <col min="4365" max="4365" width="6.36328125" style="6" bestFit="1" customWidth="1"/>
    <col min="4366" max="4366" width="7.36328125" style="6" bestFit="1" customWidth="1"/>
    <col min="4367" max="4367" width="16.6328125" style="6" customWidth="1"/>
    <col min="4368" max="4368" width="7.36328125" style="6" bestFit="1" customWidth="1"/>
    <col min="4369" max="4369" width="16.6328125" style="6" customWidth="1"/>
    <col min="4370" max="4613" width="9" style="6"/>
    <col min="4614" max="4614" width="16.36328125" style="6" customWidth="1"/>
    <col min="4615" max="4615" width="9" style="6"/>
    <col min="4616" max="4616" width="11.453125" style="6" customWidth="1"/>
    <col min="4617" max="4618" width="9" style="6"/>
    <col min="4619" max="4619" width="23" style="6" bestFit="1" customWidth="1"/>
    <col min="4620" max="4620" width="10" style="6" customWidth="1"/>
    <col min="4621" max="4621" width="6.36328125" style="6" bestFit="1" customWidth="1"/>
    <col min="4622" max="4622" width="7.36328125" style="6" bestFit="1" customWidth="1"/>
    <col min="4623" max="4623" width="16.6328125" style="6" customWidth="1"/>
    <col min="4624" max="4624" width="7.36328125" style="6" bestFit="1" customWidth="1"/>
    <col min="4625" max="4625" width="16.6328125" style="6" customWidth="1"/>
    <col min="4626" max="4869" width="9" style="6"/>
    <col min="4870" max="4870" width="16.36328125" style="6" customWidth="1"/>
    <col min="4871" max="4871" width="9" style="6"/>
    <col min="4872" max="4872" width="11.453125" style="6" customWidth="1"/>
    <col min="4873" max="4874" width="9" style="6"/>
    <col min="4875" max="4875" width="23" style="6" bestFit="1" customWidth="1"/>
    <col min="4876" max="4876" width="10" style="6" customWidth="1"/>
    <col min="4877" max="4877" width="6.36328125" style="6" bestFit="1" customWidth="1"/>
    <col min="4878" max="4878" width="7.36328125" style="6" bestFit="1" customWidth="1"/>
    <col min="4879" max="4879" width="16.6328125" style="6" customWidth="1"/>
    <col min="4880" max="4880" width="7.36328125" style="6" bestFit="1" customWidth="1"/>
    <col min="4881" max="4881" width="16.6328125" style="6" customWidth="1"/>
    <col min="4882" max="5125" width="9" style="6"/>
    <col min="5126" max="5126" width="16.36328125" style="6" customWidth="1"/>
    <col min="5127" max="5127" width="9" style="6"/>
    <col min="5128" max="5128" width="11.453125" style="6" customWidth="1"/>
    <col min="5129" max="5130" width="9" style="6"/>
    <col min="5131" max="5131" width="23" style="6" bestFit="1" customWidth="1"/>
    <col min="5132" max="5132" width="10" style="6" customWidth="1"/>
    <col min="5133" max="5133" width="6.36328125" style="6" bestFit="1" customWidth="1"/>
    <col min="5134" max="5134" width="7.36328125" style="6" bestFit="1" customWidth="1"/>
    <col min="5135" max="5135" width="16.6328125" style="6" customWidth="1"/>
    <col min="5136" max="5136" width="7.36328125" style="6" bestFit="1" customWidth="1"/>
    <col min="5137" max="5137" width="16.6328125" style="6" customWidth="1"/>
    <col min="5138" max="5381" width="9" style="6"/>
    <col min="5382" max="5382" width="16.36328125" style="6" customWidth="1"/>
    <col min="5383" max="5383" width="9" style="6"/>
    <col min="5384" max="5384" width="11.453125" style="6" customWidth="1"/>
    <col min="5385" max="5386" width="9" style="6"/>
    <col min="5387" max="5387" width="23" style="6" bestFit="1" customWidth="1"/>
    <col min="5388" max="5388" width="10" style="6" customWidth="1"/>
    <col min="5389" max="5389" width="6.36328125" style="6" bestFit="1" customWidth="1"/>
    <col min="5390" max="5390" width="7.36328125" style="6" bestFit="1" customWidth="1"/>
    <col min="5391" max="5391" width="16.6328125" style="6" customWidth="1"/>
    <col min="5392" max="5392" width="7.36328125" style="6" bestFit="1" customWidth="1"/>
    <col min="5393" max="5393" width="16.6328125" style="6" customWidth="1"/>
    <col min="5394" max="5637" width="9" style="6"/>
    <col min="5638" max="5638" width="16.36328125" style="6" customWidth="1"/>
    <col min="5639" max="5639" width="9" style="6"/>
    <col min="5640" max="5640" width="11.453125" style="6" customWidth="1"/>
    <col min="5641" max="5642" width="9" style="6"/>
    <col min="5643" max="5643" width="23" style="6" bestFit="1" customWidth="1"/>
    <col min="5644" max="5644" width="10" style="6" customWidth="1"/>
    <col min="5645" max="5645" width="6.36328125" style="6" bestFit="1" customWidth="1"/>
    <col min="5646" max="5646" width="7.36328125" style="6" bestFit="1" customWidth="1"/>
    <col min="5647" max="5647" width="16.6328125" style="6" customWidth="1"/>
    <col min="5648" max="5648" width="7.36328125" style="6" bestFit="1" customWidth="1"/>
    <col min="5649" max="5649" width="16.6328125" style="6" customWidth="1"/>
    <col min="5650" max="5893" width="9" style="6"/>
    <col min="5894" max="5894" width="16.36328125" style="6" customWidth="1"/>
    <col min="5895" max="5895" width="9" style="6"/>
    <col min="5896" max="5896" width="11.453125" style="6" customWidth="1"/>
    <col min="5897" max="5898" width="9" style="6"/>
    <col min="5899" max="5899" width="23" style="6" bestFit="1" customWidth="1"/>
    <col min="5900" max="5900" width="10" style="6" customWidth="1"/>
    <col min="5901" max="5901" width="6.36328125" style="6" bestFit="1" customWidth="1"/>
    <col min="5902" max="5902" width="7.36328125" style="6" bestFit="1" customWidth="1"/>
    <col min="5903" max="5903" width="16.6328125" style="6" customWidth="1"/>
    <col min="5904" max="5904" width="7.36328125" style="6" bestFit="1" customWidth="1"/>
    <col min="5905" max="5905" width="16.6328125" style="6" customWidth="1"/>
    <col min="5906" max="6149" width="9" style="6"/>
    <col min="6150" max="6150" width="16.36328125" style="6" customWidth="1"/>
    <col min="6151" max="6151" width="9" style="6"/>
    <col min="6152" max="6152" width="11.453125" style="6" customWidth="1"/>
    <col min="6153" max="6154" width="9" style="6"/>
    <col min="6155" max="6155" width="23" style="6" bestFit="1" customWidth="1"/>
    <col min="6156" max="6156" width="10" style="6" customWidth="1"/>
    <col min="6157" max="6157" width="6.36328125" style="6" bestFit="1" customWidth="1"/>
    <col min="6158" max="6158" width="7.36328125" style="6" bestFit="1" customWidth="1"/>
    <col min="6159" max="6159" width="16.6328125" style="6" customWidth="1"/>
    <col min="6160" max="6160" width="7.36328125" style="6" bestFit="1" customWidth="1"/>
    <col min="6161" max="6161" width="16.6328125" style="6" customWidth="1"/>
    <col min="6162" max="6405" width="9" style="6"/>
    <col min="6406" max="6406" width="16.36328125" style="6" customWidth="1"/>
    <col min="6407" max="6407" width="9" style="6"/>
    <col min="6408" max="6408" width="11.453125" style="6" customWidth="1"/>
    <col min="6409" max="6410" width="9" style="6"/>
    <col min="6411" max="6411" width="23" style="6" bestFit="1" customWidth="1"/>
    <col min="6412" max="6412" width="10" style="6" customWidth="1"/>
    <col min="6413" max="6413" width="6.36328125" style="6" bestFit="1" customWidth="1"/>
    <col min="6414" max="6414" width="7.36328125" style="6" bestFit="1" customWidth="1"/>
    <col min="6415" max="6415" width="16.6328125" style="6" customWidth="1"/>
    <col min="6416" max="6416" width="7.36328125" style="6" bestFit="1" customWidth="1"/>
    <col min="6417" max="6417" width="16.6328125" style="6" customWidth="1"/>
    <col min="6418" max="6661" width="9" style="6"/>
    <col min="6662" max="6662" width="16.36328125" style="6" customWidth="1"/>
    <col min="6663" max="6663" width="9" style="6"/>
    <col min="6664" max="6664" width="11.453125" style="6" customWidth="1"/>
    <col min="6665" max="6666" width="9" style="6"/>
    <col min="6667" max="6667" width="23" style="6" bestFit="1" customWidth="1"/>
    <col min="6668" max="6668" width="10" style="6" customWidth="1"/>
    <col min="6669" max="6669" width="6.36328125" style="6" bestFit="1" customWidth="1"/>
    <col min="6670" max="6670" width="7.36328125" style="6" bestFit="1" customWidth="1"/>
    <col min="6671" max="6671" width="16.6328125" style="6" customWidth="1"/>
    <col min="6672" max="6672" width="7.36328125" style="6" bestFit="1" customWidth="1"/>
    <col min="6673" max="6673" width="16.6328125" style="6" customWidth="1"/>
    <col min="6674" max="6917" width="9" style="6"/>
    <col min="6918" max="6918" width="16.36328125" style="6" customWidth="1"/>
    <col min="6919" max="6919" width="9" style="6"/>
    <col min="6920" max="6920" width="11.453125" style="6" customWidth="1"/>
    <col min="6921" max="6922" width="9" style="6"/>
    <col min="6923" max="6923" width="23" style="6" bestFit="1" customWidth="1"/>
    <col min="6924" max="6924" width="10" style="6" customWidth="1"/>
    <col min="6925" max="6925" width="6.36328125" style="6" bestFit="1" customWidth="1"/>
    <col min="6926" max="6926" width="7.36328125" style="6" bestFit="1" customWidth="1"/>
    <col min="6927" max="6927" width="16.6328125" style="6" customWidth="1"/>
    <col min="6928" max="6928" width="7.36328125" style="6" bestFit="1" customWidth="1"/>
    <col min="6929" max="6929" width="16.6328125" style="6" customWidth="1"/>
    <col min="6930" max="7173" width="9" style="6"/>
    <col min="7174" max="7174" width="16.36328125" style="6" customWidth="1"/>
    <col min="7175" max="7175" width="9" style="6"/>
    <col min="7176" max="7176" width="11.453125" style="6" customWidth="1"/>
    <col min="7177" max="7178" width="9" style="6"/>
    <col min="7179" max="7179" width="23" style="6" bestFit="1" customWidth="1"/>
    <col min="7180" max="7180" width="10" style="6" customWidth="1"/>
    <col min="7181" max="7181" width="6.36328125" style="6" bestFit="1" customWidth="1"/>
    <col min="7182" max="7182" width="7.36328125" style="6" bestFit="1" customWidth="1"/>
    <col min="7183" max="7183" width="16.6328125" style="6" customWidth="1"/>
    <col min="7184" max="7184" width="7.36328125" style="6" bestFit="1" customWidth="1"/>
    <col min="7185" max="7185" width="16.6328125" style="6" customWidth="1"/>
    <col min="7186" max="7429" width="9" style="6"/>
    <col min="7430" max="7430" width="16.36328125" style="6" customWidth="1"/>
    <col min="7431" max="7431" width="9" style="6"/>
    <col min="7432" max="7432" width="11.453125" style="6" customWidth="1"/>
    <col min="7433" max="7434" width="9" style="6"/>
    <col min="7435" max="7435" width="23" style="6" bestFit="1" customWidth="1"/>
    <col min="7436" max="7436" width="10" style="6" customWidth="1"/>
    <col min="7437" max="7437" width="6.36328125" style="6" bestFit="1" customWidth="1"/>
    <col min="7438" max="7438" width="7.36328125" style="6" bestFit="1" customWidth="1"/>
    <col min="7439" max="7439" width="16.6328125" style="6" customWidth="1"/>
    <col min="7440" max="7440" width="7.36328125" style="6" bestFit="1" customWidth="1"/>
    <col min="7441" max="7441" width="16.6328125" style="6" customWidth="1"/>
    <col min="7442" max="7685" width="9" style="6"/>
    <col min="7686" max="7686" width="16.36328125" style="6" customWidth="1"/>
    <col min="7687" max="7687" width="9" style="6"/>
    <col min="7688" max="7688" width="11.453125" style="6" customWidth="1"/>
    <col min="7689" max="7690" width="9" style="6"/>
    <col min="7691" max="7691" width="23" style="6" bestFit="1" customWidth="1"/>
    <col min="7692" max="7692" width="10" style="6" customWidth="1"/>
    <col min="7693" max="7693" width="6.36328125" style="6" bestFit="1" customWidth="1"/>
    <col min="7694" max="7694" width="7.36328125" style="6" bestFit="1" customWidth="1"/>
    <col min="7695" max="7695" width="16.6328125" style="6" customWidth="1"/>
    <col min="7696" max="7696" width="7.36328125" style="6" bestFit="1" customWidth="1"/>
    <col min="7697" max="7697" width="16.6328125" style="6" customWidth="1"/>
    <col min="7698" max="7941" width="9" style="6"/>
    <col min="7942" max="7942" width="16.36328125" style="6" customWidth="1"/>
    <col min="7943" max="7943" width="9" style="6"/>
    <col min="7944" max="7944" width="11.453125" style="6" customWidth="1"/>
    <col min="7945" max="7946" width="9" style="6"/>
    <col min="7947" max="7947" width="23" style="6" bestFit="1" customWidth="1"/>
    <col min="7948" max="7948" width="10" style="6" customWidth="1"/>
    <col min="7949" max="7949" width="6.36328125" style="6" bestFit="1" customWidth="1"/>
    <col min="7950" max="7950" width="7.36328125" style="6" bestFit="1" customWidth="1"/>
    <col min="7951" max="7951" width="16.6328125" style="6" customWidth="1"/>
    <col min="7952" max="7952" width="7.36328125" style="6" bestFit="1" customWidth="1"/>
    <col min="7953" max="7953" width="16.6328125" style="6" customWidth="1"/>
    <col min="7954" max="8197" width="9" style="6"/>
    <col min="8198" max="8198" width="16.36328125" style="6" customWidth="1"/>
    <col min="8199" max="8199" width="9" style="6"/>
    <col min="8200" max="8200" width="11.453125" style="6" customWidth="1"/>
    <col min="8201" max="8202" width="9" style="6"/>
    <col min="8203" max="8203" width="23" style="6" bestFit="1" customWidth="1"/>
    <col min="8204" max="8204" width="10" style="6" customWidth="1"/>
    <col min="8205" max="8205" width="6.36328125" style="6" bestFit="1" customWidth="1"/>
    <col min="8206" max="8206" width="7.36328125" style="6" bestFit="1" customWidth="1"/>
    <col min="8207" max="8207" width="16.6328125" style="6" customWidth="1"/>
    <col min="8208" max="8208" width="7.36328125" style="6" bestFit="1" customWidth="1"/>
    <col min="8209" max="8209" width="16.6328125" style="6" customWidth="1"/>
    <col min="8210" max="8453" width="9" style="6"/>
    <col min="8454" max="8454" width="16.36328125" style="6" customWidth="1"/>
    <col min="8455" max="8455" width="9" style="6"/>
    <col min="8456" max="8456" width="11.453125" style="6" customWidth="1"/>
    <col min="8457" max="8458" width="9" style="6"/>
    <col min="8459" max="8459" width="23" style="6" bestFit="1" customWidth="1"/>
    <col min="8460" max="8460" width="10" style="6" customWidth="1"/>
    <col min="8461" max="8461" width="6.36328125" style="6" bestFit="1" customWidth="1"/>
    <col min="8462" max="8462" width="7.36328125" style="6" bestFit="1" customWidth="1"/>
    <col min="8463" max="8463" width="16.6328125" style="6" customWidth="1"/>
    <col min="8464" max="8464" width="7.36328125" style="6" bestFit="1" customWidth="1"/>
    <col min="8465" max="8465" width="16.6328125" style="6" customWidth="1"/>
    <col min="8466" max="8709" width="9" style="6"/>
    <col min="8710" max="8710" width="16.36328125" style="6" customWidth="1"/>
    <col min="8711" max="8711" width="9" style="6"/>
    <col min="8712" max="8712" width="11.453125" style="6" customWidth="1"/>
    <col min="8713" max="8714" width="9" style="6"/>
    <col min="8715" max="8715" width="23" style="6" bestFit="1" customWidth="1"/>
    <col min="8716" max="8716" width="10" style="6" customWidth="1"/>
    <col min="8717" max="8717" width="6.36328125" style="6" bestFit="1" customWidth="1"/>
    <col min="8718" max="8718" width="7.36328125" style="6" bestFit="1" customWidth="1"/>
    <col min="8719" max="8719" width="16.6328125" style="6" customWidth="1"/>
    <col min="8720" max="8720" width="7.36328125" style="6" bestFit="1" customWidth="1"/>
    <col min="8721" max="8721" width="16.6328125" style="6" customWidth="1"/>
    <col min="8722" max="8965" width="9" style="6"/>
    <col min="8966" max="8966" width="16.36328125" style="6" customWidth="1"/>
    <col min="8967" max="8967" width="9" style="6"/>
    <col min="8968" max="8968" width="11.453125" style="6" customWidth="1"/>
    <col min="8969" max="8970" width="9" style="6"/>
    <col min="8971" max="8971" width="23" style="6" bestFit="1" customWidth="1"/>
    <col min="8972" max="8972" width="10" style="6" customWidth="1"/>
    <col min="8973" max="8973" width="6.36328125" style="6" bestFit="1" customWidth="1"/>
    <col min="8974" max="8974" width="7.36328125" style="6" bestFit="1" customWidth="1"/>
    <col min="8975" max="8975" width="16.6328125" style="6" customWidth="1"/>
    <col min="8976" max="8976" width="7.36328125" style="6" bestFit="1" customWidth="1"/>
    <col min="8977" max="8977" width="16.6328125" style="6" customWidth="1"/>
    <col min="8978" max="9221" width="9" style="6"/>
    <col min="9222" max="9222" width="16.36328125" style="6" customWidth="1"/>
    <col min="9223" max="9223" width="9" style="6"/>
    <col min="9224" max="9224" width="11.453125" style="6" customWidth="1"/>
    <col min="9225" max="9226" width="9" style="6"/>
    <col min="9227" max="9227" width="23" style="6" bestFit="1" customWidth="1"/>
    <col min="9228" max="9228" width="10" style="6" customWidth="1"/>
    <col min="9229" max="9229" width="6.36328125" style="6" bestFit="1" customWidth="1"/>
    <col min="9230" max="9230" width="7.36328125" style="6" bestFit="1" customWidth="1"/>
    <col min="9231" max="9231" width="16.6328125" style="6" customWidth="1"/>
    <col min="9232" max="9232" width="7.36328125" style="6" bestFit="1" customWidth="1"/>
    <col min="9233" max="9233" width="16.6328125" style="6" customWidth="1"/>
    <col min="9234" max="9477" width="9" style="6"/>
    <col min="9478" max="9478" width="16.36328125" style="6" customWidth="1"/>
    <col min="9479" max="9479" width="9" style="6"/>
    <col min="9480" max="9480" width="11.453125" style="6" customWidth="1"/>
    <col min="9481" max="9482" width="9" style="6"/>
    <col min="9483" max="9483" width="23" style="6" bestFit="1" customWidth="1"/>
    <col min="9484" max="9484" width="10" style="6" customWidth="1"/>
    <col min="9485" max="9485" width="6.36328125" style="6" bestFit="1" customWidth="1"/>
    <col min="9486" max="9486" width="7.36328125" style="6" bestFit="1" customWidth="1"/>
    <col min="9487" max="9487" width="16.6328125" style="6" customWidth="1"/>
    <col min="9488" max="9488" width="7.36328125" style="6" bestFit="1" customWidth="1"/>
    <col min="9489" max="9489" width="16.6328125" style="6" customWidth="1"/>
    <col min="9490" max="9733" width="9" style="6"/>
    <col min="9734" max="9734" width="16.36328125" style="6" customWidth="1"/>
    <col min="9735" max="9735" width="9" style="6"/>
    <col min="9736" max="9736" width="11.453125" style="6" customWidth="1"/>
    <col min="9737" max="9738" width="9" style="6"/>
    <col min="9739" max="9739" width="23" style="6" bestFit="1" customWidth="1"/>
    <col min="9740" max="9740" width="10" style="6" customWidth="1"/>
    <col min="9741" max="9741" width="6.36328125" style="6" bestFit="1" customWidth="1"/>
    <col min="9742" max="9742" width="7.36328125" style="6" bestFit="1" customWidth="1"/>
    <col min="9743" max="9743" width="16.6328125" style="6" customWidth="1"/>
    <col min="9744" max="9744" width="7.36328125" style="6" bestFit="1" customWidth="1"/>
    <col min="9745" max="9745" width="16.6328125" style="6" customWidth="1"/>
    <col min="9746" max="9989" width="9" style="6"/>
    <col min="9990" max="9990" width="16.36328125" style="6" customWidth="1"/>
    <col min="9991" max="9991" width="9" style="6"/>
    <col min="9992" max="9992" width="11.453125" style="6" customWidth="1"/>
    <col min="9993" max="9994" width="9" style="6"/>
    <col min="9995" max="9995" width="23" style="6" bestFit="1" customWidth="1"/>
    <col min="9996" max="9996" width="10" style="6" customWidth="1"/>
    <col min="9997" max="9997" width="6.36328125" style="6" bestFit="1" customWidth="1"/>
    <col min="9998" max="9998" width="7.36328125" style="6" bestFit="1" customWidth="1"/>
    <col min="9999" max="9999" width="16.6328125" style="6" customWidth="1"/>
    <col min="10000" max="10000" width="7.36328125" style="6" bestFit="1" customWidth="1"/>
    <col min="10001" max="10001" width="16.6328125" style="6" customWidth="1"/>
    <col min="10002" max="10245" width="9" style="6"/>
    <col min="10246" max="10246" width="16.36328125" style="6" customWidth="1"/>
    <col min="10247" max="10247" width="9" style="6"/>
    <col min="10248" max="10248" width="11.453125" style="6" customWidth="1"/>
    <col min="10249" max="10250" width="9" style="6"/>
    <col min="10251" max="10251" width="23" style="6" bestFit="1" customWidth="1"/>
    <col min="10252" max="10252" width="10" style="6" customWidth="1"/>
    <col min="10253" max="10253" width="6.36328125" style="6" bestFit="1" customWidth="1"/>
    <col min="10254" max="10254" width="7.36328125" style="6" bestFit="1" customWidth="1"/>
    <col min="10255" max="10255" width="16.6328125" style="6" customWidth="1"/>
    <col min="10256" max="10256" width="7.36328125" style="6" bestFit="1" customWidth="1"/>
    <col min="10257" max="10257" width="16.6328125" style="6" customWidth="1"/>
    <col min="10258" max="10501" width="9" style="6"/>
    <col min="10502" max="10502" width="16.36328125" style="6" customWidth="1"/>
    <col min="10503" max="10503" width="9" style="6"/>
    <col min="10504" max="10504" width="11.453125" style="6" customWidth="1"/>
    <col min="10505" max="10506" width="9" style="6"/>
    <col min="10507" max="10507" width="23" style="6" bestFit="1" customWidth="1"/>
    <col min="10508" max="10508" width="10" style="6" customWidth="1"/>
    <col min="10509" max="10509" width="6.36328125" style="6" bestFit="1" customWidth="1"/>
    <col min="10510" max="10510" width="7.36328125" style="6" bestFit="1" customWidth="1"/>
    <col min="10511" max="10511" width="16.6328125" style="6" customWidth="1"/>
    <col min="10512" max="10512" width="7.36328125" style="6" bestFit="1" customWidth="1"/>
    <col min="10513" max="10513" width="16.6328125" style="6" customWidth="1"/>
    <col min="10514" max="10757" width="9" style="6"/>
    <col min="10758" max="10758" width="16.36328125" style="6" customWidth="1"/>
    <col min="10759" max="10759" width="9" style="6"/>
    <col min="10760" max="10760" width="11.453125" style="6" customWidth="1"/>
    <col min="10761" max="10762" width="9" style="6"/>
    <col min="10763" max="10763" width="23" style="6" bestFit="1" customWidth="1"/>
    <col min="10764" max="10764" width="10" style="6" customWidth="1"/>
    <col min="10765" max="10765" width="6.36328125" style="6" bestFit="1" customWidth="1"/>
    <col min="10766" max="10766" width="7.36328125" style="6" bestFit="1" customWidth="1"/>
    <col min="10767" max="10767" width="16.6328125" style="6" customWidth="1"/>
    <col min="10768" max="10768" width="7.36328125" style="6" bestFit="1" customWidth="1"/>
    <col min="10769" max="10769" width="16.6328125" style="6" customWidth="1"/>
    <col min="10770" max="11013" width="9" style="6"/>
    <col min="11014" max="11014" width="16.36328125" style="6" customWidth="1"/>
    <col min="11015" max="11015" width="9" style="6"/>
    <col min="11016" max="11016" width="11.453125" style="6" customWidth="1"/>
    <col min="11017" max="11018" width="9" style="6"/>
    <col min="11019" max="11019" width="23" style="6" bestFit="1" customWidth="1"/>
    <col min="11020" max="11020" width="10" style="6" customWidth="1"/>
    <col min="11021" max="11021" width="6.36328125" style="6" bestFit="1" customWidth="1"/>
    <col min="11022" max="11022" width="7.36328125" style="6" bestFit="1" customWidth="1"/>
    <col min="11023" max="11023" width="16.6328125" style="6" customWidth="1"/>
    <col min="11024" max="11024" width="7.36328125" style="6" bestFit="1" customWidth="1"/>
    <col min="11025" max="11025" width="16.6328125" style="6" customWidth="1"/>
    <col min="11026" max="11269" width="9" style="6"/>
    <col min="11270" max="11270" width="16.36328125" style="6" customWidth="1"/>
    <col min="11271" max="11271" width="9" style="6"/>
    <col min="11272" max="11272" width="11.453125" style="6" customWidth="1"/>
    <col min="11273" max="11274" width="9" style="6"/>
    <col min="11275" max="11275" width="23" style="6" bestFit="1" customWidth="1"/>
    <col min="11276" max="11276" width="10" style="6" customWidth="1"/>
    <col min="11277" max="11277" width="6.36328125" style="6" bestFit="1" customWidth="1"/>
    <col min="11278" max="11278" width="7.36328125" style="6" bestFit="1" customWidth="1"/>
    <col min="11279" max="11279" width="16.6328125" style="6" customWidth="1"/>
    <col min="11280" max="11280" width="7.36328125" style="6" bestFit="1" customWidth="1"/>
    <col min="11281" max="11281" width="16.6328125" style="6" customWidth="1"/>
    <col min="11282" max="11525" width="9" style="6"/>
    <col min="11526" max="11526" width="16.36328125" style="6" customWidth="1"/>
    <col min="11527" max="11527" width="9" style="6"/>
    <col min="11528" max="11528" width="11.453125" style="6" customWidth="1"/>
    <col min="11529" max="11530" width="9" style="6"/>
    <col min="11531" max="11531" width="23" style="6" bestFit="1" customWidth="1"/>
    <col min="11532" max="11532" width="10" style="6" customWidth="1"/>
    <col min="11533" max="11533" width="6.36328125" style="6" bestFit="1" customWidth="1"/>
    <col min="11534" max="11534" width="7.36328125" style="6" bestFit="1" customWidth="1"/>
    <col min="11535" max="11535" width="16.6328125" style="6" customWidth="1"/>
    <col min="11536" max="11536" width="7.36328125" style="6" bestFit="1" customWidth="1"/>
    <col min="11537" max="11537" width="16.6328125" style="6" customWidth="1"/>
    <col min="11538" max="11781" width="9" style="6"/>
    <col min="11782" max="11782" width="16.36328125" style="6" customWidth="1"/>
    <col min="11783" max="11783" width="9" style="6"/>
    <col min="11784" max="11784" width="11.453125" style="6" customWidth="1"/>
    <col min="11785" max="11786" width="9" style="6"/>
    <col min="11787" max="11787" width="23" style="6" bestFit="1" customWidth="1"/>
    <col min="11788" max="11788" width="10" style="6" customWidth="1"/>
    <col min="11789" max="11789" width="6.36328125" style="6" bestFit="1" customWidth="1"/>
    <col min="11790" max="11790" width="7.36328125" style="6" bestFit="1" customWidth="1"/>
    <col min="11791" max="11791" width="16.6328125" style="6" customWidth="1"/>
    <col min="11792" max="11792" width="7.36328125" style="6" bestFit="1" customWidth="1"/>
    <col min="11793" max="11793" width="16.6328125" style="6" customWidth="1"/>
    <col min="11794" max="12037" width="9" style="6"/>
    <col min="12038" max="12038" width="16.36328125" style="6" customWidth="1"/>
    <col min="12039" max="12039" width="9" style="6"/>
    <col min="12040" max="12040" width="11.453125" style="6" customWidth="1"/>
    <col min="12041" max="12042" width="9" style="6"/>
    <col min="12043" max="12043" width="23" style="6" bestFit="1" customWidth="1"/>
    <col min="12044" max="12044" width="10" style="6" customWidth="1"/>
    <col min="12045" max="12045" width="6.36328125" style="6" bestFit="1" customWidth="1"/>
    <col min="12046" max="12046" width="7.36328125" style="6" bestFit="1" customWidth="1"/>
    <col min="12047" max="12047" width="16.6328125" style="6" customWidth="1"/>
    <col min="12048" max="12048" width="7.36328125" style="6" bestFit="1" customWidth="1"/>
    <col min="12049" max="12049" width="16.6328125" style="6" customWidth="1"/>
    <col min="12050" max="12293" width="9" style="6"/>
    <col min="12294" max="12294" width="16.36328125" style="6" customWidth="1"/>
    <col min="12295" max="12295" width="9" style="6"/>
    <col min="12296" max="12296" width="11.453125" style="6" customWidth="1"/>
    <col min="12297" max="12298" width="9" style="6"/>
    <col min="12299" max="12299" width="23" style="6" bestFit="1" customWidth="1"/>
    <col min="12300" max="12300" width="10" style="6" customWidth="1"/>
    <col min="12301" max="12301" width="6.36328125" style="6" bestFit="1" customWidth="1"/>
    <col min="12302" max="12302" width="7.36328125" style="6" bestFit="1" customWidth="1"/>
    <col min="12303" max="12303" width="16.6328125" style="6" customWidth="1"/>
    <col min="12304" max="12304" width="7.36328125" style="6" bestFit="1" customWidth="1"/>
    <col min="12305" max="12305" width="16.6328125" style="6" customWidth="1"/>
    <col min="12306" max="12549" width="9" style="6"/>
    <col min="12550" max="12550" width="16.36328125" style="6" customWidth="1"/>
    <col min="12551" max="12551" width="9" style="6"/>
    <col min="12552" max="12552" width="11.453125" style="6" customWidth="1"/>
    <col min="12553" max="12554" width="9" style="6"/>
    <col min="12555" max="12555" width="23" style="6" bestFit="1" customWidth="1"/>
    <col min="12556" max="12556" width="10" style="6" customWidth="1"/>
    <col min="12557" max="12557" width="6.36328125" style="6" bestFit="1" customWidth="1"/>
    <col min="12558" max="12558" width="7.36328125" style="6" bestFit="1" customWidth="1"/>
    <col min="12559" max="12559" width="16.6328125" style="6" customWidth="1"/>
    <col min="12560" max="12560" width="7.36328125" style="6" bestFit="1" customWidth="1"/>
    <col min="12561" max="12561" width="16.6328125" style="6" customWidth="1"/>
    <col min="12562" max="12805" width="9" style="6"/>
    <col min="12806" max="12806" width="16.36328125" style="6" customWidth="1"/>
    <col min="12807" max="12807" width="9" style="6"/>
    <col min="12808" max="12808" width="11.453125" style="6" customWidth="1"/>
    <col min="12809" max="12810" width="9" style="6"/>
    <col min="12811" max="12811" width="23" style="6" bestFit="1" customWidth="1"/>
    <col min="12812" max="12812" width="10" style="6" customWidth="1"/>
    <col min="12813" max="12813" width="6.36328125" style="6" bestFit="1" customWidth="1"/>
    <col min="12814" max="12814" width="7.36328125" style="6" bestFit="1" customWidth="1"/>
    <col min="12815" max="12815" width="16.6328125" style="6" customWidth="1"/>
    <col min="12816" max="12816" width="7.36328125" style="6" bestFit="1" customWidth="1"/>
    <col min="12817" max="12817" width="16.6328125" style="6" customWidth="1"/>
    <col min="12818" max="13061" width="9" style="6"/>
    <col min="13062" max="13062" width="16.36328125" style="6" customWidth="1"/>
    <col min="13063" max="13063" width="9" style="6"/>
    <col min="13064" max="13064" width="11.453125" style="6" customWidth="1"/>
    <col min="13065" max="13066" width="9" style="6"/>
    <col min="13067" max="13067" width="23" style="6" bestFit="1" customWidth="1"/>
    <col min="13068" max="13068" width="10" style="6" customWidth="1"/>
    <col min="13069" max="13069" width="6.36328125" style="6" bestFit="1" customWidth="1"/>
    <col min="13070" max="13070" width="7.36328125" style="6" bestFit="1" customWidth="1"/>
    <col min="13071" max="13071" width="16.6328125" style="6" customWidth="1"/>
    <col min="13072" max="13072" width="7.36328125" style="6" bestFit="1" customWidth="1"/>
    <col min="13073" max="13073" width="16.6328125" style="6" customWidth="1"/>
    <col min="13074" max="13317" width="9" style="6"/>
    <col min="13318" max="13318" width="16.36328125" style="6" customWidth="1"/>
    <col min="13319" max="13319" width="9" style="6"/>
    <col min="13320" max="13320" width="11.453125" style="6" customWidth="1"/>
    <col min="13321" max="13322" width="9" style="6"/>
    <col min="13323" max="13323" width="23" style="6" bestFit="1" customWidth="1"/>
    <col min="13324" max="13324" width="10" style="6" customWidth="1"/>
    <col min="13325" max="13325" width="6.36328125" style="6" bestFit="1" customWidth="1"/>
    <col min="13326" max="13326" width="7.36328125" style="6" bestFit="1" customWidth="1"/>
    <col min="13327" max="13327" width="16.6328125" style="6" customWidth="1"/>
    <col min="13328" max="13328" width="7.36328125" style="6" bestFit="1" customWidth="1"/>
    <col min="13329" max="13329" width="16.6328125" style="6" customWidth="1"/>
    <col min="13330" max="13573" width="9" style="6"/>
    <col min="13574" max="13574" width="16.36328125" style="6" customWidth="1"/>
    <col min="13575" max="13575" width="9" style="6"/>
    <col min="13576" max="13576" width="11.453125" style="6" customWidth="1"/>
    <col min="13577" max="13578" width="9" style="6"/>
    <col min="13579" max="13579" width="23" style="6" bestFit="1" customWidth="1"/>
    <col min="13580" max="13580" width="10" style="6" customWidth="1"/>
    <col min="13581" max="13581" width="6.36328125" style="6" bestFit="1" customWidth="1"/>
    <col min="13582" max="13582" width="7.36328125" style="6" bestFit="1" customWidth="1"/>
    <col min="13583" max="13583" width="16.6328125" style="6" customWidth="1"/>
    <col min="13584" max="13584" width="7.36328125" style="6" bestFit="1" customWidth="1"/>
    <col min="13585" max="13585" width="16.6328125" style="6" customWidth="1"/>
    <col min="13586" max="13829" width="9" style="6"/>
    <col min="13830" max="13830" width="16.36328125" style="6" customWidth="1"/>
    <col min="13831" max="13831" width="9" style="6"/>
    <col min="13832" max="13832" width="11.453125" style="6" customWidth="1"/>
    <col min="13833" max="13834" width="9" style="6"/>
    <col min="13835" max="13835" width="23" style="6" bestFit="1" customWidth="1"/>
    <col min="13836" max="13836" width="10" style="6" customWidth="1"/>
    <col min="13837" max="13837" width="6.36328125" style="6" bestFit="1" customWidth="1"/>
    <col min="13838" max="13838" width="7.36328125" style="6" bestFit="1" customWidth="1"/>
    <col min="13839" max="13839" width="16.6328125" style="6" customWidth="1"/>
    <col min="13840" max="13840" width="7.36328125" style="6" bestFit="1" customWidth="1"/>
    <col min="13841" max="13841" width="16.6328125" style="6" customWidth="1"/>
    <col min="13842" max="14085" width="9" style="6"/>
    <col min="14086" max="14086" width="16.36328125" style="6" customWidth="1"/>
    <col min="14087" max="14087" width="9" style="6"/>
    <col min="14088" max="14088" width="11.453125" style="6" customWidth="1"/>
    <col min="14089" max="14090" width="9" style="6"/>
    <col min="14091" max="14091" width="23" style="6" bestFit="1" customWidth="1"/>
    <col min="14092" max="14092" width="10" style="6" customWidth="1"/>
    <col min="14093" max="14093" width="6.36328125" style="6" bestFit="1" customWidth="1"/>
    <col min="14094" max="14094" width="7.36328125" style="6" bestFit="1" customWidth="1"/>
    <col min="14095" max="14095" width="16.6328125" style="6" customWidth="1"/>
    <col min="14096" max="14096" width="7.36328125" style="6" bestFit="1" customWidth="1"/>
    <col min="14097" max="14097" width="16.6328125" style="6" customWidth="1"/>
    <col min="14098" max="14341" width="9" style="6"/>
    <col min="14342" max="14342" width="16.36328125" style="6" customWidth="1"/>
    <col min="14343" max="14343" width="9" style="6"/>
    <col min="14344" max="14344" width="11.453125" style="6" customWidth="1"/>
    <col min="14345" max="14346" width="9" style="6"/>
    <col min="14347" max="14347" width="23" style="6" bestFit="1" customWidth="1"/>
    <col min="14348" max="14348" width="10" style="6" customWidth="1"/>
    <col min="14349" max="14349" width="6.36328125" style="6" bestFit="1" customWidth="1"/>
    <col min="14350" max="14350" width="7.36328125" style="6" bestFit="1" customWidth="1"/>
    <col min="14351" max="14351" width="16.6328125" style="6" customWidth="1"/>
    <col min="14352" max="14352" width="7.36328125" style="6" bestFit="1" customWidth="1"/>
    <col min="14353" max="14353" width="16.6328125" style="6" customWidth="1"/>
    <col min="14354" max="14597" width="9" style="6"/>
    <col min="14598" max="14598" width="16.36328125" style="6" customWidth="1"/>
    <col min="14599" max="14599" width="9" style="6"/>
    <col min="14600" max="14600" width="11.453125" style="6" customWidth="1"/>
    <col min="14601" max="14602" width="9" style="6"/>
    <col min="14603" max="14603" width="23" style="6" bestFit="1" customWidth="1"/>
    <col min="14604" max="14604" width="10" style="6" customWidth="1"/>
    <col min="14605" max="14605" width="6.36328125" style="6" bestFit="1" customWidth="1"/>
    <col min="14606" max="14606" width="7.36328125" style="6" bestFit="1" customWidth="1"/>
    <col min="14607" max="14607" width="16.6328125" style="6" customWidth="1"/>
    <col min="14608" max="14608" width="7.36328125" style="6" bestFit="1" customWidth="1"/>
    <col min="14609" max="14609" width="16.6328125" style="6" customWidth="1"/>
    <col min="14610" max="14853" width="9" style="6"/>
    <col min="14854" max="14854" width="16.36328125" style="6" customWidth="1"/>
    <col min="14855" max="14855" width="9" style="6"/>
    <col min="14856" max="14856" width="11.453125" style="6" customWidth="1"/>
    <col min="14857" max="14858" width="9" style="6"/>
    <col min="14859" max="14859" width="23" style="6" bestFit="1" customWidth="1"/>
    <col min="14860" max="14860" width="10" style="6" customWidth="1"/>
    <col min="14861" max="14861" width="6.36328125" style="6" bestFit="1" customWidth="1"/>
    <col min="14862" max="14862" width="7.36328125" style="6" bestFit="1" customWidth="1"/>
    <col min="14863" max="14863" width="16.6328125" style="6" customWidth="1"/>
    <col min="14864" max="14864" width="7.36328125" style="6" bestFit="1" customWidth="1"/>
    <col min="14865" max="14865" width="16.6328125" style="6" customWidth="1"/>
    <col min="14866" max="15109" width="9" style="6"/>
    <col min="15110" max="15110" width="16.36328125" style="6" customWidth="1"/>
    <col min="15111" max="15111" width="9" style="6"/>
    <col min="15112" max="15112" width="11.453125" style="6" customWidth="1"/>
    <col min="15113" max="15114" width="9" style="6"/>
    <col min="15115" max="15115" width="23" style="6" bestFit="1" customWidth="1"/>
    <col min="15116" max="15116" width="10" style="6" customWidth="1"/>
    <col min="15117" max="15117" width="6.36328125" style="6" bestFit="1" customWidth="1"/>
    <col min="15118" max="15118" width="7.36328125" style="6" bestFit="1" customWidth="1"/>
    <col min="15119" max="15119" width="16.6328125" style="6" customWidth="1"/>
    <col min="15120" max="15120" width="7.36328125" style="6" bestFit="1" customWidth="1"/>
    <col min="15121" max="15121" width="16.6328125" style="6" customWidth="1"/>
    <col min="15122" max="15365" width="9" style="6"/>
    <col min="15366" max="15366" width="16.36328125" style="6" customWidth="1"/>
    <col min="15367" max="15367" width="9" style="6"/>
    <col min="15368" max="15368" width="11.453125" style="6" customWidth="1"/>
    <col min="15369" max="15370" width="9" style="6"/>
    <col min="15371" max="15371" width="23" style="6" bestFit="1" customWidth="1"/>
    <col min="15372" max="15372" width="10" style="6" customWidth="1"/>
    <col min="15373" max="15373" width="6.36328125" style="6" bestFit="1" customWidth="1"/>
    <col min="15374" max="15374" width="7.36328125" style="6" bestFit="1" customWidth="1"/>
    <col min="15375" max="15375" width="16.6328125" style="6" customWidth="1"/>
    <col min="15376" max="15376" width="7.36328125" style="6" bestFit="1" customWidth="1"/>
    <col min="15377" max="15377" width="16.6328125" style="6" customWidth="1"/>
    <col min="15378" max="15621" width="9" style="6"/>
    <col min="15622" max="15622" width="16.36328125" style="6" customWidth="1"/>
    <col min="15623" max="15623" width="9" style="6"/>
    <col min="15624" max="15624" width="11.453125" style="6" customWidth="1"/>
    <col min="15625" max="15626" width="9" style="6"/>
    <col min="15627" max="15627" width="23" style="6" bestFit="1" customWidth="1"/>
    <col min="15628" max="15628" width="10" style="6" customWidth="1"/>
    <col min="15629" max="15629" width="6.36328125" style="6" bestFit="1" customWidth="1"/>
    <col min="15630" max="15630" width="7.36328125" style="6" bestFit="1" customWidth="1"/>
    <col min="15631" max="15631" width="16.6328125" style="6" customWidth="1"/>
    <col min="15632" max="15632" width="7.36328125" style="6" bestFit="1" customWidth="1"/>
    <col min="15633" max="15633" width="16.6328125" style="6" customWidth="1"/>
    <col min="15634" max="15877" width="9" style="6"/>
    <col min="15878" max="15878" width="16.36328125" style="6" customWidth="1"/>
    <col min="15879" max="15879" width="9" style="6"/>
    <col min="15880" max="15880" width="11.453125" style="6" customWidth="1"/>
    <col min="15881" max="15882" width="9" style="6"/>
    <col min="15883" max="15883" width="23" style="6" bestFit="1" customWidth="1"/>
    <col min="15884" max="15884" width="10" style="6" customWidth="1"/>
    <col min="15885" max="15885" width="6.36328125" style="6" bestFit="1" customWidth="1"/>
    <col min="15886" max="15886" width="7.36328125" style="6" bestFit="1" customWidth="1"/>
    <col min="15887" max="15887" width="16.6328125" style="6" customWidth="1"/>
    <col min="15888" max="15888" width="7.36328125" style="6" bestFit="1" customWidth="1"/>
    <col min="15889" max="15889" width="16.6328125" style="6" customWidth="1"/>
    <col min="15890" max="16133" width="9" style="6"/>
    <col min="16134" max="16134" width="16.36328125" style="6" customWidth="1"/>
    <col min="16135" max="16135" width="9" style="6"/>
    <col min="16136" max="16136" width="11.453125" style="6" customWidth="1"/>
    <col min="16137" max="16138" width="9" style="6"/>
    <col min="16139" max="16139" width="23" style="6" bestFit="1" customWidth="1"/>
    <col min="16140" max="16140" width="10" style="6" customWidth="1"/>
    <col min="16141" max="16141" width="6.36328125" style="6" bestFit="1" customWidth="1"/>
    <col min="16142" max="16142" width="7.36328125" style="6" bestFit="1" customWidth="1"/>
    <col min="16143" max="16143" width="16.6328125" style="6" customWidth="1"/>
    <col min="16144" max="16144" width="7.36328125" style="6" bestFit="1" customWidth="1"/>
    <col min="16145" max="16145" width="16.6328125" style="6" customWidth="1"/>
    <col min="16146" max="16384" width="9" style="6"/>
  </cols>
  <sheetData>
    <row r="1" spans="1:26" s="17" customFormat="1" ht="23.5" customHeight="1">
      <c r="A1" s="34"/>
      <c r="B1" s="34"/>
      <c r="C1" s="34"/>
      <c r="D1" s="34"/>
      <c r="E1" s="34"/>
      <c r="F1" s="34"/>
      <c r="G1" s="34"/>
      <c r="H1" s="34"/>
      <c r="I1" s="34"/>
      <c r="J1" s="34"/>
      <c r="K1" s="34"/>
      <c r="L1" s="34"/>
      <c r="M1" s="129" t="str">
        <f>資訊清單資訊!B3 &amp;資訊清單資訊!B7 &amp;資訊清單資訊!B5</f>
        <v>石油與天然氣輸儲查核與檢測雲端平台硬體類(HW)資訊資產風險評鑑</v>
      </c>
      <c r="N1" s="129"/>
      <c r="O1" s="129"/>
      <c r="P1" s="129"/>
      <c r="Q1" s="129"/>
      <c r="R1" s="129"/>
      <c r="S1" s="129"/>
      <c r="T1" s="129"/>
      <c r="U1" s="129"/>
      <c r="V1" s="129"/>
      <c r="W1" s="129"/>
      <c r="X1" s="129"/>
      <c r="Y1" s="129"/>
      <c r="Z1" s="129"/>
    </row>
    <row r="2" spans="1:26">
      <c r="M2" s="36" t="s">
        <v>9</v>
      </c>
      <c r="N2" s="164" t="str">
        <f>資訊清單資訊!B7</f>
        <v>硬體類(HW)</v>
      </c>
      <c r="O2" s="165"/>
      <c r="P2" s="166"/>
      <c r="Q2" s="65"/>
      <c r="R2" s="28" t="s">
        <v>11</v>
      </c>
      <c r="S2" s="15">
        <f>IF(ISNA(VLOOKUP($N$3,ALL_LIST,16,FALSE)), "",VLOOKUP($N$3,ALL_LIST,16,FALSE))</f>
        <v>3</v>
      </c>
    </row>
    <row r="3" spans="1:26" ht="32" customHeight="1">
      <c r="M3" s="39" t="s">
        <v>5</v>
      </c>
      <c r="N3" s="167" t="s">
        <v>174</v>
      </c>
      <c r="O3" s="168"/>
      <c r="P3" s="169"/>
      <c r="R3" s="27" t="s">
        <v>74</v>
      </c>
      <c r="S3" s="16">
        <f>IF(ISNA(VLOOKUP($N$3,ALL_LIST,8,FALSE)), "",VLOOKUP($N$3,ALL_LIST,8,FALSE))</f>
        <v>3</v>
      </c>
    </row>
    <row r="4" spans="1:26">
      <c r="M4" s="37" t="s">
        <v>10</v>
      </c>
      <c r="N4" s="170" t="str">
        <f>IF(ISNA(VLOOKUP($N$3,ALL_LIST,3,FALSE)), "",VLOOKUP($N$3,ALL_LIST,3,FALSE))</f>
        <v>委外廠商個人電腦</v>
      </c>
      <c r="O4" s="171"/>
      <c r="P4" s="172"/>
      <c r="Q4" s="65"/>
      <c r="R4" s="27" t="s">
        <v>75</v>
      </c>
      <c r="S4" s="16">
        <f>IF(ISNA(VLOOKUP($N$3,ALL_LIST,10,FALSE)), "",VLOOKUP($N$3,ALL_LIST,10,FALSE))</f>
        <v>2</v>
      </c>
    </row>
    <row r="5" spans="1:26">
      <c r="M5" s="36" t="s">
        <v>6</v>
      </c>
      <c r="N5" s="173" t="str">
        <f>IF(ISNA(VLOOKUP($N$3,ALL_LIST,17,FALSE)), "",VLOOKUP($N$3,ALL_LIST,17,FALSE))</f>
        <v>賴斐瓔 </v>
      </c>
      <c r="O5" s="174"/>
      <c r="P5" s="175"/>
      <c r="Q5" s="65"/>
      <c r="R5" s="27" t="s">
        <v>76</v>
      </c>
      <c r="S5" s="16">
        <f>IF(ISNA(VLOOKUP($N$3,ALL_LIST,12,FALSE)), " ",VLOOKUP($N$3,ALL_LIST,12,FALSE))</f>
        <v>2</v>
      </c>
    </row>
    <row r="6" spans="1:26">
      <c r="M6" s="38" t="s">
        <v>7</v>
      </c>
      <c r="N6" s="176" t="s">
        <v>219</v>
      </c>
      <c r="O6" s="177"/>
      <c r="P6" s="178"/>
      <c r="R6" s="27" t="s">
        <v>77</v>
      </c>
      <c r="S6" s="16">
        <f>IF(ISNA(VLOOKUP($N$3,ALL_LIST,14,FALSE)), "",VLOOKUP($N$3,ALL_LIST,14,FALSE))</f>
        <v>3</v>
      </c>
    </row>
    <row r="7" spans="1:26">
      <c r="M7" s="38" t="s">
        <v>8</v>
      </c>
      <c r="N7" s="179" t="s">
        <v>144</v>
      </c>
      <c r="O7" s="180"/>
      <c r="P7" s="181"/>
      <c r="Q7" s="65"/>
      <c r="R7" s="29" t="s">
        <v>12</v>
      </c>
      <c r="S7" s="21">
        <f>MAX(Y11:Y29)</f>
        <v>6</v>
      </c>
    </row>
    <row r="10" spans="1:26" s="18" customFormat="1" ht="16">
      <c r="A10" s="30" t="s">
        <v>13</v>
      </c>
      <c r="B10" s="30" t="s">
        <v>2</v>
      </c>
      <c r="C10" s="30" t="s">
        <v>15</v>
      </c>
      <c r="D10" s="30" t="s">
        <v>16</v>
      </c>
      <c r="E10" s="30" t="s">
        <v>3</v>
      </c>
      <c r="F10" s="30" t="s">
        <v>17</v>
      </c>
      <c r="G10" s="31" t="s">
        <v>18</v>
      </c>
      <c r="H10" s="31" t="s">
        <v>19</v>
      </c>
      <c r="I10" s="31" t="s">
        <v>20</v>
      </c>
      <c r="J10" s="31" t="s">
        <v>21</v>
      </c>
      <c r="K10" s="32" t="s">
        <v>22</v>
      </c>
      <c r="L10" s="33" t="s">
        <v>32</v>
      </c>
      <c r="M10" s="144" t="s">
        <v>23</v>
      </c>
      <c r="N10" s="145"/>
      <c r="O10" s="146"/>
      <c r="P10" s="144" t="s">
        <v>4</v>
      </c>
      <c r="Q10" s="145"/>
      <c r="R10" s="145"/>
      <c r="S10" s="146"/>
      <c r="T10" s="26" t="s">
        <v>24</v>
      </c>
      <c r="U10" s="26" t="s">
        <v>25</v>
      </c>
      <c r="V10" s="26" t="s">
        <v>26</v>
      </c>
      <c r="W10" s="26" t="s">
        <v>27</v>
      </c>
      <c r="X10" s="26" t="s">
        <v>26</v>
      </c>
      <c r="Y10" s="26" t="s">
        <v>28</v>
      </c>
      <c r="Z10" s="26" t="s">
        <v>29</v>
      </c>
    </row>
    <row r="11" spans="1:26" ht="31" customHeight="1">
      <c r="A11" s="54" t="str">
        <f>$N$3</f>
        <v>材1-1-HW-05</v>
      </c>
      <c r="B11" s="55">
        <f t="shared" ref="B11:B20" si="0">VLOOKUP($N$3,ALL_LIST,2,FALSE)</f>
        <v>0</v>
      </c>
      <c r="C11" s="55" t="str">
        <f t="shared" ref="C11:C20" si="1">VLOOKUP($N$3,ALL_LIST,3,FALSE)</f>
        <v>委外廠商個人電腦</v>
      </c>
      <c r="D11" s="55" t="str">
        <f t="shared" ref="D11:D20" si="2">VLOOKUP($N$3,ALL_LIST,4,FALSE)</f>
        <v>委外廠商-系統開發、資料庫管理人員個人電腦</v>
      </c>
      <c r="E11" s="55">
        <f t="shared" ref="E11:E20" si="3">VLOOKUP($N$3,ALL_LIST,6,FALSE)</f>
        <v>1</v>
      </c>
      <c r="F11" s="55" t="str">
        <f t="shared" ref="F11:F20" si="4">VLOOKUP($N$3,ALL_LIST,7,FALSE)</f>
        <v>邵錡鼎</v>
      </c>
      <c r="G11" s="55">
        <f t="shared" ref="G11:G20" si="5">VLOOKUP($N$3,ALL_LIST,8,FALSE)</f>
        <v>3</v>
      </c>
      <c r="H11" s="55">
        <f t="shared" ref="H11:H20" si="6">VLOOKUP($N$3,ALL_LIST,10,FALSE)</f>
        <v>2</v>
      </c>
      <c r="I11" s="55">
        <f t="shared" ref="I11:I20" si="7">VLOOKUP($N$3,ALL_LIST,12,FALSE)</f>
        <v>2</v>
      </c>
      <c r="J11" s="55">
        <f t="shared" ref="J11:J20" si="8">VLOOKUP($N$3,ALL_LIST,14,FALSE)</f>
        <v>3</v>
      </c>
      <c r="K11" s="56">
        <f t="shared" ref="K11:K20" si="9">VLOOKUP($N$3,ALL_LIST,16,FALSE)</f>
        <v>3</v>
      </c>
      <c r="L11" s="56">
        <f t="shared" ref="L11:L18" si="10">$S$7</f>
        <v>6</v>
      </c>
      <c r="M11" s="138" t="s">
        <v>80</v>
      </c>
      <c r="N11" s="139"/>
      <c r="O11" s="140"/>
      <c r="P11" s="141" t="s">
        <v>211</v>
      </c>
      <c r="Q11" s="142"/>
      <c r="R11" s="142"/>
      <c r="S11" s="133"/>
      <c r="T11" s="69" t="s">
        <v>119</v>
      </c>
      <c r="U11" s="69">
        <v>1</v>
      </c>
      <c r="V11" s="70" t="s">
        <v>195</v>
      </c>
      <c r="W11" s="69">
        <v>1</v>
      </c>
      <c r="X11" s="70" t="s">
        <v>188</v>
      </c>
      <c r="Y11" s="58">
        <f>IF((T11="N"),"不適用",IF(COUNTA(U11,W11)&lt;2,"評鑑中",$S$2*U11*W11))</f>
        <v>3</v>
      </c>
      <c r="Z11" s="41"/>
    </row>
    <row r="12" spans="1:26">
      <c r="A12" s="54" t="str">
        <f t="shared" ref="A12:A20" si="11">$N$3</f>
        <v>材1-1-HW-05</v>
      </c>
      <c r="B12" s="55">
        <f t="shared" si="0"/>
        <v>0</v>
      </c>
      <c r="C12" s="55" t="str">
        <f t="shared" si="1"/>
        <v>委外廠商個人電腦</v>
      </c>
      <c r="D12" s="55" t="str">
        <f t="shared" si="2"/>
        <v>委外廠商-系統開發、資料庫管理人員個人電腦</v>
      </c>
      <c r="E12" s="55">
        <f t="shared" si="3"/>
        <v>1</v>
      </c>
      <c r="F12" s="55" t="str">
        <f t="shared" si="4"/>
        <v>邵錡鼎</v>
      </c>
      <c r="G12" s="55">
        <f t="shared" si="5"/>
        <v>3</v>
      </c>
      <c r="H12" s="55">
        <f t="shared" si="6"/>
        <v>2</v>
      </c>
      <c r="I12" s="55">
        <f t="shared" si="7"/>
        <v>2</v>
      </c>
      <c r="J12" s="55">
        <f t="shared" si="8"/>
        <v>3</v>
      </c>
      <c r="K12" s="56">
        <f t="shared" si="9"/>
        <v>3</v>
      </c>
      <c r="L12" s="56">
        <f t="shared" si="10"/>
        <v>6</v>
      </c>
      <c r="M12" s="135" t="s">
        <v>120</v>
      </c>
      <c r="N12" s="136"/>
      <c r="O12" s="137"/>
      <c r="P12" s="182" t="s">
        <v>121</v>
      </c>
      <c r="Q12" s="183"/>
      <c r="R12" s="183"/>
      <c r="S12" s="184"/>
      <c r="T12" s="69" t="s">
        <v>119</v>
      </c>
      <c r="U12" s="69">
        <v>1</v>
      </c>
      <c r="V12" s="70" t="s">
        <v>195</v>
      </c>
      <c r="W12" s="69">
        <v>1</v>
      </c>
      <c r="X12" s="70"/>
      <c r="Y12" s="58">
        <f t="shared" ref="Y12:Y29" si="12">IF((T12="N"),"不適用",IF(COUNTA(U12,W12)&lt;2,"評鑑中",$S$2*U12*W12))</f>
        <v>3</v>
      </c>
      <c r="Z12" s="41"/>
    </row>
    <row r="13" spans="1:26" ht="31">
      <c r="A13" s="54" t="str">
        <f t="shared" si="11"/>
        <v>材1-1-HW-05</v>
      </c>
      <c r="B13" s="55">
        <f t="shared" si="0"/>
        <v>0</v>
      </c>
      <c r="C13" s="55" t="str">
        <f t="shared" si="1"/>
        <v>委外廠商個人電腦</v>
      </c>
      <c r="D13" s="55" t="str">
        <f t="shared" si="2"/>
        <v>委外廠商-系統開發、資料庫管理人員個人電腦</v>
      </c>
      <c r="E13" s="55">
        <f t="shared" si="3"/>
        <v>1</v>
      </c>
      <c r="F13" s="55" t="str">
        <f t="shared" si="4"/>
        <v>邵錡鼎</v>
      </c>
      <c r="G13" s="55">
        <f t="shared" si="5"/>
        <v>3</v>
      </c>
      <c r="H13" s="55">
        <f t="shared" si="6"/>
        <v>2</v>
      </c>
      <c r="I13" s="55">
        <f t="shared" si="7"/>
        <v>2</v>
      </c>
      <c r="J13" s="55">
        <f t="shared" si="8"/>
        <v>3</v>
      </c>
      <c r="K13" s="56">
        <f t="shared" si="9"/>
        <v>3</v>
      </c>
      <c r="L13" s="56">
        <f t="shared" si="10"/>
        <v>6</v>
      </c>
      <c r="M13" s="135" t="s">
        <v>120</v>
      </c>
      <c r="N13" s="136"/>
      <c r="O13" s="137"/>
      <c r="P13" s="182" t="s">
        <v>122</v>
      </c>
      <c r="Q13" s="183"/>
      <c r="R13" s="183"/>
      <c r="S13" s="184"/>
      <c r="T13" s="69" t="s">
        <v>119</v>
      </c>
      <c r="U13" s="69">
        <v>1</v>
      </c>
      <c r="V13" s="71" t="s">
        <v>196</v>
      </c>
      <c r="W13" s="69">
        <v>1</v>
      </c>
      <c r="X13" s="70" t="s">
        <v>189</v>
      </c>
      <c r="Y13" s="58">
        <f>IF((T13="N"),"不適用",IF(COUNTA(U13,W13)&lt;2,"評鑑中",$S$2*U13*W13))</f>
        <v>3</v>
      </c>
      <c r="Z13" s="41"/>
    </row>
    <row r="14" spans="1:26">
      <c r="A14" s="54" t="str">
        <f t="shared" si="11"/>
        <v>材1-1-HW-05</v>
      </c>
      <c r="B14" s="55">
        <f t="shared" si="0"/>
        <v>0</v>
      </c>
      <c r="C14" s="55" t="str">
        <f t="shared" si="1"/>
        <v>委外廠商個人電腦</v>
      </c>
      <c r="D14" s="55" t="str">
        <f t="shared" si="2"/>
        <v>委外廠商-系統開發、資料庫管理人員個人電腦</v>
      </c>
      <c r="E14" s="55">
        <f t="shared" si="3"/>
        <v>1</v>
      </c>
      <c r="F14" s="55" t="str">
        <f t="shared" si="4"/>
        <v>邵錡鼎</v>
      </c>
      <c r="G14" s="55">
        <f t="shared" si="5"/>
        <v>3</v>
      </c>
      <c r="H14" s="55">
        <f t="shared" si="6"/>
        <v>2</v>
      </c>
      <c r="I14" s="55">
        <f t="shared" si="7"/>
        <v>2</v>
      </c>
      <c r="J14" s="55">
        <f t="shared" si="8"/>
        <v>3</v>
      </c>
      <c r="K14" s="56">
        <f t="shared" si="9"/>
        <v>3</v>
      </c>
      <c r="L14" s="56">
        <f t="shared" si="10"/>
        <v>6</v>
      </c>
      <c r="M14" s="138" t="s">
        <v>82</v>
      </c>
      <c r="N14" s="139"/>
      <c r="O14" s="140"/>
      <c r="P14" s="141" t="s">
        <v>123</v>
      </c>
      <c r="Q14" s="142" t="s">
        <v>30</v>
      </c>
      <c r="R14" s="142" t="s">
        <v>30</v>
      </c>
      <c r="S14" s="133" t="s">
        <v>30</v>
      </c>
      <c r="T14" s="69" t="s">
        <v>119</v>
      </c>
      <c r="U14" s="69">
        <v>1</v>
      </c>
      <c r="V14" s="70" t="s">
        <v>190</v>
      </c>
      <c r="W14" s="69">
        <v>2</v>
      </c>
      <c r="X14" s="71"/>
      <c r="Y14" s="58">
        <f t="shared" si="12"/>
        <v>6</v>
      </c>
      <c r="Z14" s="41"/>
    </row>
    <row r="15" spans="1:26">
      <c r="A15" s="54" t="str">
        <f t="shared" si="11"/>
        <v>材1-1-HW-05</v>
      </c>
      <c r="B15" s="55">
        <f t="shared" si="0"/>
        <v>0</v>
      </c>
      <c r="C15" s="55" t="str">
        <f t="shared" si="1"/>
        <v>委外廠商個人電腦</v>
      </c>
      <c r="D15" s="55" t="str">
        <f t="shared" si="2"/>
        <v>委外廠商-系統開發、資料庫管理人員個人電腦</v>
      </c>
      <c r="E15" s="55">
        <f t="shared" si="3"/>
        <v>1</v>
      </c>
      <c r="F15" s="55" t="str">
        <f t="shared" si="4"/>
        <v>邵錡鼎</v>
      </c>
      <c r="G15" s="55">
        <f t="shared" si="5"/>
        <v>3</v>
      </c>
      <c r="H15" s="55">
        <f t="shared" si="6"/>
        <v>2</v>
      </c>
      <c r="I15" s="55">
        <f t="shared" si="7"/>
        <v>2</v>
      </c>
      <c r="J15" s="55">
        <f t="shared" si="8"/>
        <v>3</v>
      </c>
      <c r="K15" s="56">
        <f t="shared" si="9"/>
        <v>3</v>
      </c>
      <c r="L15" s="56">
        <f t="shared" si="10"/>
        <v>6</v>
      </c>
      <c r="M15" s="135" t="s">
        <v>124</v>
      </c>
      <c r="N15" s="136"/>
      <c r="O15" s="137"/>
      <c r="P15" s="141" t="s">
        <v>125</v>
      </c>
      <c r="Q15" s="142" t="s">
        <v>125</v>
      </c>
      <c r="R15" s="142" t="s">
        <v>125</v>
      </c>
      <c r="S15" s="133" t="s">
        <v>125</v>
      </c>
      <c r="T15" s="69" t="s">
        <v>119</v>
      </c>
      <c r="U15" s="69">
        <v>1</v>
      </c>
      <c r="V15" s="70" t="s">
        <v>190</v>
      </c>
      <c r="W15" s="69">
        <v>2</v>
      </c>
      <c r="X15" s="71"/>
      <c r="Y15" s="58">
        <f t="shared" si="12"/>
        <v>6</v>
      </c>
      <c r="Z15" s="41"/>
    </row>
    <row r="16" spans="1:26">
      <c r="A16" s="54" t="str">
        <f t="shared" si="11"/>
        <v>材1-1-HW-05</v>
      </c>
      <c r="B16" s="55">
        <f t="shared" si="0"/>
        <v>0</v>
      </c>
      <c r="C16" s="55" t="str">
        <f t="shared" si="1"/>
        <v>委外廠商個人電腦</v>
      </c>
      <c r="D16" s="55" t="str">
        <f t="shared" si="2"/>
        <v>委外廠商-系統開發、資料庫管理人員個人電腦</v>
      </c>
      <c r="E16" s="55">
        <f t="shared" si="3"/>
        <v>1</v>
      </c>
      <c r="F16" s="55" t="str">
        <f t="shared" si="4"/>
        <v>邵錡鼎</v>
      </c>
      <c r="G16" s="55">
        <f t="shared" si="5"/>
        <v>3</v>
      </c>
      <c r="H16" s="55">
        <f t="shared" si="6"/>
        <v>2</v>
      </c>
      <c r="I16" s="55">
        <f t="shared" si="7"/>
        <v>2</v>
      </c>
      <c r="J16" s="55">
        <f t="shared" si="8"/>
        <v>3</v>
      </c>
      <c r="K16" s="56">
        <f t="shared" si="9"/>
        <v>3</v>
      </c>
      <c r="L16" s="56">
        <f t="shared" si="10"/>
        <v>6</v>
      </c>
      <c r="M16" s="135" t="s">
        <v>124</v>
      </c>
      <c r="N16" s="136"/>
      <c r="O16" s="137"/>
      <c r="P16" s="141" t="s">
        <v>126</v>
      </c>
      <c r="Q16" s="142" t="s">
        <v>127</v>
      </c>
      <c r="R16" s="142" t="s">
        <v>127</v>
      </c>
      <c r="S16" s="133" t="s">
        <v>127</v>
      </c>
      <c r="T16" s="69" t="s">
        <v>119</v>
      </c>
      <c r="U16" s="69">
        <v>1</v>
      </c>
      <c r="V16" s="70" t="s">
        <v>190</v>
      </c>
      <c r="W16" s="69">
        <v>2</v>
      </c>
      <c r="X16" s="71"/>
      <c r="Y16" s="58">
        <f t="shared" si="12"/>
        <v>6</v>
      </c>
      <c r="Z16" s="41"/>
    </row>
    <row r="17" spans="1:26">
      <c r="A17" s="54" t="str">
        <f t="shared" si="11"/>
        <v>材1-1-HW-05</v>
      </c>
      <c r="B17" s="55">
        <f t="shared" si="0"/>
        <v>0</v>
      </c>
      <c r="C17" s="55" t="str">
        <f t="shared" si="1"/>
        <v>委外廠商個人電腦</v>
      </c>
      <c r="D17" s="55" t="str">
        <f t="shared" si="2"/>
        <v>委外廠商-系統開發、資料庫管理人員個人電腦</v>
      </c>
      <c r="E17" s="55">
        <f t="shared" si="3"/>
        <v>1</v>
      </c>
      <c r="F17" s="55" t="str">
        <f t="shared" si="4"/>
        <v>邵錡鼎</v>
      </c>
      <c r="G17" s="55">
        <f t="shared" si="5"/>
        <v>3</v>
      </c>
      <c r="H17" s="55">
        <f t="shared" si="6"/>
        <v>2</v>
      </c>
      <c r="I17" s="55">
        <f t="shared" si="7"/>
        <v>2</v>
      </c>
      <c r="J17" s="55">
        <f t="shared" si="8"/>
        <v>3</v>
      </c>
      <c r="K17" s="56">
        <f t="shared" si="9"/>
        <v>3</v>
      </c>
      <c r="L17" s="56">
        <f t="shared" si="10"/>
        <v>6</v>
      </c>
      <c r="M17" s="135" t="s">
        <v>124</v>
      </c>
      <c r="N17" s="136"/>
      <c r="O17" s="137"/>
      <c r="P17" s="124" t="s">
        <v>128</v>
      </c>
      <c r="Q17" s="125" t="s">
        <v>129</v>
      </c>
      <c r="R17" s="125" t="s">
        <v>129</v>
      </c>
      <c r="S17" s="126" t="s">
        <v>129</v>
      </c>
      <c r="T17" s="69" t="s">
        <v>119</v>
      </c>
      <c r="U17" s="69">
        <v>1</v>
      </c>
      <c r="V17" s="71" t="s">
        <v>197</v>
      </c>
      <c r="W17" s="69">
        <v>2</v>
      </c>
      <c r="X17" s="71"/>
      <c r="Y17" s="58">
        <f t="shared" si="12"/>
        <v>6</v>
      </c>
      <c r="Z17" s="41"/>
    </row>
    <row r="18" spans="1:26" ht="46.5">
      <c r="A18" s="54" t="str">
        <f t="shared" si="11"/>
        <v>材1-1-HW-05</v>
      </c>
      <c r="B18" s="55">
        <f t="shared" si="0"/>
        <v>0</v>
      </c>
      <c r="C18" s="55" t="str">
        <f t="shared" si="1"/>
        <v>委外廠商個人電腦</v>
      </c>
      <c r="D18" s="55" t="str">
        <f t="shared" si="2"/>
        <v>委外廠商-系統開發、資料庫管理人員個人電腦</v>
      </c>
      <c r="E18" s="55">
        <f t="shared" si="3"/>
        <v>1</v>
      </c>
      <c r="F18" s="55" t="str">
        <f t="shared" si="4"/>
        <v>邵錡鼎</v>
      </c>
      <c r="G18" s="55">
        <f t="shared" si="5"/>
        <v>3</v>
      </c>
      <c r="H18" s="55">
        <f t="shared" si="6"/>
        <v>2</v>
      </c>
      <c r="I18" s="55">
        <f t="shared" si="7"/>
        <v>2</v>
      </c>
      <c r="J18" s="55">
        <f t="shared" si="8"/>
        <v>3</v>
      </c>
      <c r="K18" s="56">
        <f t="shared" si="9"/>
        <v>3</v>
      </c>
      <c r="L18" s="56">
        <f t="shared" si="10"/>
        <v>6</v>
      </c>
      <c r="M18" s="135" t="s">
        <v>124</v>
      </c>
      <c r="N18" s="136"/>
      <c r="O18" s="137"/>
      <c r="P18" s="124" t="s">
        <v>130</v>
      </c>
      <c r="Q18" s="125" t="s">
        <v>131</v>
      </c>
      <c r="R18" s="125" t="s">
        <v>131</v>
      </c>
      <c r="S18" s="126" t="s">
        <v>131</v>
      </c>
      <c r="T18" s="69" t="s">
        <v>119</v>
      </c>
      <c r="U18" s="69">
        <v>1</v>
      </c>
      <c r="V18" s="71" t="s">
        <v>191</v>
      </c>
      <c r="W18" s="69">
        <v>2</v>
      </c>
      <c r="X18" s="71"/>
      <c r="Y18" s="58">
        <f t="shared" si="12"/>
        <v>6</v>
      </c>
      <c r="Z18" s="41"/>
    </row>
    <row r="19" spans="1:26">
      <c r="A19" s="54"/>
      <c r="B19" s="55"/>
      <c r="C19" s="55"/>
      <c r="D19" s="55"/>
      <c r="E19" s="55"/>
      <c r="F19" s="55"/>
      <c r="G19" s="55"/>
      <c r="H19" s="55"/>
      <c r="I19" s="55"/>
      <c r="J19" s="55"/>
      <c r="K19" s="56"/>
      <c r="L19" s="56"/>
      <c r="M19" s="135" t="s">
        <v>124</v>
      </c>
      <c r="N19" s="136"/>
      <c r="O19" s="137"/>
      <c r="P19" s="124" t="s">
        <v>132</v>
      </c>
      <c r="Q19" s="125"/>
      <c r="R19" s="125"/>
      <c r="S19" s="126"/>
      <c r="T19" s="69" t="s">
        <v>119</v>
      </c>
      <c r="U19" s="69">
        <v>1</v>
      </c>
      <c r="V19" s="71"/>
      <c r="W19" s="69">
        <v>2</v>
      </c>
      <c r="X19" s="71"/>
      <c r="Y19" s="58">
        <f t="shared" si="12"/>
        <v>6</v>
      </c>
      <c r="Z19" s="41"/>
    </row>
    <row r="20" spans="1:26" ht="31">
      <c r="A20" s="54" t="str">
        <f t="shared" si="11"/>
        <v>材1-1-HW-05</v>
      </c>
      <c r="B20" s="55">
        <f t="shared" si="0"/>
        <v>0</v>
      </c>
      <c r="C20" s="55" t="str">
        <f t="shared" si="1"/>
        <v>委外廠商個人電腦</v>
      </c>
      <c r="D20" s="55" t="str">
        <f t="shared" si="2"/>
        <v>委外廠商-系統開發、資料庫管理人員個人電腦</v>
      </c>
      <c r="E20" s="55">
        <f t="shared" si="3"/>
        <v>1</v>
      </c>
      <c r="F20" s="55" t="str">
        <f t="shared" si="4"/>
        <v>邵錡鼎</v>
      </c>
      <c r="G20" s="55">
        <f t="shared" si="5"/>
        <v>3</v>
      </c>
      <c r="H20" s="55">
        <f t="shared" si="6"/>
        <v>2</v>
      </c>
      <c r="I20" s="55">
        <f t="shared" si="7"/>
        <v>2</v>
      </c>
      <c r="J20" s="55">
        <f t="shared" si="8"/>
        <v>3</v>
      </c>
      <c r="K20" s="56">
        <f t="shared" si="9"/>
        <v>3</v>
      </c>
      <c r="L20" s="56">
        <f>$S$7</f>
        <v>6</v>
      </c>
      <c r="M20" s="138" t="s">
        <v>84</v>
      </c>
      <c r="N20" s="139"/>
      <c r="O20" s="140"/>
      <c r="P20" s="143" t="s">
        <v>133</v>
      </c>
      <c r="Q20" s="143" t="s">
        <v>134</v>
      </c>
      <c r="R20" s="143" t="s">
        <v>134</v>
      </c>
      <c r="S20" s="143" t="s">
        <v>134</v>
      </c>
      <c r="T20" s="69" t="s">
        <v>119</v>
      </c>
      <c r="U20" s="69">
        <v>1</v>
      </c>
      <c r="V20" s="70" t="s">
        <v>195</v>
      </c>
      <c r="W20" s="69">
        <v>1</v>
      </c>
      <c r="X20" s="70" t="s">
        <v>188</v>
      </c>
      <c r="Y20" s="58">
        <f t="shared" si="12"/>
        <v>3</v>
      </c>
      <c r="Z20" s="61"/>
    </row>
    <row r="21" spans="1:26" ht="35.25" customHeight="1">
      <c r="A21" s="59"/>
      <c r="B21" s="60"/>
      <c r="C21" s="60"/>
      <c r="D21" s="60"/>
      <c r="E21" s="60"/>
      <c r="F21" s="60"/>
      <c r="G21" s="60"/>
      <c r="H21" s="60"/>
      <c r="I21" s="60"/>
      <c r="J21" s="60"/>
      <c r="K21" s="60"/>
      <c r="L21" s="60"/>
      <c r="M21" s="138" t="s">
        <v>85</v>
      </c>
      <c r="N21" s="139"/>
      <c r="O21" s="140"/>
      <c r="P21" s="133" t="s">
        <v>135</v>
      </c>
      <c r="Q21" s="134"/>
      <c r="R21" s="134"/>
      <c r="S21" s="134"/>
      <c r="T21" s="69" t="s">
        <v>119</v>
      </c>
      <c r="U21" s="69">
        <v>1</v>
      </c>
      <c r="V21" s="70" t="s">
        <v>195</v>
      </c>
      <c r="W21" s="69">
        <v>2</v>
      </c>
      <c r="X21" s="70" t="s">
        <v>193</v>
      </c>
      <c r="Y21" s="58">
        <f t="shared" si="12"/>
        <v>6</v>
      </c>
      <c r="Z21" s="61"/>
    </row>
    <row r="22" spans="1:26">
      <c r="A22" s="59"/>
      <c r="B22" s="60"/>
      <c r="C22" s="60"/>
      <c r="D22" s="60"/>
      <c r="E22" s="60"/>
      <c r="F22" s="60"/>
      <c r="G22" s="60"/>
      <c r="H22" s="60"/>
      <c r="I22" s="60"/>
      <c r="J22" s="60"/>
      <c r="K22" s="60"/>
      <c r="L22" s="60"/>
      <c r="M22" s="158" t="s">
        <v>85</v>
      </c>
      <c r="N22" s="159"/>
      <c r="O22" s="160"/>
      <c r="P22" s="133" t="s">
        <v>136</v>
      </c>
      <c r="Q22" s="134"/>
      <c r="R22" s="134"/>
      <c r="S22" s="134"/>
      <c r="T22" s="69" t="s">
        <v>119</v>
      </c>
      <c r="U22" s="69">
        <v>1</v>
      </c>
      <c r="V22" s="70" t="s">
        <v>195</v>
      </c>
      <c r="W22" s="69">
        <v>2</v>
      </c>
      <c r="X22" s="70" t="s">
        <v>193</v>
      </c>
      <c r="Y22" s="58">
        <f t="shared" si="12"/>
        <v>6</v>
      </c>
      <c r="Z22" s="61"/>
    </row>
    <row r="23" spans="1:26" ht="36" customHeight="1">
      <c r="A23" s="59"/>
      <c r="B23" s="60"/>
      <c r="C23" s="60"/>
      <c r="D23" s="60"/>
      <c r="E23" s="60"/>
      <c r="F23" s="60"/>
      <c r="G23" s="60"/>
      <c r="H23" s="60"/>
      <c r="I23" s="60"/>
      <c r="J23" s="60"/>
      <c r="K23" s="60"/>
      <c r="L23" s="60"/>
      <c r="M23" s="138" t="s">
        <v>86</v>
      </c>
      <c r="N23" s="139"/>
      <c r="O23" s="140"/>
      <c r="P23" s="133" t="s">
        <v>137</v>
      </c>
      <c r="Q23" s="134"/>
      <c r="R23" s="134"/>
      <c r="S23" s="134"/>
      <c r="T23" s="69" t="s">
        <v>119</v>
      </c>
      <c r="U23" s="69">
        <v>1</v>
      </c>
      <c r="V23" s="70" t="s">
        <v>195</v>
      </c>
      <c r="W23" s="69">
        <v>2</v>
      </c>
      <c r="X23" s="70" t="s">
        <v>193</v>
      </c>
      <c r="Y23" s="58">
        <f t="shared" si="12"/>
        <v>6</v>
      </c>
      <c r="Z23" s="61"/>
    </row>
    <row r="24" spans="1:26">
      <c r="A24" s="59"/>
      <c r="B24" s="60"/>
      <c r="C24" s="60"/>
      <c r="D24" s="60"/>
      <c r="E24" s="60"/>
      <c r="F24" s="60"/>
      <c r="G24" s="60"/>
      <c r="H24" s="60"/>
      <c r="I24" s="60"/>
      <c r="J24" s="60"/>
      <c r="K24" s="60"/>
      <c r="L24" s="60"/>
      <c r="M24" s="158" t="s">
        <v>86</v>
      </c>
      <c r="N24" s="159"/>
      <c r="O24" s="160"/>
      <c r="P24" s="133" t="s">
        <v>138</v>
      </c>
      <c r="Q24" s="134"/>
      <c r="R24" s="134"/>
      <c r="S24" s="134"/>
      <c r="T24" s="69" t="s">
        <v>119</v>
      </c>
      <c r="U24" s="69">
        <v>1</v>
      </c>
      <c r="V24" s="70" t="s">
        <v>195</v>
      </c>
      <c r="W24" s="69">
        <v>2</v>
      </c>
      <c r="X24" s="70" t="s">
        <v>193</v>
      </c>
      <c r="Y24" s="58">
        <f t="shared" si="12"/>
        <v>6</v>
      </c>
      <c r="Z24" s="61"/>
    </row>
    <row r="25" spans="1:26" ht="46.5">
      <c r="A25" s="59"/>
      <c r="B25" s="60"/>
      <c r="C25" s="60"/>
      <c r="D25" s="60"/>
      <c r="E25" s="60"/>
      <c r="F25" s="60"/>
      <c r="G25" s="60"/>
      <c r="H25" s="60"/>
      <c r="I25" s="60"/>
      <c r="J25" s="60"/>
      <c r="K25" s="60"/>
      <c r="L25" s="60"/>
      <c r="M25" s="130" t="s">
        <v>87</v>
      </c>
      <c r="N25" s="131"/>
      <c r="O25" s="132"/>
      <c r="P25" s="133" t="s">
        <v>139</v>
      </c>
      <c r="Q25" s="134"/>
      <c r="R25" s="134"/>
      <c r="S25" s="134"/>
      <c r="T25" s="69" t="s">
        <v>119</v>
      </c>
      <c r="U25" s="69">
        <v>1</v>
      </c>
      <c r="V25" s="70" t="s">
        <v>195</v>
      </c>
      <c r="W25" s="69">
        <v>2</v>
      </c>
      <c r="X25" s="70" t="s">
        <v>194</v>
      </c>
      <c r="Y25" s="58">
        <f t="shared" si="12"/>
        <v>6</v>
      </c>
      <c r="Z25" s="61"/>
    </row>
    <row r="26" spans="1:26" s="76" customFormat="1" ht="47" customHeight="1">
      <c r="A26" s="74"/>
      <c r="B26" s="74"/>
      <c r="C26" s="74"/>
      <c r="D26" s="74"/>
      <c r="E26" s="74"/>
      <c r="F26" s="74"/>
      <c r="G26" s="74"/>
      <c r="H26" s="74"/>
      <c r="I26" s="74"/>
      <c r="J26" s="74"/>
      <c r="K26" s="74"/>
      <c r="L26" s="74"/>
      <c r="M26" s="138" t="s">
        <v>198</v>
      </c>
      <c r="N26" s="139"/>
      <c r="O26" s="140"/>
      <c r="P26" s="127" t="s">
        <v>199</v>
      </c>
      <c r="Q26" s="127"/>
      <c r="R26" s="127"/>
      <c r="S26" s="128"/>
      <c r="T26" s="84" t="s">
        <v>119</v>
      </c>
      <c r="U26" s="84">
        <v>1</v>
      </c>
      <c r="V26" s="73" t="s">
        <v>200</v>
      </c>
      <c r="W26" s="84">
        <v>2</v>
      </c>
      <c r="X26" s="73" t="s">
        <v>201</v>
      </c>
      <c r="Y26" s="58">
        <f t="shared" si="12"/>
        <v>6</v>
      </c>
      <c r="Z26" s="75"/>
    </row>
    <row r="27" spans="1:26" s="76" customFormat="1" ht="51" customHeight="1">
      <c r="A27" s="74"/>
      <c r="B27" s="74"/>
      <c r="C27" s="74"/>
      <c r="D27" s="74"/>
      <c r="E27" s="74"/>
      <c r="F27" s="74"/>
      <c r="G27" s="74"/>
      <c r="H27" s="74"/>
      <c r="I27" s="74"/>
      <c r="J27" s="74"/>
      <c r="K27" s="74"/>
      <c r="L27" s="74"/>
      <c r="M27" s="161"/>
      <c r="N27" s="162"/>
      <c r="O27" s="163"/>
      <c r="P27" s="127" t="s">
        <v>212</v>
      </c>
      <c r="Q27" s="127"/>
      <c r="R27" s="127"/>
      <c r="S27" s="128"/>
      <c r="T27" s="85" t="s">
        <v>119</v>
      </c>
      <c r="U27" s="85">
        <v>1</v>
      </c>
      <c r="V27" s="73" t="s">
        <v>200</v>
      </c>
      <c r="W27" s="85">
        <v>2</v>
      </c>
      <c r="X27" s="73" t="s">
        <v>213</v>
      </c>
      <c r="Y27" s="58">
        <f t="shared" si="12"/>
        <v>6</v>
      </c>
      <c r="Z27" s="75"/>
    </row>
    <row r="28" spans="1:26" s="76" customFormat="1" ht="31" customHeight="1">
      <c r="A28" s="74"/>
      <c r="B28" s="74"/>
      <c r="C28" s="74"/>
      <c r="D28" s="74"/>
      <c r="E28" s="74"/>
      <c r="F28" s="74"/>
      <c r="G28" s="74"/>
      <c r="H28" s="74"/>
      <c r="I28" s="74"/>
      <c r="J28" s="74"/>
      <c r="K28" s="74"/>
      <c r="L28" s="74"/>
      <c r="M28" s="130"/>
      <c r="N28" s="131"/>
      <c r="O28" s="132"/>
      <c r="P28" s="127" t="s">
        <v>214</v>
      </c>
      <c r="Q28" s="127"/>
      <c r="R28" s="127"/>
      <c r="S28" s="128"/>
      <c r="T28" s="85" t="s">
        <v>142</v>
      </c>
      <c r="U28" s="85"/>
      <c r="V28" s="73"/>
      <c r="W28" s="85"/>
      <c r="X28" s="73"/>
      <c r="Y28" s="58" t="str">
        <f t="shared" si="12"/>
        <v>不適用</v>
      </c>
      <c r="Z28" s="75"/>
    </row>
    <row r="29" spans="1:26">
      <c r="A29" s="147"/>
      <c r="B29" s="148"/>
      <c r="C29" s="148"/>
      <c r="D29" s="149"/>
      <c r="E29" s="150" t="s">
        <v>140</v>
      </c>
      <c r="F29" s="151"/>
      <c r="G29" s="151"/>
      <c r="H29" s="151"/>
      <c r="I29" s="151"/>
      <c r="J29" s="151"/>
      <c r="K29" s="151"/>
      <c r="L29" s="151"/>
      <c r="M29" s="152" t="s">
        <v>88</v>
      </c>
      <c r="N29" s="153"/>
      <c r="O29" s="154"/>
      <c r="P29" s="155" t="s">
        <v>141</v>
      </c>
      <c r="Q29" s="156"/>
      <c r="R29" s="156"/>
      <c r="S29" s="157"/>
      <c r="T29" s="62" t="s">
        <v>142</v>
      </c>
      <c r="U29" s="62"/>
      <c r="V29" s="63"/>
      <c r="W29" s="62"/>
      <c r="X29" s="63"/>
      <c r="Y29" s="64" t="str">
        <f t="shared" si="12"/>
        <v>不適用</v>
      </c>
      <c r="Z29" s="57"/>
    </row>
    <row r="34" spans="13:13">
      <c r="M34" s="7"/>
    </row>
  </sheetData>
  <sheetProtection formatCells="0" formatColumns="0" formatRows="0" insertColumns="0" insertRows="0" insertHyperlinks="0" deleteColumns="0" deleteRows="0" sort="0" autoFilter="0" pivotTables="0"/>
  <autoFilter ref="M10:Z10" xr:uid="{00000000-0009-0000-0000-000007000000}">
    <filterColumn colId="0" showButton="0"/>
    <filterColumn colId="1" showButton="0"/>
    <filterColumn colId="3" showButton="0"/>
    <filterColumn colId="4" showButton="0"/>
    <filterColumn colId="5" showButton="0"/>
  </autoFilter>
  <mergeCells count="49">
    <mergeCell ref="M25:O25"/>
    <mergeCell ref="P25:S25"/>
    <mergeCell ref="A29:D29"/>
    <mergeCell ref="E29:L29"/>
    <mergeCell ref="M29:O29"/>
    <mergeCell ref="P29:S29"/>
    <mergeCell ref="M26:O26"/>
    <mergeCell ref="P26:S26"/>
    <mergeCell ref="M27:O27"/>
    <mergeCell ref="P27:S27"/>
    <mergeCell ref="M28:O28"/>
    <mergeCell ref="P28:S28"/>
    <mergeCell ref="M22:O22"/>
    <mergeCell ref="P22:S22"/>
    <mergeCell ref="M23:O23"/>
    <mergeCell ref="P23:S23"/>
    <mergeCell ref="M24:O24"/>
    <mergeCell ref="P24:S24"/>
    <mergeCell ref="M19:O19"/>
    <mergeCell ref="P19:S19"/>
    <mergeCell ref="M20:O20"/>
    <mergeCell ref="P20:S20"/>
    <mergeCell ref="M21:O21"/>
    <mergeCell ref="P21:S21"/>
    <mergeCell ref="M16:O16"/>
    <mergeCell ref="P16:S16"/>
    <mergeCell ref="M17:O17"/>
    <mergeCell ref="P17:S17"/>
    <mergeCell ref="M18:O18"/>
    <mergeCell ref="P18:S18"/>
    <mergeCell ref="M13:O13"/>
    <mergeCell ref="P13:S13"/>
    <mergeCell ref="M14:O14"/>
    <mergeCell ref="P14:S14"/>
    <mergeCell ref="M15:O15"/>
    <mergeCell ref="P15:S15"/>
    <mergeCell ref="M12:O12"/>
    <mergeCell ref="P12:S12"/>
    <mergeCell ref="M1:Z1"/>
    <mergeCell ref="N2:P2"/>
    <mergeCell ref="N3:P3"/>
    <mergeCell ref="N4:P4"/>
    <mergeCell ref="N5:P5"/>
    <mergeCell ref="N6:P6"/>
    <mergeCell ref="N7:P7"/>
    <mergeCell ref="M10:O10"/>
    <mergeCell ref="P10:S10"/>
    <mergeCell ref="M11:O11"/>
    <mergeCell ref="P11:S11"/>
  </mergeCells>
  <phoneticPr fontId="1" type="noConversion"/>
  <dataValidations count="2">
    <dataValidation type="list" allowBlank="1" showInputMessage="1" showErrorMessage="1" sqref="T65541:T65564 JI65541:JI65564 TE65541:TE65564 ADA65541:ADA65564 AMW65541:AMW65564 AWS65541:AWS65564 BGO65541:BGO65564 BQK65541:BQK65564 CAG65541:CAG65564 CKC65541:CKC65564 CTY65541:CTY65564 DDU65541:DDU65564 DNQ65541:DNQ65564 DXM65541:DXM65564 EHI65541:EHI65564 ERE65541:ERE65564 FBA65541:FBA65564 FKW65541:FKW65564 FUS65541:FUS65564 GEO65541:GEO65564 GOK65541:GOK65564 GYG65541:GYG65564 HIC65541:HIC65564 HRY65541:HRY65564 IBU65541:IBU65564 ILQ65541:ILQ65564 IVM65541:IVM65564 JFI65541:JFI65564 JPE65541:JPE65564 JZA65541:JZA65564 KIW65541:KIW65564 KSS65541:KSS65564 LCO65541:LCO65564 LMK65541:LMK65564 LWG65541:LWG65564 MGC65541:MGC65564 MPY65541:MPY65564 MZU65541:MZU65564 NJQ65541:NJQ65564 NTM65541:NTM65564 ODI65541:ODI65564 ONE65541:ONE65564 OXA65541:OXA65564 PGW65541:PGW65564 PQS65541:PQS65564 QAO65541:QAO65564 QKK65541:QKK65564 QUG65541:QUG65564 REC65541:REC65564 RNY65541:RNY65564 RXU65541:RXU65564 SHQ65541:SHQ65564 SRM65541:SRM65564 TBI65541:TBI65564 TLE65541:TLE65564 TVA65541:TVA65564 UEW65541:UEW65564 UOS65541:UOS65564 UYO65541:UYO65564 VIK65541:VIK65564 VSG65541:VSG65564 WCC65541:WCC65564 WLY65541:WLY65564 WVU65541:WVU65564 T131077:T131100 JI131077:JI131100 TE131077:TE131100 ADA131077:ADA131100 AMW131077:AMW131100 AWS131077:AWS131100 BGO131077:BGO131100 BQK131077:BQK131100 CAG131077:CAG131100 CKC131077:CKC131100 CTY131077:CTY131100 DDU131077:DDU131100 DNQ131077:DNQ131100 DXM131077:DXM131100 EHI131077:EHI131100 ERE131077:ERE131100 FBA131077:FBA131100 FKW131077:FKW131100 FUS131077:FUS131100 GEO131077:GEO131100 GOK131077:GOK131100 GYG131077:GYG131100 HIC131077:HIC131100 HRY131077:HRY131100 IBU131077:IBU131100 ILQ131077:ILQ131100 IVM131077:IVM131100 JFI131077:JFI131100 JPE131077:JPE131100 JZA131077:JZA131100 KIW131077:KIW131100 KSS131077:KSS131100 LCO131077:LCO131100 LMK131077:LMK131100 LWG131077:LWG131100 MGC131077:MGC131100 MPY131077:MPY131100 MZU131077:MZU131100 NJQ131077:NJQ131100 NTM131077:NTM131100 ODI131077:ODI131100 ONE131077:ONE131100 OXA131077:OXA131100 PGW131077:PGW131100 PQS131077:PQS131100 QAO131077:QAO131100 QKK131077:QKK131100 QUG131077:QUG131100 REC131077:REC131100 RNY131077:RNY131100 RXU131077:RXU131100 SHQ131077:SHQ131100 SRM131077:SRM131100 TBI131077:TBI131100 TLE131077:TLE131100 TVA131077:TVA131100 UEW131077:UEW131100 UOS131077:UOS131100 UYO131077:UYO131100 VIK131077:VIK131100 VSG131077:VSG131100 WCC131077:WCC131100 WLY131077:WLY131100 WVU131077:WVU131100 T196613:T196636 JI196613:JI196636 TE196613:TE196636 ADA196613:ADA196636 AMW196613:AMW196636 AWS196613:AWS196636 BGO196613:BGO196636 BQK196613:BQK196636 CAG196613:CAG196636 CKC196613:CKC196636 CTY196613:CTY196636 DDU196613:DDU196636 DNQ196613:DNQ196636 DXM196613:DXM196636 EHI196613:EHI196636 ERE196613:ERE196636 FBA196613:FBA196636 FKW196613:FKW196636 FUS196613:FUS196636 GEO196613:GEO196636 GOK196613:GOK196636 GYG196613:GYG196636 HIC196613:HIC196636 HRY196613:HRY196636 IBU196613:IBU196636 ILQ196613:ILQ196636 IVM196613:IVM196636 JFI196613:JFI196636 JPE196613:JPE196636 JZA196613:JZA196636 KIW196613:KIW196636 KSS196613:KSS196636 LCO196613:LCO196636 LMK196613:LMK196636 LWG196613:LWG196636 MGC196613:MGC196636 MPY196613:MPY196636 MZU196613:MZU196636 NJQ196613:NJQ196636 NTM196613:NTM196636 ODI196613:ODI196636 ONE196613:ONE196636 OXA196613:OXA196636 PGW196613:PGW196636 PQS196613:PQS196636 QAO196613:QAO196636 QKK196613:QKK196636 QUG196613:QUG196636 REC196613:REC196636 RNY196613:RNY196636 RXU196613:RXU196636 SHQ196613:SHQ196636 SRM196613:SRM196636 TBI196613:TBI196636 TLE196613:TLE196636 TVA196613:TVA196636 UEW196613:UEW196636 UOS196613:UOS196636 UYO196613:UYO196636 VIK196613:VIK196636 VSG196613:VSG196636 WCC196613:WCC196636 WLY196613:WLY196636 WVU196613:WVU196636 T262149:T262172 JI262149:JI262172 TE262149:TE262172 ADA262149:ADA262172 AMW262149:AMW262172 AWS262149:AWS262172 BGO262149:BGO262172 BQK262149:BQK262172 CAG262149:CAG262172 CKC262149:CKC262172 CTY262149:CTY262172 DDU262149:DDU262172 DNQ262149:DNQ262172 DXM262149:DXM262172 EHI262149:EHI262172 ERE262149:ERE262172 FBA262149:FBA262172 FKW262149:FKW262172 FUS262149:FUS262172 GEO262149:GEO262172 GOK262149:GOK262172 GYG262149:GYG262172 HIC262149:HIC262172 HRY262149:HRY262172 IBU262149:IBU262172 ILQ262149:ILQ262172 IVM262149:IVM262172 JFI262149:JFI262172 JPE262149:JPE262172 JZA262149:JZA262172 KIW262149:KIW262172 KSS262149:KSS262172 LCO262149:LCO262172 LMK262149:LMK262172 LWG262149:LWG262172 MGC262149:MGC262172 MPY262149:MPY262172 MZU262149:MZU262172 NJQ262149:NJQ262172 NTM262149:NTM262172 ODI262149:ODI262172 ONE262149:ONE262172 OXA262149:OXA262172 PGW262149:PGW262172 PQS262149:PQS262172 QAO262149:QAO262172 QKK262149:QKK262172 QUG262149:QUG262172 REC262149:REC262172 RNY262149:RNY262172 RXU262149:RXU262172 SHQ262149:SHQ262172 SRM262149:SRM262172 TBI262149:TBI262172 TLE262149:TLE262172 TVA262149:TVA262172 UEW262149:UEW262172 UOS262149:UOS262172 UYO262149:UYO262172 VIK262149:VIK262172 VSG262149:VSG262172 WCC262149:WCC262172 WLY262149:WLY262172 WVU262149:WVU262172 T327685:T327708 JI327685:JI327708 TE327685:TE327708 ADA327685:ADA327708 AMW327685:AMW327708 AWS327685:AWS327708 BGO327685:BGO327708 BQK327685:BQK327708 CAG327685:CAG327708 CKC327685:CKC327708 CTY327685:CTY327708 DDU327685:DDU327708 DNQ327685:DNQ327708 DXM327685:DXM327708 EHI327685:EHI327708 ERE327685:ERE327708 FBA327685:FBA327708 FKW327685:FKW327708 FUS327685:FUS327708 GEO327685:GEO327708 GOK327685:GOK327708 GYG327685:GYG327708 HIC327685:HIC327708 HRY327685:HRY327708 IBU327685:IBU327708 ILQ327685:ILQ327708 IVM327685:IVM327708 JFI327685:JFI327708 JPE327685:JPE327708 JZA327685:JZA327708 KIW327685:KIW327708 KSS327685:KSS327708 LCO327685:LCO327708 LMK327685:LMK327708 LWG327685:LWG327708 MGC327685:MGC327708 MPY327685:MPY327708 MZU327685:MZU327708 NJQ327685:NJQ327708 NTM327685:NTM327708 ODI327685:ODI327708 ONE327685:ONE327708 OXA327685:OXA327708 PGW327685:PGW327708 PQS327685:PQS327708 QAO327685:QAO327708 QKK327685:QKK327708 QUG327685:QUG327708 REC327685:REC327708 RNY327685:RNY327708 RXU327685:RXU327708 SHQ327685:SHQ327708 SRM327685:SRM327708 TBI327685:TBI327708 TLE327685:TLE327708 TVA327685:TVA327708 UEW327685:UEW327708 UOS327685:UOS327708 UYO327685:UYO327708 VIK327685:VIK327708 VSG327685:VSG327708 WCC327685:WCC327708 WLY327685:WLY327708 WVU327685:WVU327708 T393221:T393244 JI393221:JI393244 TE393221:TE393244 ADA393221:ADA393244 AMW393221:AMW393244 AWS393221:AWS393244 BGO393221:BGO393244 BQK393221:BQK393244 CAG393221:CAG393244 CKC393221:CKC393244 CTY393221:CTY393244 DDU393221:DDU393244 DNQ393221:DNQ393244 DXM393221:DXM393244 EHI393221:EHI393244 ERE393221:ERE393244 FBA393221:FBA393244 FKW393221:FKW393244 FUS393221:FUS393244 GEO393221:GEO393244 GOK393221:GOK393244 GYG393221:GYG393244 HIC393221:HIC393244 HRY393221:HRY393244 IBU393221:IBU393244 ILQ393221:ILQ393244 IVM393221:IVM393244 JFI393221:JFI393244 JPE393221:JPE393244 JZA393221:JZA393244 KIW393221:KIW393244 KSS393221:KSS393244 LCO393221:LCO393244 LMK393221:LMK393244 LWG393221:LWG393244 MGC393221:MGC393244 MPY393221:MPY393244 MZU393221:MZU393244 NJQ393221:NJQ393244 NTM393221:NTM393244 ODI393221:ODI393244 ONE393221:ONE393244 OXA393221:OXA393244 PGW393221:PGW393244 PQS393221:PQS393244 QAO393221:QAO393244 QKK393221:QKK393244 QUG393221:QUG393244 REC393221:REC393244 RNY393221:RNY393244 RXU393221:RXU393244 SHQ393221:SHQ393244 SRM393221:SRM393244 TBI393221:TBI393244 TLE393221:TLE393244 TVA393221:TVA393244 UEW393221:UEW393244 UOS393221:UOS393244 UYO393221:UYO393244 VIK393221:VIK393244 VSG393221:VSG393244 WCC393221:WCC393244 WLY393221:WLY393244 WVU393221:WVU393244 T458757:T458780 JI458757:JI458780 TE458757:TE458780 ADA458757:ADA458780 AMW458757:AMW458780 AWS458757:AWS458780 BGO458757:BGO458780 BQK458757:BQK458780 CAG458757:CAG458780 CKC458757:CKC458780 CTY458757:CTY458780 DDU458757:DDU458780 DNQ458757:DNQ458780 DXM458757:DXM458780 EHI458757:EHI458780 ERE458757:ERE458780 FBA458757:FBA458780 FKW458757:FKW458780 FUS458757:FUS458780 GEO458757:GEO458780 GOK458757:GOK458780 GYG458757:GYG458780 HIC458757:HIC458780 HRY458757:HRY458780 IBU458757:IBU458780 ILQ458757:ILQ458780 IVM458757:IVM458780 JFI458757:JFI458780 JPE458757:JPE458780 JZA458757:JZA458780 KIW458757:KIW458780 KSS458757:KSS458780 LCO458757:LCO458780 LMK458757:LMK458780 LWG458757:LWG458780 MGC458757:MGC458780 MPY458757:MPY458780 MZU458757:MZU458780 NJQ458757:NJQ458780 NTM458757:NTM458780 ODI458757:ODI458780 ONE458757:ONE458780 OXA458757:OXA458780 PGW458757:PGW458780 PQS458757:PQS458780 QAO458757:QAO458780 QKK458757:QKK458780 QUG458757:QUG458780 REC458757:REC458780 RNY458757:RNY458780 RXU458757:RXU458780 SHQ458757:SHQ458780 SRM458757:SRM458780 TBI458757:TBI458780 TLE458757:TLE458780 TVA458757:TVA458780 UEW458757:UEW458780 UOS458757:UOS458780 UYO458757:UYO458780 VIK458757:VIK458780 VSG458757:VSG458780 WCC458757:WCC458780 WLY458757:WLY458780 WVU458757:WVU458780 T524293:T524316 JI524293:JI524316 TE524293:TE524316 ADA524293:ADA524316 AMW524293:AMW524316 AWS524293:AWS524316 BGO524293:BGO524316 BQK524293:BQK524316 CAG524293:CAG524316 CKC524293:CKC524316 CTY524293:CTY524316 DDU524293:DDU524316 DNQ524293:DNQ524316 DXM524293:DXM524316 EHI524293:EHI524316 ERE524293:ERE524316 FBA524293:FBA524316 FKW524293:FKW524316 FUS524293:FUS524316 GEO524293:GEO524316 GOK524293:GOK524316 GYG524293:GYG524316 HIC524293:HIC524316 HRY524293:HRY524316 IBU524293:IBU524316 ILQ524293:ILQ524316 IVM524293:IVM524316 JFI524293:JFI524316 JPE524293:JPE524316 JZA524293:JZA524316 KIW524293:KIW524316 KSS524293:KSS524316 LCO524293:LCO524316 LMK524293:LMK524316 LWG524293:LWG524316 MGC524293:MGC524316 MPY524293:MPY524316 MZU524293:MZU524316 NJQ524293:NJQ524316 NTM524293:NTM524316 ODI524293:ODI524316 ONE524293:ONE524316 OXA524293:OXA524316 PGW524293:PGW524316 PQS524293:PQS524316 QAO524293:QAO524316 QKK524293:QKK524316 QUG524293:QUG524316 REC524293:REC524316 RNY524293:RNY524316 RXU524293:RXU524316 SHQ524293:SHQ524316 SRM524293:SRM524316 TBI524293:TBI524316 TLE524293:TLE524316 TVA524293:TVA524316 UEW524293:UEW524316 UOS524293:UOS524316 UYO524293:UYO524316 VIK524293:VIK524316 VSG524293:VSG524316 WCC524293:WCC524316 WLY524293:WLY524316 WVU524293:WVU524316 T589829:T589852 JI589829:JI589852 TE589829:TE589852 ADA589829:ADA589852 AMW589829:AMW589852 AWS589829:AWS589852 BGO589829:BGO589852 BQK589829:BQK589852 CAG589829:CAG589852 CKC589829:CKC589852 CTY589829:CTY589852 DDU589829:DDU589852 DNQ589829:DNQ589852 DXM589829:DXM589852 EHI589829:EHI589852 ERE589829:ERE589852 FBA589829:FBA589852 FKW589829:FKW589852 FUS589829:FUS589852 GEO589829:GEO589852 GOK589829:GOK589852 GYG589829:GYG589852 HIC589829:HIC589852 HRY589829:HRY589852 IBU589829:IBU589852 ILQ589829:ILQ589852 IVM589829:IVM589852 JFI589829:JFI589852 JPE589829:JPE589852 JZA589829:JZA589852 KIW589829:KIW589852 KSS589829:KSS589852 LCO589829:LCO589852 LMK589829:LMK589852 LWG589829:LWG589852 MGC589829:MGC589852 MPY589829:MPY589852 MZU589829:MZU589852 NJQ589829:NJQ589852 NTM589829:NTM589852 ODI589829:ODI589852 ONE589829:ONE589852 OXA589829:OXA589852 PGW589829:PGW589852 PQS589829:PQS589852 QAO589829:QAO589852 QKK589829:QKK589852 QUG589829:QUG589852 REC589829:REC589852 RNY589829:RNY589852 RXU589829:RXU589852 SHQ589829:SHQ589852 SRM589829:SRM589852 TBI589829:TBI589852 TLE589829:TLE589852 TVA589829:TVA589852 UEW589829:UEW589852 UOS589829:UOS589852 UYO589829:UYO589852 VIK589829:VIK589852 VSG589829:VSG589852 WCC589829:WCC589852 WLY589829:WLY589852 WVU589829:WVU589852 T655365:T655388 JI655365:JI655388 TE655365:TE655388 ADA655365:ADA655388 AMW655365:AMW655388 AWS655365:AWS655388 BGO655365:BGO655388 BQK655365:BQK655388 CAG655365:CAG655388 CKC655365:CKC655388 CTY655365:CTY655388 DDU655365:DDU655388 DNQ655365:DNQ655388 DXM655365:DXM655388 EHI655365:EHI655388 ERE655365:ERE655388 FBA655365:FBA655388 FKW655365:FKW655388 FUS655365:FUS655388 GEO655365:GEO655388 GOK655365:GOK655388 GYG655365:GYG655388 HIC655365:HIC655388 HRY655365:HRY655388 IBU655365:IBU655388 ILQ655365:ILQ655388 IVM655365:IVM655388 JFI655365:JFI655388 JPE655365:JPE655388 JZA655365:JZA655388 KIW655365:KIW655388 KSS655365:KSS655388 LCO655365:LCO655388 LMK655365:LMK655388 LWG655365:LWG655388 MGC655365:MGC655388 MPY655365:MPY655388 MZU655365:MZU655388 NJQ655365:NJQ655388 NTM655365:NTM655388 ODI655365:ODI655388 ONE655365:ONE655388 OXA655365:OXA655388 PGW655365:PGW655388 PQS655365:PQS655388 QAO655365:QAO655388 QKK655365:QKK655388 QUG655365:QUG655388 REC655365:REC655388 RNY655365:RNY655388 RXU655365:RXU655388 SHQ655365:SHQ655388 SRM655365:SRM655388 TBI655365:TBI655388 TLE655365:TLE655388 TVA655365:TVA655388 UEW655365:UEW655388 UOS655365:UOS655388 UYO655365:UYO655388 VIK655365:VIK655388 VSG655365:VSG655388 WCC655365:WCC655388 WLY655365:WLY655388 WVU655365:WVU655388 T720901:T720924 JI720901:JI720924 TE720901:TE720924 ADA720901:ADA720924 AMW720901:AMW720924 AWS720901:AWS720924 BGO720901:BGO720924 BQK720901:BQK720924 CAG720901:CAG720924 CKC720901:CKC720924 CTY720901:CTY720924 DDU720901:DDU720924 DNQ720901:DNQ720924 DXM720901:DXM720924 EHI720901:EHI720924 ERE720901:ERE720924 FBA720901:FBA720924 FKW720901:FKW720924 FUS720901:FUS720924 GEO720901:GEO720924 GOK720901:GOK720924 GYG720901:GYG720924 HIC720901:HIC720924 HRY720901:HRY720924 IBU720901:IBU720924 ILQ720901:ILQ720924 IVM720901:IVM720924 JFI720901:JFI720924 JPE720901:JPE720924 JZA720901:JZA720924 KIW720901:KIW720924 KSS720901:KSS720924 LCO720901:LCO720924 LMK720901:LMK720924 LWG720901:LWG720924 MGC720901:MGC720924 MPY720901:MPY720924 MZU720901:MZU720924 NJQ720901:NJQ720924 NTM720901:NTM720924 ODI720901:ODI720924 ONE720901:ONE720924 OXA720901:OXA720924 PGW720901:PGW720924 PQS720901:PQS720924 QAO720901:QAO720924 QKK720901:QKK720924 QUG720901:QUG720924 REC720901:REC720924 RNY720901:RNY720924 RXU720901:RXU720924 SHQ720901:SHQ720924 SRM720901:SRM720924 TBI720901:TBI720924 TLE720901:TLE720924 TVA720901:TVA720924 UEW720901:UEW720924 UOS720901:UOS720924 UYO720901:UYO720924 VIK720901:VIK720924 VSG720901:VSG720924 WCC720901:WCC720924 WLY720901:WLY720924 WVU720901:WVU720924 T786437:T786460 JI786437:JI786460 TE786437:TE786460 ADA786437:ADA786460 AMW786437:AMW786460 AWS786437:AWS786460 BGO786437:BGO786460 BQK786437:BQK786460 CAG786437:CAG786460 CKC786437:CKC786460 CTY786437:CTY786460 DDU786437:DDU786460 DNQ786437:DNQ786460 DXM786437:DXM786460 EHI786437:EHI786460 ERE786437:ERE786460 FBA786437:FBA786460 FKW786437:FKW786460 FUS786437:FUS786460 GEO786437:GEO786460 GOK786437:GOK786460 GYG786437:GYG786460 HIC786437:HIC786460 HRY786437:HRY786460 IBU786437:IBU786460 ILQ786437:ILQ786460 IVM786437:IVM786460 JFI786437:JFI786460 JPE786437:JPE786460 JZA786437:JZA786460 KIW786437:KIW786460 KSS786437:KSS786460 LCO786437:LCO786460 LMK786437:LMK786460 LWG786437:LWG786460 MGC786437:MGC786460 MPY786437:MPY786460 MZU786437:MZU786460 NJQ786437:NJQ786460 NTM786437:NTM786460 ODI786437:ODI786460 ONE786437:ONE786460 OXA786437:OXA786460 PGW786437:PGW786460 PQS786437:PQS786460 QAO786437:QAO786460 QKK786437:QKK786460 QUG786437:QUG786460 REC786437:REC786460 RNY786437:RNY786460 RXU786437:RXU786460 SHQ786437:SHQ786460 SRM786437:SRM786460 TBI786437:TBI786460 TLE786437:TLE786460 TVA786437:TVA786460 UEW786437:UEW786460 UOS786437:UOS786460 UYO786437:UYO786460 VIK786437:VIK786460 VSG786437:VSG786460 WCC786437:WCC786460 WLY786437:WLY786460 WVU786437:WVU786460 T851973:T851996 JI851973:JI851996 TE851973:TE851996 ADA851973:ADA851996 AMW851973:AMW851996 AWS851973:AWS851996 BGO851973:BGO851996 BQK851973:BQK851996 CAG851973:CAG851996 CKC851973:CKC851996 CTY851973:CTY851996 DDU851973:DDU851996 DNQ851973:DNQ851996 DXM851973:DXM851996 EHI851973:EHI851996 ERE851973:ERE851996 FBA851973:FBA851996 FKW851973:FKW851996 FUS851973:FUS851996 GEO851973:GEO851996 GOK851973:GOK851996 GYG851973:GYG851996 HIC851973:HIC851996 HRY851973:HRY851996 IBU851973:IBU851996 ILQ851973:ILQ851996 IVM851973:IVM851996 JFI851973:JFI851996 JPE851973:JPE851996 JZA851973:JZA851996 KIW851973:KIW851996 KSS851973:KSS851996 LCO851973:LCO851996 LMK851973:LMK851996 LWG851973:LWG851996 MGC851973:MGC851996 MPY851973:MPY851996 MZU851973:MZU851996 NJQ851973:NJQ851996 NTM851973:NTM851996 ODI851973:ODI851996 ONE851973:ONE851996 OXA851973:OXA851996 PGW851973:PGW851996 PQS851973:PQS851996 QAO851973:QAO851996 QKK851973:QKK851996 QUG851973:QUG851996 REC851973:REC851996 RNY851973:RNY851996 RXU851973:RXU851996 SHQ851973:SHQ851996 SRM851973:SRM851996 TBI851973:TBI851996 TLE851973:TLE851996 TVA851973:TVA851996 UEW851973:UEW851996 UOS851973:UOS851996 UYO851973:UYO851996 VIK851973:VIK851996 VSG851973:VSG851996 WCC851973:WCC851996 WLY851973:WLY851996 WVU851973:WVU851996 T917509:T917532 JI917509:JI917532 TE917509:TE917532 ADA917509:ADA917532 AMW917509:AMW917532 AWS917509:AWS917532 BGO917509:BGO917532 BQK917509:BQK917532 CAG917509:CAG917532 CKC917509:CKC917532 CTY917509:CTY917532 DDU917509:DDU917532 DNQ917509:DNQ917532 DXM917509:DXM917532 EHI917509:EHI917532 ERE917509:ERE917532 FBA917509:FBA917532 FKW917509:FKW917532 FUS917509:FUS917532 GEO917509:GEO917532 GOK917509:GOK917532 GYG917509:GYG917532 HIC917509:HIC917532 HRY917509:HRY917532 IBU917509:IBU917532 ILQ917509:ILQ917532 IVM917509:IVM917532 JFI917509:JFI917532 JPE917509:JPE917532 JZA917509:JZA917532 KIW917509:KIW917532 KSS917509:KSS917532 LCO917509:LCO917532 LMK917509:LMK917532 LWG917509:LWG917532 MGC917509:MGC917532 MPY917509:MPY917532 MZU917509:MZU917532 NJQ917509:NJQ917532 NTM917509:NTM917532 ODI917509:ODI917532 ONE917509:ONE917532 OXA917509:OXA917532 PGW917509:PGW917532 PQS917509:PQS917532 QAO917509:QAO917532 QKK917509:QKK917532 QUG917509:QUG917532 REC917509:REC917532 RNY917509:RNY917532 RXU917509:RXU917532 SHQ917509:SHQ917532 SRM917509:SRM917532 TBI917509:TBI917532 TLE917509:TLE917532 TVA917509:TVA917532 UEW917509:UEW917532 UOS917509:UOS917532 UYO917509:UYO917532 VIK917509:VIK917532 VSG917509:VSG917532 WCC917509:WCC917532 WLY917509:WLY917532 WVU917509:WVU917532 T983045:T983068 JI983045:JI983068 TE983045:TE983068 ADA983045:ADA983068 AMW983045:AMW983068 AWS983045:AWS983068 BGO983045:BGO983068 BQK983045:BQK983068 CAG983045:CAG983068 CKC983045:CKC983068 CTY983045:CTY983068 DDU983045:DDU983068 DNQ983045:DNQ983068 DXM983045:DXM983068 EHI983045:EHI983068 ERE983045:ERE983068 FBA983045:FBA983068 FKW983045:FKW983068 FUS983045:FUS983068 GEO983045:GEO983068 GOK983045:GOK983068 GYG983045:GYG983068 HIC983045:HIC983068 HRY983045:HRY983068 IBU983045:IBU983068 ILQ983045:ILQ983068 IVM983045:IVM983068 JFI983045:JFI983068 JPE983045:JPE983068 JZA983045:JZA983068 KIW983045:KIW983068 KSS983045:KSS983068 LCO983045:LCO983068 LMK983045:LMK983068 LWG983045:LWG983068 MGC983045:MGC983068 MPY983045:MPY983068 MZU983045:MZU983068 NJQ983045:NJQ983068 NTM983045:NTM983068 ODI983045:ODI983068 ONE983045:ONE983068 OXA983045:OXA983068 PGW983045:PGW983068 PQS983045:PQS983068 QAO983045:QAO983068 QKK983045:QKK983068 QUG983045:QUG983068 REC983045:REC983068 RNY983045:RNY983068 RXU983045:RXU983068 SHQ983045:SHQ983068 SRM983045:SRM983068 TBI983045:TBI983068 TLE983045:TLE983068 TVA983045:TVA983068 UEW983045:UEW983068 UOS983045:UOS983068 UYO983045:UYO983068 VIK983045:VIK983068 VSG983045:VSG983068 WCC983045:WCC983068 WLY983045:WLY983068 WVU983045:WVU983068 WVF11:WVF25 WLJ11:WLJ25 WBN11:WBN25 VRR11:VRR25 VHV11:VHV25 UXZ11:UXZ25 UOD11:UOD25 UEH11:UEH25 TUL11:TUL25 TKP11:TKP25 TAT11:TAT25 SQX11:SQX25 SHB11:SHB25 RXF11:RXF25 RNJ11:RNJ25 RDN11:RDN25 QTR11:QTR25 QJV11:QJV25 PZZ11:PZZ25 PQD11:PQD25 PGH11:PGH25 OWL11:OWL25 OMP11:OMP25 OCT11:OCT25 NSX11:NSX25 NJB11:NJB25 MZF11:MZF25 MPJ11:MPJ25 MFN11:MFN25 LVR11:LVR25 LLV11:LLV25 LBZ11:LBZ25 KSD11:KSD25 KIH11:KIH25 JYL11:JYL25 JOP11:JOP25 JET11:JET25 IUX11:IUX25 ILB11:ILB25 IBF11:IBF25 HRJ11:HRJ25 HHN11:HHN25 GXR11:GXR25 GNV11:GNV25 GDZ11:GDZ25 FUD11:FUD25 FKH11:FKH25 FAL11:FAL25 EQP11:EQP25 EGT11:EGT25 DWX11:DWX25 DNB11:DNB25 DDF11:DDF25 CTJ11:CTJ25 CJN11:CJN25 BZR11:BZR25 BPV11:BPV25 BFZ11:BFZ25 AWD11:AWD25 AMH11:AMH25 ACL11:ACL25 SP11:SP25 IT11:IT25 T11:T29" xr:uid="{00000000-0002-0000-0700-000000000000}">
      <formula1>"Y,N"</formula1>
    </dataValidation>
    <dataValidation type="list" allowBlank="1" showInputMessage="1" showErrorMessage="1" sqref="WVX983045:WVX983068 JH5:JH7 TD5:TD7 ACZ5:ACZ7 AMV5:AMV7 AWR5:AWR7 BGN5:BGN7 BQJ5:BQJ7 CAF5:CAF7 CKB5:CKB7 CTX5:CTX7 DDT5:DDT7 DNP5:DNP7 DXL5:DXL7 EHH5:EHH7 ERD5:ERD7 FAZ5:FAZ7 FKV5:FKV7 FUR5:FUR7 GEN5:GEN7 GOJ5:GOJ7 GYF5:GYF7 HIB5:HIB7 HRX5:HRX7 IBT5:IBT7 ILP5:ILP7 IVL5:IVL7 JFH5:JFH7 JPD5:JPD7 JYZ5:JYZ7 KIV5:KIV7 KSR5:KSR7 LCN5:LCN7 LMJ5:LMJ7 LWF5:LWF7 MGB5:MGB7 MPX5:MPX7 MZT5:MZT7 NJP5:NJP7 NTL5:NTL7 ODH5:ODH7 OND5:OND7 OWZ5:OWZ7 PGV5:PGV7 PQR5:PQR7 QAN5:QAN7 QKJ5:QKJ7 QUF5:QUF7 REB5:REB7 RNX5:RNX7 RXT5:RXT7 SHP5:SHP7 SRL5:SRL7 TBH5:TBH7 TLD5:TLD7 TUZ5:TUZ7 UEV5:UEV7 UOR5:UOR7 UYN5:UYN7 VIJ5:VIJ7 VSF5:VSF7 WCB5:WCB7 WLX5:WLX7 WVT5:WVT7 S65535:S65537 JH65535:JH65537 TD65535:TD65537 ACZ65535:ACZ65537 AMV65535:AMV65537 AWR65535:AWR65537 BGN65535:BGN65537 BQJ65535:BQJ65537 CAF65535:CAF65537 CKB65535:CKB65537 CTX65535:CTX65537 DDT65535:DDT65537 DNP65535:DNP65537 DXL65535:DXL65537 EHH65535:EHH65537 ERD65535:ERD65537 FAZ65535:FAZ65537 FKV65535:FKV65537 FUR65535:FUR65537 GEN65535:GEN65537 GOJ65535:GOJ65537 GYF65535:GYF65537 HIB65535:HIB65537 HRX65535:HRX65537 IBT65535:IBT65537 ILP65535:ILP65537 IVL65535:IVL65537 JFH65535:JFH65537 JPD65535:JPD65537 JYZ65535:JYZ65537 KIV65535:KIV65537 KSR65535:KSR65537 LCN65535:LCN65537 LMJ65535:LMJ65537 LWF65535:LWF65537 MGB65535:MGB65537 MPX65535:MPX65537 MZT65535:MZT65537 NJP65535:NJP65537 NTL65535:NTL65537 ODH65535:ODH65537 OND65535:OND65537 OWZ65535:OWZ65537 PGV65535:PGV65537 PQR65535:PQR65537 QAN65535:QAN65537 QKJ65535:QKJ65537 QUF65535:QUF65537 REB65535:REB65537 RNX65535:RNX65537 RXT65535:RXT65537 SHP65535:SHP65537 SRL65535:SRL65537 TBH65535:TBH65537 TLD65535:TLD65537 TUZ65535:TUZ65537 UEV65535:UEV65537 UOR65535:UOR65537 UYN65535:UYN65537 VIJ65535:VIJ65537 VSF65535:VSF65537 WCB65535:WCB65537 WLX65535:WLX65537 WVT65535:WVT65537 S131071:S131073 JH131071:JH131073 TD131071:TD131073 ACZ131071:ACZ131073 AMV131071:AMV131073 AWR131071:AWR131073 BGN131071:BGN131073 BQJ131071:BQJ131073 CAF131071:CAF131073 CKB131071:CKB131073 CTX131071:CTX131073 DDT131071:DDT131073 DNP131071:DNP131073 DXL131071:DXL131073 EHH131071:EHH131073 ERD131071:ERD131073 FAZ131071:FAZ131073 FKV131071:FKV131073 FUR131071:FUR131073 GEN131071:GEN131073 GOJ131071:GOJ131073 GYF131071:GYF131073 HIB131071:HIB131073 HRX131071:HRX131073 IBT131071:IBT131073 ILP131071:ILP131073 IVL131071:IVL131073 JFH131071:JFH131073 JPD131071:JPD131073 JYZ131071:JYZ131073 KIV131071:KIV131073 KSR131071:KSR131073 LCN131071:LCN131073 LMJ131071:LMJ131073 LWF131071:LWF131073 MGB131071:MGB131073 MPX131071:MPX131073 MZT131071:MZT131073 NJP131071:NJP131073 NTL131071:NTL131073 ODH131071:ODH131073 OND131071:OND131073 OWZ131071:OWZ131073 PGV131071:PGV131073 PQR131071:PQR131073 QAN131071:QAN131073 QKJ131071:QKJ131073 QUF131071:QUF131073 REB131071:REB131073 RNX131071:RNX131073 RXT131071:RXT131073 SHP131071:SHP131073 SRL131071:SRL131073 TBH131071:TBH131073 TLD131071:TLD131073 TUZ131071:TUZ131073 UEV131071:UEV131073 UOR131071:UOR131073 UYN131071:UYN131073 VIJ131071:VIJ131073 VSF131071:VSF131073 WCB131071:WCB131073 WLX131071:WLX131073 WVT131071:WVT131073 S196607:S196609 JH196607:JH196609 TD196607:TD196609 ACZ196607:ACZ196609 AMV196607:AMV196609 AWR196607:AWR196609 BGN196607:BGN196609 BQJ196607:BQJ196609 CAF196607:CAF196609 CKB196607:CKB196609 CTX196607:CTX196609 DDT196607:DDT196609 DNP196607:DNP196609 DXL196607:DXL196609 EHH196607:EHH196609 ERD196607:ERD196609 FAZ196607:FAZ196609 FKV196607:FKV196609 FUR196607:FUR196609 GEN196607:GEN196609 GOJ196607:GOJ196609 GYF196607:GYF196609 HIB196607:HIB196609 HRX196607:HRX196609 IBT196607:IBT196609 ILP196607:ILP196609 IVL196607:IVL196609 JFH196607:JFH196609 JPD196607:JPD196609 JYZ196607:JYZ196609 KIV196607:KIV196609 KSR196607:KSR196609 LCN196607:LCN196609 LMJ196607:LMJ196609 LWF196607:LWF196609 MGB196607:MGB196609 MPX196607:MPX196609 MZT196607:MZT196609 NJP196607:NJP196609 NTL196607:NTL196609 ODH196607:ODH196609 OND196607:OND196609 OWZ196607:OWZ196609 PGV196607:PGV196609 PQR196607:PQR196609 QAN196607:QAN196609 QKJ196607:QKJ196609 QUF196607:QUF196609 REB196607:REB196609 RNX196607:RNX196609 RXT196607:RXT196609 SHP196607:SHP196609 SRL196607:SRL196609 TBH196607:TBH196609 TLD196607:TLD196609 TUZ196607:TUZ196609 UEV196607:UEV196609 UOR196607:UOR196609 UYN196607:UYN196609 VIJ196607:VIJ196609 VSF196607:VSF196609 WCB196607:WCB196609 WLX196607:WLX196609 WVT196607:WVT196609 S262143:S262145 JH262143:JH262145 TD262143:TD262145 ACZ262143:ACZ262145 AMV262143:AMV262145 AWR262143:AWR262145 BGN262143:BGN262145 BQJ262143:BQJ262145 CAF262143:CAF262145 CKB262143:CKB262145 CTX262143:CTX262145 DDT262143:DDT262145 DNP262143:DNP262145 DXL262143:DXL262145 EHH262143:EHH262145 ERD262143:ERD262145 FAZ262143:FAZ262145 FKV262143:FKV262145 FUR262143:FUR262145 GEN262143:GEN262145 GOJ262143:GOJ262145 GYF262143:GYF262145 HIB262143:HIB262145 HRX262143:HRX262145 IBT262143:IBT262145 ILP262143:ILP262145 IVL262143:IVL262145 JFH262143:JFH262145 JPD262143:JPD262145 JYZ262143:JYZ262145 KIV262143:KIV262145 KSR262143:KSR262145 LCN262143:LCN262145 LMJ262143:LMJ262145 LWF262143:LWF262145 MGB262143:MGB262145 MPX262143:MPX262145 MZT262143:MZT262145 NJP262143:NJP262145 NTL262143:NTL262145 ODH262143:ODH262145 OND262143:OND262145 OWZ262143:OWZ262145 PGV262143:PGV262145 PQR262143:PQR262145 QAN262143:QAN262145 QKJ262143:QKJ262145 QUF262143:QUF262145 REB262143:REB262145 RNX262143:RNX262145 RXT262143:RXT262145 SHP262143:SHP262145 SRL262143:SRL262145 TBH262143:TBH262145 TLD262143:TLD262145 TUZ262143:TUZ262145 UEV262143:UEV262145 UOR262143:UOR262145 UYN262143:UYN262145 VIJ262143:VIJ262145 VSF262143:VSF262145 WCB262143:WCB262145 WLX262143:WLX262145 WVT262143:WVT262145 S327679:S327681 JH327679:JH327681 TD327679:TD327681 ACZ327679:ACZ327681 AMV327679:AMV327681 AWR327679:AWR327681 BGN327679:BGN327681 BQJ327679:BQJ327681 CAF327679:CAF327681 CKB327679:CKB327681 CTX327679:CTX327681 DDT327679:DDT327681 DNP327679:DNP327681 DXL327679:DXL327681 EHH327679:EHH327681 ERD327679:ERD327681 FAZ327679:FAZ327681 FKV327679:FKV327681 FUR327679:FUR327681 GEN327679:GEN327681 GOJ327679:GOJ327681 GYF327679:GYF327681 HIB327679:HIB327681 HRX327679:HRX327681 IBT327679:IBT327681 ILP327679:ILP327681 IVL327679:IVL327681 JFH327679:JFH327681 JPD327679:JPD327681 JYZ327679:JYZ327681 KIV327679:KIV327681 KSR327679:KSR327681 LCN327679:LCN327681 LMJ327679:LMJ327681 LWF327679:LWF327681 MGB327679:MGB327681 MPX327679:MPX327681 MZT327679:MZT327681 NJP327679:NJP327681 NTL327679:NTL327681 ODH327679:ODH327681 OND327679:OND327681 OWZ327679:OWZ327681 PGV327679:PGV327681 PQR327679:PQR327681 QAN327679:QAN327681 QKJ327679:QKJ327681 QUF327679:QUF327681 REB327679:REB327681 RNX327679:RNX327681 RXT327679:RXT327681 SHP327679:SHP327681 SRL327679:SRL327681 TBH327679:TBH327681 TLD327679:TLD327681 TUZ327679:TUZ327681 UEV327679:UEV327681 UOR327679:UOR327681 UYN327679:UYN327681 VIJ327679:VIJ327681 VSF327679:VSF327681 WCB327679:WCB327681 WLX327679:WLX327681 WVT327679:WVT327681 S393215:S393217 JH393215:JH393217 TD393215:TD393217 ACZ393215:ACZ393217 AMV393215:AMV393217 AWR393215:AWR393217 BGN393215:BGN393217 BQJ393215:BQJ393217 CAF393215:CAF393217 CKB393215:CKB393217 CTX393215:CTX393217 DDT393215:DDT393217 DNP393215:DNP393217 DXL393215:DXL393217 EHH393215:EHH393217 ERD393215:ERD393217 FAZ393215:FAZ393217 FKV393215:FKV393217 FUR393215:FUR393217 GEN393215:GEN393217 GOJ393215:GOJ393217 GYF393215:GYF393217 HIB393215:HIB393217 HRX393215:HRX393217 IBT393215:IBT393217 ILP393215:ILP393217 IVL393215:IVL393217 JFH393215:JFH393217 JPD393215:JPD393217 JYZ393215:JYZ393217 KIV393215:KIV393217 KSR393215:KSR393217 LCN393215:LCN393217 LMJ393215:LMJ393217 LWF393215:LWF393217 MGB393215:MGB393217 MPX393215:MPX393217 MZT393215:MZT393217 NJP393215:NJP393217 NTL393215:NTL393217 ODH393215:ODH393217 OND393215:OND393217 OWZ393215:OWZ393217 PGV393215:PGV393217 PQR393215:PQR393217 QAN393215:QAN393217 QKJ393215:QKJ393217 QUF393215:QUF393217 REB393215:REB393217 RNX393215:RNX393217 RXT393215:RXT393217 SHP393215:SHP393217 SRL393215:SRL393217 TBH393215:TBH393217 TLD393215:TLD393217 TUZ393215:TUZ393217 UEV393215:UEV393217 UOR393215:UOR393217 UYN393215:UYN393217 VIJ393215:VIJ393217 VSF393215:VSF393217 WCB393215:WCB393217 WLX393215:WLX393217 WVT393215:WVT393217 S458751:S458753 JH458751:JH458753 TD458751:TD458753 ACZ458751:ACZ458753 AMV458751:AMV458753 AWR458751:AWR458753 BGN458751:BGN458753 BQJ458751:BQJ458753 CAF458751:CAF458753 CKB458751:CKB458753 CTX458751:CTX458753 DDT458751:DDT458753 DNP458751:DNP458753 DXL458751:DXL458753 EHH458751:EHH458753 ERD458751:ERD458753 FAZ458751:FAZ458753 FKV458751:FKV458753 FUR458751:FUR458753 GEN458751:GEN458753 GOJ458751:GOJ458753 GYF458751:GYF458753 HIB458751:HIB458753 HRX458751:HRX458753 IBT458751:IBT458753 ILP458751:ILP458753 IVL458751:IVL458753 JFH458751:JFH458753 JPD458751:JPD458753 JYZ458751:JYZ458753 KIV458751:KIV458753 KSR458751:KSR458753 LCN458751:LCN458753 LMJ458751:LMJ458753 LWF458751:LWF458753 MGB458751:MGB458753 MPX458751:MPX458753 MZT458751:MZT458753 NJP458751:NJP458753 NTL458751:NTL458753 ODH458751:ODH458753 OND458751:OND458753 OWZ458751:OWZ458753 PGV458751:PGV458753 PQR458751:PQR458753 QAN458751:QAN458753 QKJ458751:QKJ458753 QUF458751:QUF458753 REB458751:REB458753 RNX458751:RNX458753 RXT458751:RXT458753 SHP458751:SHP458753 SRL458751:SRL458753 TBH458751:TBH458753 TLD458751:TLD458753 TUZ458751:TUZ458753 UEV458751:UEV458753 UOR458751:UOR458753 UYN458751:UYN458753 VIJ458751:VIJ458753 VSF458751:VSF458753 WCB458751:WCB458753 WLX458751:WLX458753 WVT458751:WVT458753 S524287:S524289 JH524287:JH524289 TD524287:TD524289 ACZ524287:ACZ524289 AMV524287:AMV524289 AWR524287:AWR524289 BGN524287:BGN524289 BQJ524287:BQJ524289 CAF524287:CAF524289 CKB524287:CKB524289 CTX524287:CTX524289 DDT524287:DDT524289 DNP524287:DNP524289 DXL524287:DXL524289 EHH524287:EHH524289 ERD524287:ERD524289 FAZ524287:FAZ524289 FKV524287:FKV524289 FUR524287:FUR524289 GEN524287:GEN524289 GOJ524287:GOJ524289 GYF524287:GYF524289 HIB524287:HIB524289 HRX524287:HRX524289 IBT524287:IBT524289 ILP524287:ILP524289 IVL524287:IVL524289 JFH524287:JFH524289 JPD524287:JPD524289 JYZ524287:JYZ524289 KIV524287:KIV524289 KSR524287:KSR524289 LCN524287:LCN524289 LMJ524287:LMJ524289 LWF524287:LWF524289 MGB524287:MGB524289 MPX524287:MPX524289 MZT524287:MZT524289 NJP524287:NJP524289 NTL524287:NTL524289 ODH524287:ODH524289 OND524287:OND524289 OWZ524287:OWZ524289 PGV524287:PGV524289 PQR524287:PQR524289 QAN524287:QAN524289 QKJ524287:QKJ524289 QUF524287:QUF524289 REB524287:REB524289 RNX524287:RNX524289 RXT524287:RXT524289 SHP524287:SHP524289 SRL524287:SRL524289 TBH524287:TBH524289 TLD524287:TLD524289 TUZ524287:TUZ524289 UEV524287:UEV524289 UOR524287:UOR524289 UYN524287:UYN524289 VIJ524287:VIJ524289 VSF524287:VSF524289 WCB524287:WCB524289 WLX524287:WLX524289 WVT524287:WVT524289 S589823:S589825 JH589823:JH589825 TD589823:TD589825 ACZ589823:ACZ589825 AMV589823:AMV589825 AWR589823:AWR589825 BGN589823:BGN589825 BQJ589823:BQJ589825 CAF589823:CAF589825 CKB589823:CKB589825 CTX589823:CTX589825 DDT589823:DDT589825 DNP589823:DNP589825 DXL589823:DXL589825 EHH589823:EHH589825 ERD589823:ERD589825 FAZ589823:FAZ589825 FKV589823:FKV589825 FUR589823:FUR589825 GEN589823:GEN589825 GOJ589823:GOJ589825 GYF589823:GYF589825 HIB589823:HIB589825 HRX589823:HRX589825 IBT589823:IBT589825 ILP589823:ILP589825 IVL589823:IVL589825 JFH589823:JFH589825 JPD589823:JPD589825 JYZ589823:JYZ589825 KIV589823:KIV589825 KSR589823:KSR589825 LCN589823:LCN589825 LMJ589823:LMJ589825 LWF589823:LWF589825 MGB589823:MGB589825 MPX589823:MPX589825 MZT589823:MZT589825 NJP589823:NJP589825 NTL589823:NTL589825 ODH589823:ODH589825 OND589823:OND589825 OWZ589823:OWZ589825 PGV589823:PGV589825 PQR589823:PQR589825 QAN589823:QAN589825 QKJ589823:QKJ589825 QUF589823:QUF589825 REB589823:REB589825 RNX589823:RNX589825 RXT589823:RXT589825 SHP589823:SHP589825 SRL589823:SRL589825 TBH589823:TBH589825 TLD589823:TLD589825 TUZ589823:TUZ589825 UEV589823:UEV589825 UOR589823:UOR589825 UYN589823:UYN589825 VIJ589823:VIJ589825 VSF589823:VSF589825 WCB589823:WCB589825 WLX589823:WLX589825 WVT589823:WVT589825 S655359:S655361 JH655359:JH655361 TD655359:TD655361 ACZ655359:ACZ655361 AMV655359:AMV655361 AWR655359:AWR655361 BGN655359:BGN655361 BQJ655359:BQJ655361 CAF655359:CAF655361 CKB655359:CKB655361 CTX655359:CTX655361 DDT655359:DDT655361 DNP655359:DNP655361 DXL655359:DXL655361 EHH655359:EHH655361 ERD655359:ERD655361 FAZ655359:FAZ655361 FKV655359:FKV655361 FUR655359:FUR655361 GEN655359:GEN655361 GOJ655359:GOJ655361 GYF655359:GYF655361 HIB655359:HIB655361 HRX655359:HRX655361 IBT655359:IBT655361 ILP655359:ILP655361 IVL655359:IVL655361 JFH655359:JFH655361 JPD655359:JPD655361 JYZ655359:JYZ655361 KIV655359:KIV655361 KSR655359:KSR655361 LCN655359:LCN655361 LMJ655359:LMJ655361 LWF655359:LWF655361 MGB655359:MGB655361 MPX655359:MPX655361 MZT655359:MZT655361 NJP655359:NJP655361 NTL655359:NTL655361 ODH655359:ODH655361 OND655359:OND655361 OWZ655359:OWZ655361 PGV655359:PGV655361 PQR655359:PQR655361 QAN655359:QAN655361 QKJ655359:QKJ655361 QUF655359:QUF655361 REB655359:REB655361 RNX655359:RNX655361 RXT655359:RXT655361 SHP655359:SHP655361 SRL655359:SRL655361 TBH655359:TBH655361 TLD655359:TLD655361 TUZ655359:TUZ655361 UEV655359:UEV655361 UOR655359:UOR655361 UYN655359:UYN655361 VIJ655359:VIJ655361 VSF655359:VSF655361 WCB655359:WCB655361 WLX655359:WLX655361 WVT655359:WVT655361 S720895:S720897 JH720895:JH720897 TD720895:TD720897 ACZ720895:ACZ720897 AMV720895:AMV720897 AWR720895:AWR720897 BGN720895:BGN720897 BQJ720895:BQJ720897 CAF720895:CAF720897 CKB720895:CKB720897 CTX720895:CTX720897 DDT720895:DDT720897 DNP720895:DNP720897 DXL720895:DXL720897 EHH720895:EHH720897 ERD720895:ERD720897 FAZ720895:FAZ720897 FKV720895:FKV720897 FUR720895:FUR720897 GEN720895:GEN720897 GOJ720895:GOJ720897 GYF720895:GYF720897 HIB720895:HIB720897 HRX720895:HRX720897 IBT720895:IBT720897 ILP720895:ILP720897 IVL720895:IVL720897 JFH720895:JFH720897 JPD720895:JPD720897 JYZ720895:JYZ720897 KIV720895:KIV720897 KSR720895:KSR720897 LCN720895:LCN720897 LMJ720895:LMJ720897 LWF720895:LWF720897 MGB720895:MGB720897 MPX720895:MPX720897 MZT720895:MZT720897 NJP720895:NJP720897 NTL720895:NTL720897 ODH720895:ODH720897 OND720895:OND720897 OWZ720895:OWZ720897 PGV720895:PGV720897 PQR720895:PQR720897 QAN720895:QAN720897 QKJ720895:QKJ720897 QUF720895:QUF720897 REB720895:REB720897 RNX720895:RNX720897 RXT720895:RXT720897 SHP720895:SHP720897 SRL720895:SRL720897 TBH720895:TBH720897 TLD720895:TLD720897 TUZ720895:TUZ720897 UEV720895:UEV720897 UOR720895:UOR720897 UYN720895:UYN720897 VIJ720895:VIJ720897 VSF720895:VSF720897 WCB720895:WCB720897 WLX720895:WLX720897 WVT720895:WVT720897 S786431:S786433 JH786431:JH786433 TD786431:TD786433 ACZ786431:ACZ786433 AMV786431:AMV786433 AWR786431:AWR786433 BGN786431:BGN786433 BQJ786431:BQJ786433 CAF786431:CAF786433 CKB786431:CKB786433 CTX786431:CTX786433 DDT786431:DDT786433 DNP786431:DNP786433 DXL786431:DXL786433 EHH786431:EHH786433 ERD786431:ERD786433 FAZ786431:FAZ786433 FKV786431:FKV786433 FUR786431:FUR786433 GEN786431:GEN786433 GOJ786431:GOJ786433 GYF786431:GYF786433 HIB786431:HIB786433 HRX786431:HRX786433 IBT786431:IBT786433 ILP786431:ILP786433 IVL786431:IVL786433 JFH786431:JFH786433 JPD786431:JPD786433 JYZ786431:JYZ786433 KIV786431:KIV786433 KSR786431:KSR786433 LCN786431:LCN786433 LMJ786431:LMJ786433 LWF786431:LWF786433 MGB786431:MGB786433 MPX786431:MPX786433 MZT786431:MZT786433 NJP786431:NJP786433 NTL786431:NTL786433 ODH786431:ODH786433 OND786431:OND786433 OWZ786431:OWZ786433 PGV786431:PGV786433 PQR786431:PQR786433 QAN786431:QAN786433 QKJ786431:QKJ786433 QUF786431:QUF786433 REB786431:REB786433 RNX786431:RNX786433 RXT786431:RXT786433 SHP786431:SHP786433 SRL786431:SRL786433 TBH786431:TBH786433 TLD786431:TLD786433 TUZ786431:TUZ786433 UEV786431:UEV786433 UOR786431:UOR786433 UYN786431:UYN786433 VIJ786431:VIJ786433 VSF786431:VSF786433 WCB786431:WCB786433 WLX786431:WLX786433 WVT786431:WVT786433 S851967:S851969 JH851967:JH851969 TD851967:TD851969 ACZ851967:ACZ851969 AMV851967:AMV851969 AWR851967:AWR851969 BGN851967:BGN851969 BQJ851967:BQJ851969 CAF851967:CAF851969 CKB851967:CKB851969 CTX851967:CTX851969 DDT851967:DDT851969 DNP851967:DNP851969 DXL851967:DXL851969 EHH851967:EHH851969 ERD851967:ERD851969 FAZ851967:FAZ851969 FKV851967:FKV851969 FUR851967:FUR851969 GEN851967:GEN851969 GOJ851967:GOJ851969 GYF851967:GYF851969 HIB851967:HIB851969 HRX851967:HRX851969 IBT851967:IBT851969 ILP851967:ILP851969 IVL851967:IVL851969 JFH851967:JFH851969 JPD851967:JPD851969 JYZ851967:JYZ851969 KIV851967:KIV851969 KSR851967:KSR851969 LCN851967:LCN851969 LMJ851967:LMJ851969 LWF851967:LWF851969 MGB851967:MGB851969 MPX851967:MPX851969 MZT851967:MZT851969 NJP851967:NJP851969 NTL851967:NTL851969 ODH851967:ODH851969 OND851967:OND851969 OWZ851967:OWZ851969 PGV851967:PGV851969 PQR851967:PQR851969 QAN851967:QAN851969 QKJ851967:QKJ851969 QUF851967:QUF851969 REB851967:REB851969 RNX851967:RNX851969 RXT851967:RXT851969 SHP851967:SHP851969 SRL851967:SRL851969 TBH851967:TBH851969 TLD851967:TLD851969 TUZ851967:TUZ851969 UEV851967:UEV851969 UOR851967:UOR851969 UYN851967:UYN851969 VIJ851967:VIJ851969 VSF851967:VSF851969 WCB851967:WCB851969 WLX851967:WLX851969 WVT851967:WVT851969 S917503:S917505 JH917503:JH917505 TD917503:TD917505 ACZ917503:ACZ917505 AMV917503:AMV917505 AWR917503:AWR917505 BGN917503:BGN917505 BQJ917503:BQJ917505 CAF917503:CAF917505 CKB917503:CKB917505 CTX917503:CTX917505 DDT917503:DDT917505 DNP917503:DNP917505 DXL917503:DXL917505 EHH917503:EHH917505 ERD917503:ERD917505 FAZ917503:FAZ917505 FKV917503:FKV917505 FUR917503:FUR917505 GEN917503:GEN917505 GOJ917503:GOJ917505 GYF917503:GYF917505 HIB917503:HIB917505 HRX917503:HRX917505 IBT917503:IBT917505 ILP917503:ILP917505 IVL917503:IVL917505 JFH917503:JFH917505 JPD917503:JPD917505 JYZ917503:JYZ917505 KIV917503:KIV917505 KSR917503:KSR917505 LCN917503:LCN917505 LMJ917503:LMJ917505 LWF917503:LWF917505 MGB917503:MGB917505 MPX917503:MPX917505 MZT917503:MZT917505 NJP917503:NJP917505 NTL917503:NTL917505 ODH917503:ODH917505 OND917503:OND917505 OWZ917503:OWZ917505 PGV917503:PGV917505 PQR917503:PQR917505 QAN917503:QAN917505 QKJ917503:QKJ917505 QUF917503:QUF917505 REB917503:REB917505 RNX917503:RNX917505 RXT917503:RXT917505 SHP917503:SHP917505 SRL917503:SRL917505 TBH917503:TBH917505 TLD917503:TLD917505 TUZ917503:TUZ917505 UEV917503:UEV917505 UOR917503:UOR917505 UYN917503:UYN917505 VIJ917503:VIJ917505 VSF917503:VSF917505 WCB917503:WCB917505 WLX917503:WLX917505 WVT917503:WVT917505 S983039:S983041 JH983039:JH983041 TD983039:TD983041 ACZ983039:ACZ983041 AMV983039:AMV983041 AWR983039:AWR983041 BGN983039:BGN983041 BQJ983039:BQJ983041 CAF983039:CAF983041 CKB983039:CKB983041 CTX983039:CTX983041 DDT983039:DDT983041 DNP983039:DNP983041 DXL983039:DXL983041 EHH983039:EHH983041 ERD983039:ERD983041 FAZ983039:FAZ983041 FKV983039:FKV983041 FUR983039:FUR983041 GEN983039:GEN983041 GOJ983039:GOJ983041 GYF983039:GYF983041 HIB983039:HIB983041 HRX983039:HRX983041 IBT983039:IBT983041 ILP983039:ILP983041 IVL983039:IVL983041 JFH983039:JFH983041 JPD983039:JPD983041 JYZ983039:JYZ983041 KIV983039:KIV983041 KSR983039:KSR983041 LCN983039:LCN983041 LMJ983039:LMJ983041 LWF983039:LWF983041 MGB983039:MGB983041 MPX983039:MPX983041 MZT983039:MZT983041 NJP983039:NJP983041 NTL983039:NTL983041 ODH983039:ODH983041 OND983039:OND983041 OWZ983039:OWZ983041 PGV983039:PGV983041 PQR983039:PQR983041 QAN983039:QAN983041 QKJ983039:QKJ983041 QUF983039:QUF983041 REB983039:REB983041 RNX983039:RNX983041 RXT983039:RXT983041 SHP983039:SHP983041 SRL983039:SRL983041 TBH983039:TBH983041 TLD983039:TLD983041 TUZ983039:TUZ983041 UEV983039:UEV983041 UOR983039:UOR983041 UYN983039:UYN983041 VIJ983039:VIJ983041 VSF983039:VSF983041 WCB983039:WCB983041 WLX983039:WLX983041 WVT983039:WVT983041 U65541:U65564 JJ65541:JJ65564 TF65541:TF65564 ADB65541:ADB65564 AMX65541:AMX65564 AWT65541:AWT65564 BGP65541:BGP65564 BQL65541:BQL65564 CAH65541:CAH65564 CKD65541:CKD65564 CTZ65541:CTZ65564 DDV65541:DDV65564 DNR65541:DNR65564 DXN65541:DXN65564 EHJ65541:EHJ65564 ERF65541:ERF65564 FBB65541:FBB65564 FKX65541:FKX65564 FUT65541:FUT65564 GEP65541:GEP65564 GOL65541:GOL65564 GYH65541:GYH65564 HID65541:HID65564 HRZ65541:HRZ65564 IBV65541:IBV65564 ILR65541:ILR65564 IVN65541:IVN65564 JFJ65541:JFJ65564 JPF65541:JPF65564 JZB65541:JZB65564 KIX65541:KIX65564 KST65541:KST65564 LCP65541:LCP65564 LML65541:LML65564 LWH65541:LWH65564 MGD65541:MGD65564 MPZ65541:MPZ65564 MZV65541:MZV65564 NJR65541:NJR65564 NTN65541:NTN65564 ODJ65541:ODJ65564 ONF65541:ONF65564 OXB65541:OXB65564 PGX65541:PGX65564 PQT65541:PQT65564 QAP65541:QAP65564 QKL65541:QKL65564 QUH65541:QUH65564 RED65541:RED65564 RNZ65541:RNZ65564 RXV65541:RXV65564 SHR65541:SHR65564 SRN65541:SRN65564 TBJ65541:TBJ65564 TLF65541:TLF65564 TVB65541:TVB65564 UEX65541:UEX65564 UOT65541:UOT65564 UYP65541:UYP65564 VIL65541:VIL65564 VSH65541:VSH65564 WCD65541:WCD65564 WLZ65541:WLZ65564 WVV65541:WVV65564 U131077:U131100 JJ131077:JJ131100 TF131077:TF131100 ADB131077:ADB131100 AMX131077:AMX131100 AWT131077:AWT131100 BGP131077:BGP131100 BQL131077:BQL131100 CAH131077:CAH131100 CKD131077:CKD131100 CTZ131077:CTZ131100 DDV131077:DDV131100 DNR131077:DNR131100 DXN131077:DXN131100 EHJ131077:EHJ131100 ERF131077:ERF131100 FBB131077:FBB131100 FKX131077:FKX131100 FUT131077:FUT131100 GEP131077:GEP131100 GOL131077:GOL131100 GYH131077:GYH131100 HID131077:HID131100 HRZ131077:HRZ131100 IBV131077:IBV131100 ILR131077:ILR131100 IVN131077:IVN131100 JFJ131077:JFJ131100 JPF131077:JPF131100 JZB131077:JZB131100 KIX131077:KIX131100 KST131077:KST131100 LCP131077:LCP131100 LML131077:LML131100 LWH131077:LWH131100 MGD131077:MGD131100 MPZ131077:MPZ131100 MZV131077:MZV131100 NJR131077:NJR131100 NTN131077:NTN131100 ODJ131077:ODJ131100 ONF131077:ONF131100 OXB131077:OXB131100 PGX131077:PGX131100 PQT131077:PQT131100 QAP131077:QAP131100 QKL131077:QKL131100 QUH131077:QUH131100 RED131077:RED131100 RNZ131077:RNZ131100 RXV131077:RXV131100 SHR131077:SHR131100 SRN131077:SRN131100 TBJ131077:TBJ131100 TLF131077:TLF131100 TVB131077:TVB131100 UEX131077:UEX131100 UOT131077:UOT131100 UYP131077:UYP131100 VIL131077:VIL131100 VSH131077:VSH131100 WCD131077:WCD131100 WLZ131077:WLZ131100 WVV131077:WVV131100 U196613:U196636 JJ196613:JJ196636 TF196613:TF196636 ADB196613:ADB196636 AMX196613:AMX196636 AWT196613:AWT196636 BGP196613:BGP196636 BQL196613:BQL196636 CAH196613:CAH196636 CKD196613:CKD196636 CTZ196613:CTZ196636 DDV196613:DDV196636 DNR196613:DNR196636 DXN196613:DXN196636 EHJ196613:EHJ196636 ERF196613:ERF196636 FBB196613:FBB196636 FKX196613:FKX196636 FUT196613:FUT196636 GEP196613:GEP196636 GOL196613:GOL196636 GYH196613:GYH196636 HID196613:HID196636 HRZ196613:HRZ196636 IBV196613:IBV196636 ILR196613:ILR196636 IVN196613:IVN196636 JFJ196613:JFJ196636 JPF196613:JPF196636 JZB196613:JZB196636 KIX196613:KIX196636 KST196613:KST196636 LCP196613:LCP196636 LML196613:LML196636 LWH196613:LWH196636 MGD196613:MGD196636 MPZ196613:MPZ196636 MZV196613:MZV196636 NJR196613:NJR196636 NTN196613:NTN196636 ODJ196613:ODJ196636 ONF196613:ONF196636 OXB196613:OXB196636 PGX196613:PGX196636 PQT196613:PQT196636 QAP196613:QAP196636 QKL196613:QKL196636 QUH196613:QUH196636 RED196613:RED196636 RNZ196613:RNZ196636 RXV196613:RXV196636 SHR196613:SHR196636 SRN196613:SRN196636 TBJ196613:TBJ196636 TLF196613:TLF196636 TVB196613:TVB196636 UEX196613:UEX196636 UOT196613:UOT196636 UYP196613:UYP196636 VIL196613:VIL196636 VSH196613:VSH196636 WCD196613:WCD196636 WLZ196613:WLZ196636 WVV196613:WVV196636 U262149:U262172 JJ262149:JJ262172 TF262149:TF262172 ADB262149:ADB262172 AMX262149:AMX262172 AWT262149:AWT262172 BGP262149:BGP262172 BQL262149:BQL262172 CAH262149:CAH262172 CKD262149:CKD262172 CTZ262149:CTZ262172 DDV262149:DDV262172 DNR262149:DNR262172 DXN262149:DXN262172 EHJ262149:EHJ262172 ERF262149:ERF262172 FBB262149:FBB262172 FKX262149:FKX262172 FUT262149:FUT262172 GEP262149:GEP262172 GOL262149:GOL262172 GYH262149:GYH262172 HID262149:HID262172 HRZ262149:HRZ262172 IBV262149:IBV262172 ILR262149:ILR262172 IVN262149:IVN262172 JFJ262149:JFJ262172 JPF262149:JPF262172 JZB262149:JZB262172 KIX262149:KIX262172 KST262149:KST262172 LCP262149:LCP262172 LML262149:LML262172 LWH262149:LWH262172 MGD262149:MGD262172 MPZ262149:MPZ262172 MZV262149:MZV262172 NJR262149:NJR262172 NTN262149:NTN262172 ODJ262149:ODJ262172 ONF262149:ONF262172 OXB262149:OXB262172 PGX262149:PGX262172 PQT262149:PQT262172 QAP262149:QAP262172 QKL262149:QKL262172 QUH262149:QUH262172 RED262149:RED262172 RNZ262149:RNZ262172 RXV262149:RXV262172 SHR262149:SHR262172 SRN262149:SRN262172 TBJ262149:TBJ262172 TLF262149:TLF262172 TVB262149:TVB262172 UEX262149:UEX262172 UOT262149:UOT262172 UYP262149:UYP262172 VIL262149:VIL262172 VSH262149:VSH262172 WCD262149:WCD262172 WLZ262149:WLZ262172 WVV262149:WVV262172 U327685:U327708 JJ327685:JJ327708 TF327685:TF327708 ADB327685:ADB327708 AMX327685:AMX327708 AWT327685:AWT327708 BGP327685:BGP327708 BQL327685:BQL327708 CAH327685:CAH327708 CKD327685:CKD327708 CTZ327685:CTZ327708 DDV327685:DDV327708 DNR327685:DNR327708 DXN327685:DXN327708 EHJ327685:EHJ327708 ERF327685:ERF327708 FBB327685:FBB327708 FKX327685:FKX327708 FUT327685:FUT327708 GEP327685:GEP327708 GOL327685:GOL327708 GYH327685:GYH327708 HID327685:HID327708 HRZ327685:HRZ327708 IBV327685:IBV327708 ILR327685:ILR327708 IVN327685:IVN327708 JFJ327685:JFJ327708 JPF327685:JPF327708 JZB327685:JZB327708 KIX327685:KIX327708 KST327685:KST327708 LCP327685:LCP327708 LML327685:LML327708 LWH327685:LWH327708 MGD327685:MGD327708 MPZ327685:MPZ327708 MZV327685:MZV327708 NJR327685:NJR327708 NTN327685:NTN327708 ODJ327685:ODJ327708 ONF327685:ONF327708 OXB327685:OXB327708 PGX327685:PGX327708 PQT327685:PQT327708 QAP327685:QAP327708 QKL327685:QKL327708 QUH327685:QUH327708 RED327685:RED327708 RNZ327685:RNZ327708 RXV327685:RXV327708 SHR327685:SHR327708 SRN327685:SRN327708 TBJ327685:TBJ327708 TLF327685:TLF327708 TVB327685:TVB327708 UEX327685:UEX327708 UOT327685:UOT327708 UYP327685:UYP327708 VIL327685:VIL327708 VSH327685:VSH327708 WCD327685:WCD327708 WLZ327685:WLZ327708 WVV327685:WVV327708 U393221:U393244 JJ393221:JJ393244 TF393221:TF393244 ADB393221:ADB393244 AMX393221:AMX393244 AWT393221:AWT393244 BGP393221:BGP393244 BQL393221:BQL393244 CAH393221:CAH393244 CKD393221:CKD393244 CTZ393221:CTZ393244 DDV393221:DDV393244 DNR393221:DNR393244 DXN393221:DXN393244 EHJ393221:EHJ393244 ERF393221:ERF393244 FBB393221:FBB393244 FKX393221:FKX393244 FUT393221:FUT393244 GEP393221:GEP393244 GOL393221:GOL393244 GYH393221:GYH393244 HID393221:HID393244 HRZ393221:HRZ393244 IBV393221:IBV393244 ILR393221:ILR393244 IVN393221:IVN393244 JFJ393221:JFJ393244 JPF393221:JPF393244 JZB393221:JZB393244 KIX393221:KIX393244 KST393221:KST393244 LCP393221:LCP393244 LML393221:LML393244 LWH393221:LWH393244 MGD393221:MGD393244 MPZ393221:MPZ393244 MZV393221:MZV393244 NJR393221:NJR393244 NTN393221:NTN393244 ODJ393221:ODJ393244 ONF393221:ONF393244 OXB393221:OXB393244 PGX393221:PGX393244 PQT393221:PQT393244 QAP393221:QAP393244 QKL393221:QKL393244 QUH393221:QUH393244 RED393221:RED393244 RNZ393221:RNZ393244 RXV393221:RXV393244 SHR393221:SHR393244 SRN393221:SRN393244 TBJ393221:TBJ393244 TLF393221:TLF393244 TVB393221:TVB393244 UEX393221:UEX393244 UOT393221:UOT393244 UYP393221:UYP393244 VIL393221:VIL393244 VSH393221:VSH393244 WCD393221:WCD393244 WLZ393221:WLZ393244 WVV393221:WVV393244 U458757:U458780 JJ458757:JJ458780 TF458757:TF458780 ADB458757:ADB458780 AMX458757:AMX458780 AWT458757:AWT458780 BGP458757:BGP458780 BQL458757:BQL458780 CAH458757:CAH458780 CKD458757:CKD458780 CTZ458757:CTZ458780 DDV458757:DDV458780 DNR458757:DNR458780 DXN458757:DXN458780 EHJ458757:EHJ458780 ERF458757:ERF458780 FBB458757:FBB458780 FKX458757:FKX458780 FUT458757:FUT458780 GEP458757:GEP458780 GOL458757:GOL458780 GYH458757:GYH458780 HID458757:HID458780 HRZ458757:HRZ458780 IBV458757:IBV458780 ILR458757:ILR458780 IVN458757:IVN458780 JFJ458757:JFJ458780 JPF458757:JPF458780 JZB458757:JZB458780 KIX458757:KIX458780 KST458757:KST458780 LCP458757:LCP458780 LML458757:LML458780 LWH458757:LWH458780 MGD458757:MGD458780 MPZ458757:MPZ458780 MZV458757:MZV458780 NJR458757:NJR458780 NTN458757:NTN458780 ODJ458757:ODJ458780 ONF458757:ONF458780 OXB458757:OXB458780 PGX458757:PGX458780 PQT458757:PQT458780 QAP458757:QAP458780 QKL458757:QKL458780 QUH458757:QUH458780 RED458757:RED458780 RNZ458757:RNZ458780 RXV458757:RXV458780 SHR458757:SHR458780 SRN458757:SRN458780 TBJ458757:TBJ458780 TLF458757:TLF458780 TVB458757:TVB458780 UEX458757:UEX458780 UOT458757:UOT458780 UYP458757:UYP458780 VIL458757:VIL458780 VSH458757:VSH458780 WCD458757:WCD458780 WLZ458757:WLZ458780 WVV458757:WVV458780 U524293:U524316 JJ524293:JJ524316 TF524293:TF524316 ADB524293:ADB524316 AMX524293:AMX524316 AWT524293:AWT524316 BGP524293:BGP524316 BQL524293:BQL524316 CAH524293:CAH524316 CKD524293:CKD524316 CTZ524293:CTZ524316 DDV524293:DDV524316 DNR524293:DNR524316 DXN524293:DXN524316 EHJ524293:EHJ524316 ERF524293:ERF524316 FBB524293:FBB524316 FKX524293:FKX524316 FUT524293:FUT524316 GEP524293:GEP524316 GOL524293:GOL524316 GYH524293:GYH524316 HID524293:HID524316 HRZ524293:HRZ524316 IBV524293:IBV524316 ILR524293:ILR524316 IVN524293:IVN524316 JFJ524293:JFJ524316 JPF524293:JPF524316 JZB524293:JZB524316 KIX524293:KIX524316 KST524293:KST524316 LCP524293:LCP524316 LML524293:LML524316 LWH524293:LWH524316 MGD524293:MGD524316 MPZ524293:MPZ524316 MZV524293:MZV524316 NJR524293:NJR524316 NTN524293:NTN524316 ODJ524293:ODJ524316 ONF524293:ONF524316 OXB524293:OXB524316 PGX524293:PGX524316 PQT524293:PQT524316 QAP524293:QAP524316 QKL524293:QKL524316 QUH524293:QUH524316 RED524293:RED524316 RNZ524293:RNZ524316 RXV524293:RXV524316 SHR524293:SHR524316 SRN524293:SRN524316 TBJ524293:TBJ524316 TLF524293:TLF524316 TVB524293:TVB524316 UEX524293:UEX524316 UOT524293:UOT524316 UYP524293:UYP524316 VIL524293:VIL524316 VSH524293:VSH524316 WCD524293:WCD524316 WLZ524293:WLZ524316 WVV524293:WVV524316 U589829:U589852 JJ589829:JJ589852 TF589829:TF589852 ADB589829:ADB589852 AMX589829:AMX589852 AWT589829:AWT589852 BGP589829:BGP589852 BQL589829:BQL589852 CAH589829:CAH589852 CKD589829:CKD589852 CTZ589829:CTZ589852 DDV589829:DDV589852 DNR589829:DNR589852 DXN589829:DXN589852 EHJ589829:EHJ589852 ERF589829:ERF589852 FBB589829:FBB589852 FKX589829:FKX589852 FUT589829:FUT589852 GEP589829:GEP589852 GOL589829:GOL589852 GYH589829:GYH589852 HID589829:HID589852 HRZ589829:HRZ589852 IBV589829:IBV589852 ILR589829:ILR589852 IVN589829:IVN589852 JFJ589829:JFJ589852 JPF589829:JPF589852 JZB589829:JZB589852 KIX589829:KIX589852 KST589829:KST589852 LCP589829:LCP589852 LML589829:LML589852 LWH589829:LWH589852 MGD589829:MGD589852 MPZ589829:MPZ589852 MZV589829:MZV589852 NJR589829:NJR589852 NTN589829:NTN589852 ODJ589829:ODJ589852 ONF589829:ONF589852 OXB589829:OXB589852 PGX589829:PGX589852 PQT589829:PQT589852 QAP589829:QAP589852 QKL589829:QKL589852 QUH589829:QUH589852 RED589829:RED589852 RNZ589829:RNZ589852 RXV589829:RXV589852 SHR589829:SHR589852 SRN589829:SRN589852 TBJ589829:TBJ589852 TLF589829:TLF589852 TVB589829:TVB589852 UEX589829:UEX589852 UOT589829:UOT589852 UYP589829:UYP589852 VIL589829:VIL589852 VSH589829:VSH589852 WCD589829:WCD589852 WLZ589829:WLZ589852 WVV589829:WVV589852 U655365:U655388 JJ655365:JJ655388 TF655365:TF655388 ADB655365:ADB655388 AMX655365:AMX655388 AWT655365:AWT655388 BGP655365:BGP655388 BQL655365:BQL655388 CAH655365:CAH655388 CKD655365:CKD655388 CTZ655365:CTZ655388 DDV655365:DDV655388 DNR655365:DNR655388 DXN655365:DXN655388 EHJ655365:EHJ655388 ERF655365:ERF655388 FBB655365:FBB655388 FKX655365:FKX655388 FUT655365:FUT655388 GEP655365:GEP655388 GOL655365:GOL655388 GYH655365:GYH655388 HID655365:HID655388 HRZ655365:HRZ655388 IBV655365:IBV655388 ILR655365:ILR655388 IVN655365:IVN655388 JFJ655365:JFJ655388 JPF655365:JPF655388 JZB655365:JZB655388 KIX655365:KIX655388 KST655365:KST655388 LCP655365:LCP655388 LML655365:LML655388 LWH655365:LWH655388 MGD655365:MGD655388 MPZ655365:MPZ655388 MZV655365:MZV655388 NJR655365:NJR655388 NTN655365:NTN655388 ODJ655365:ODJ655388 ONF655365:ONF655388 OXB655365:OXB655388 PGX655365:PGX655388 PQT655365:PQT655388 QAP655365:QAP655388 QKL655365:QKL655388 QUH655365:QUH655388 RED655365:RED655388 RNZ655365:RNZ655388 RXV655365:RXV655388 SHR655365:SHR655388 SRN655365:SRN655388 TBJ655365:TBJ655388 TLF655365:TLF655388 TVB655365:TVB655388 UEX655365:UEX655388 UOT655365:UOT655388 UYP655365:UYP655388 VIL655365:VIL655388 VSH655365:VSH655388 WCD655365:WCD655388 WLZ655365:WLZ655388 WVV655365:WVV655388 U720901:U720924 JJ720901:JJ720924 TF720901:TF720924 ADB720901:ADB720924 AMX720901:AMX720924 AWT720901:AWT720924 BGP720901:BGP720924 BQL720901:BQL720924 CAH720901:CAH720924 CKD720901:CKD720924 CTZ720901:CTZ720924 DDV720901:DDV720924 DNR720901:DNR720924 DXN720901:DXN720924 EHJ720901:EHJ720924 ERF720901:ERF720924 FBB720901:FBB720924 FKX720901:FKX720924 FUT720901:FUT720924 GEP720901:GEP720924 GOL720901:GOL720924 GYH720901:GYH720924 HID720901:HID720924 HRZ720901:HRZ720924 IBV720901:IBV720924 ILR720901:ILR720924 IVN720901:IVN720924 JFJ720901:JFJ720924 JPF720901:JPF720924 JZB720901:JZB720924 KIX720901:KIX720924 KST720901:KST720924 LCP720901:LCP720924 LML720901:LML720924 LWH720901:LWH720924 MGD720901:MGD720924 MPZ720901:MPZ720924 MZV720901:MZV720924 NJR720901:NJR720924 NTN720901:NTN720924 ODJ720901:ODJ720924 ONF720901:ONF720924 OXB720901:OXB720924 PGX720901:PGX720924 PQT720901:PQT720924 QAP720901:QAP720924 QKL720901:QKL720924 QUH720901:QUH720924 RED720901:RED720924 RNZ720901:RNZ720924 RXV720901:RXV720924 SHR720901:SHR720924 SRN720901:SRN720924 TBJ720901:TBJ720924 TLF720901:TLF720924 TVB720901:TVB720924 UEX720901:UEX720924 UOT720901:UOT720924 UYP720901:UYP720924 VIL720901:VIL720924 VSH720901:VSH720924 WCD720901:WCD720924 WLZ720901:WLZ720924 WVV720901:WVV720924 U786437:U786460 JJ786437:JJ786460 TF786437:TF786460 ADB786437:ADB786460 AMX786437:AMX786460 AWT786437:AWT786460 BGP786437:BGP786460 BQL786437:BQL786460 CAH786437:CAH786460 CKD786437:CKD786460 CTZ786437:CTZ786460 DDV786437:DDV786460 DNR786437:DNR786460 DXN786437:DXN786460 EHJ786437:EHJ786460 ERF786437:ERF786460 FBB786437:FBB786460 FKX786437:FKX786460 FUT786437:FUT786460 GEP786437:GEP786460 GOL786437:GOL786460 GYH786437:GYH786460 HID786437:HID786460 HRZ786437:HRZ786460 IBV786437:IBV786460 ILR786437:ILR786460 IVN786437:IVN786460 JFJ786437:JFJ786460 JPF786437:JPF786460 JZB786437:JZB786460 KIX786437:KIX786460 KST786437:KST786460 LCP786437:LCP786460 LML786437:LML786460 LWH786437:LWH786460 MGD786437:MGD786460 MPZ786437:MPZ786460 MZV786437:MZV786460 NJR786437:NJR786460 NTN786437:NTN786460 ODJ786437:ODJ786460 ONF786437:ONF786460 OXB786437:OXB786460 PGX786437:PGX786460 PQT786437:PQT786460 QAP786437:QAP786460 QKL786437:QKL786460 QUH786437:QUH786460 RED786437:RED786460 RNZ786437:RNZ786460 RXV786437:RXV786460 SHR786437:SHR786460 SRN786437:SRN786460 TBJ786437:TBJ786460 TLF786437:TLF786460 TVB786437:TVB786460 UEX786437:UEX786460 UOT786437:UOT786460 UYP786437:UYP786460 VIL786437:VIL786460 VSH786437:VSH786460 WCD786437:WCD786460 WLZ786437:WLZ786460 WVV786437:WVV786460 U851973:U851996 JJ851973:JJ851996 TF851973:TF851996 ADB851973:ADB851996 AMX851973:AMX851996 AWT851973:AWT851996 BGP851973:BGP851996 BQL851973:BQL851996 CAH851973:CAH851996 CKD851973:CKD851996 CTZ851973:CTZ851996 DDV851973:DDV851996 DNR851973:DNR851996 DXN851973:DXN851996 EHJ851973:EHJ851996 ERF851973:ERF851996 FBB851973:FBB851996 FKX851973:FKX851996 FUT851973:FUT851996 GEP851973:GEP851996 GOL851973:GOL851996 GYH851973:GYH851996 HID851973:HID851996 HRZ851973:HRZ851996 IBV851973:IBV851996 ILR851973:ILR851996 IVN851973:IVN851996 JFJ851973:JFJ851996 JPF851973:JPF851996 JZB851973:JZB851996 KIX851973:KIX851996 KST851973:KST851996 LCP851973:LCP851996 LML851973:LML851996 LWH851973:LWH851996 MGD851973:MGD851996 MPZ851973:MPZ851996 MZV851973:MZV851996 NJR851973:NJR851996 NTN851973:NTN851996 ODJ851973:ODJ851996 ONF851973:ONF851996 OXB851973:OXB851996 PGX851973:PGX851996 PQT851973:PQT851996 QAP851973:QAP851996 QKL851973:QKL851996 QUH851973:QUH851996 RED851973:RED851996 RNZ851973:RNZ851996 RXV851973:RXV851996 SHR851973:SHR851996 SRN851973:SRN851996 TBJ851973:TBJ851996 TLF851973:TLF851996 TVB851973:TVB851996 UEX851973:UEX851996 UOT851973:UOT851996 UYP851973:UYP851996 VIL851973:VIL851996 VSH851973:VSH851996 WCD851973:WCD851996 WLZ851973:WLZ851996 WVV851973:WVV851996 U917509:U917532 JJ917509:JJ917532 TF917509:TF917532 ADB917509:ADB917532 AMX917509:AMX917532 AWT917509:AWT917532 BGP917509:BGP917532 BQL917509:BQL917532 CAH917509:CAH917532 CKD917509:CKD917532 CTZ917509:CTZ917532 DDV917509:DDV917532 DNR917509:DNR917532 DXN917509:DXN917532 EHJ917509:EHJ917532 ERF917509:ERF917532 FBB917509:FBB917532 FKX917509:FKX917532 FUT917509:FUT917532 GEP917509:GEP917532 GOL917509:GOL917532 GYH917509:GYH917532 HID917509:HID917532 HRZ917509:HRZ917532 IBV917509:IBV917532 ILR917509:ILR917532 IVN917509:IVN917532 JFJ917509:JFJ917532 JPF917509:JPF917532 JZB917509:JZB917532 KIX917509:KIX917532 KST917509:KST917532 LCP917509:LCP917532 LML917509:LML917532 LWH917509:LWH917532 MGD917509:MGD917532 MPZ917509:MPZ917532 MZV917509:MZV917532 NJR917509:NJR917532 NTN917509:NTN917532 ODJ917509:ODJ917532 ONF917509:ONF917532 OXB917509:OXB917532 PGX917509:PGX917532 PQT917509:PQT917532 QAP917509:QAP917532 QKL917509:QKL917532 QUH917509:QUH917532 RED917509:RED917532 RNZ917509:RNZ917532 RXV917509:RXV917532 SHR917509:SHR917532 SRN917509:SRN917532 TBJ917509:TBJ917532 TLF917509:TLF917532 TVB917509:TVB917532 UEX917509:UEX917532 UOT917509:UOT917532 UYP917509:UYP917532 VIL917509:VIL917532 VSH917509:VSH917532 WCD917509:WCD917532 WLZ917509:WLZ917532 WVV917509:WVV917532 U983045:U983068 JJ983045:JJ983068 TF983045:TF983068 ADB983045:ADB983068 AMX983045:AMX983068 AWT983045:AWT983068 BGP983045:BGP983068 BQL983045:BQL983068 CAH983045:CAH983068 CKD983045:CKD983068 CTZ983045:CTZ983068 DDV983045:DDV983068 DNR983045:DNR983068 DXN983045:DXN983068 EHJ983045:EHJ983068 ERF983045:ERF983068 FBB983045:FBB983068 FKX983045:FKX983068 FUT983045:FUT983068 GEP983045:GEP983068 GOL983045:GOL983068 GYH983045:GYH983068 HID983045:HID983068 HRZ983045:HRZ983068 IBV983045:IBV983068 ILR983045:ILR983068 IVN983045:IVN983068 JFJ983045:JFJ983068 JPF983045:JPF983068 JZB983045:JZB983068 KIX983045:KIX983068 KST983045:KST983068 LCP983045:LCP983068 LML983045:LML983068 LWH983045:LWH983068 MGD983045:MGD983068 MPZ983045:MPZ983068 MZV983045:MZV983068 NJR983045:NJR983068 NTN983045:NTN983068 ODJ983045:ODJ983068 ONF983045:ONF983068 OXB983045:OXB983068 PGX983045:PGX983068 PQT983045:PQT983068 QAP983045:QAP983068 QKL983045:QKL983068 QUH983045:QUH983068 RED983045:RED983068 RNZ983045:RNZ983068 RXV983045:RXV983068 SHR983045:SHR983068 SRN983045:SRN983068 TBJ983045:TBJ983068 TLF983045:TLF983068 TVB983045:TVB983068 UEX983045:UEX983068 UOT983045:UOT983068 UYP983045:UYP983068 VIL983045:VIL983068 VSH983045:VSH983068 WCD983045:WCD983068 WLZ983045:WLZ983068 WVV983045:WVV983068 JL65541:JL65564 TH65541:TH65564 ADD65541:ADD65564 AMZ65541:AMZ65564 AWV65541:AWV65564 BGR65541:BGR65564 BQN65541:BQN65564 CAJ65541:CAJ65564 CKF65541:CKF65564 CUB65541:CUB65564 DDX65541:DDX65564 DNT65541:DNT65564 DXP65541:DXP65564 EHL65541:EHL65564 ERH65541:ERH65564 FBD65541:FBD65564 FKZ65541:FKZ65564 FUV65541:FUV65564 GER65541:GER65564 GON65541:GON65564 GYJ65541:GYJ65564 HIF65541:HIF65564 HSB65541:HSB65564 IBX65541:IBX65564 ILT65541:ILT65564 IVP65541:IVP65564 JFL65541:JFL65564 JPH65541:JPH65564 JZD65541:JZD65564 KIZ65541:KIZ65564 KSV65541:KSV65564 LCR65541:LCR65564 LMN65541:LMN65564 LWJ65541:LWJ65564 MGF65541:MGF65564 MQB65541:MQB65564 MZX65541:MZX65564 NJT65541:NJT65564 NTP65541:NTP65564 ODL65541:ODL65564 ONH65541:ONH65564 OXD65541:OXD65564 PGZ65541:PGZ65564 PQV65541:PQV65564 QAR65541:QAR65564 QKN65541:QKN65564 QUJ65541:QUJ65564 REF65541:REF65564 ROB65541:ROB65564 RXX65541:RXX65564 SHT65541:SHT65564 SRP65541:SRP65564 TBL65541:TBL65564 TLH65541:TLH65564 TVD65541:TVD65564 UEZ65541:UEZ65564 UOV65541:UOV65564 UYR65541:UYR65564 VIN65541:VIN65564 VSJ65541:VSJ65564 WCF65541:WCF65564 WMB65541:WMB65564 WVX65541:WVX65564 JL131077:JL131100 TH131077:TH131100 ADD131077:ADD131100 AMZ131077:AMZ131100 AWV131077:AWV131100 BGR131077:BGR131100 BQN131077:BQN131100 CAJ131077:CAJ131100 CKF131077:CKF131100 CUB131077:CUB131100 DDX131077:DDX131100 DNT131077:DNT131100 DXP131077:DXP131100 EHL131077:EHL131100 ERH131077:ERH131100 FBD131077:FBD131100 FKZ131077:FKZ131100 FUV131077:FUV131100 GER131077:GER131100 GON131077:GON131100 GYJ131077:GYJ131100 HIF131077:HIF131100 HSB131077:HSB131100 IBX131077:IBX131100 ILT131077:ILT131100 IVP131077:IVP131100 JFL131077:JFL131100 JPH131077:JPH131100 JZD131077:JZD131100 KIZ131077:KIZ131100 KSV131077:KSV131100 LCR131077:LCR131100 LMN131077:LMN131100 LWJ131077:LWJ131100 MGF131077:MGF131100 MQB131077:MQB131100 MZX131077:MZX131100 NJT131077:NJT131100 NTP131077:NTP131100 ODL131077:ODL131100 ONH131077:ONH131100 OXD131077:OXD131100 PGZ131077:PGZ131100 PQV131077:PQV131100 QAR131077:QAR131100 QKN131077:QKN131100 QUJ131077:QUJ131100 REF131077:REF131100 ROB131077:ROB131100 RXX131077:RXX131100 SHT131077:SHT131100 SRP131077:SRP131100 TBL131077:TBL131100 TLH131077:TLH131100 TVD131077:TVD131100 UEZ131077:UEZ131100 UOV131077:UOV131100 UYR131077:UYR131100 VIN131077:VIN131100 VSJ131077:VSJ131100 WCF131077:WCF131100 WMB131077:WMB131100 WVX131077:WVX131100 JL196613:JL196636 TH196613:TH196636 ADD196613:ADD196636 AMZ196613:AMZ196636 AWV196613:AWV196636 BGR196613:BGR196636 BQN196613:BQN196636 CAJ196613:CAJ196636 CKF196613:CKF196636 CUB196613:CUB196636 DDX196613:DDX196636 DNT196613:DNT196636 DXP196613:DXP196636 EHL196613:EHL196636 ERH196613:ERH196636 FBD196613:FBD196636 FKZ196613:FKZ196636 FUV196613:FUV196636 GER196613:GER196636 GON196613:GON196636 GYJ196613:GYJ196636 HIF196613:HIF196636 HSB196613:HSB196636 IBX196613:IBX196636 ILT196613:ILT196636 IVP196613:IVP196636 JFL196613:JFL196636 JPH196613:JPH196636 JZD196613:JZD196636 KIZ196613:KIZ196636 KSV196613:KSV196636 LCR196613:LCR196636 LMN196613:LMN196636 LWJ196613:LWJ196636 MGF196613:MGF196636 MQB196613:MQB196636 MZX196613:MZX196636 NJT196613:NJT196636 NTP196613:NTP196636 ODL196613:ODL196636 ONH196613:ONH196636 OXD196613:OXD196636 PGZ196613:PGZ196636 PQV196613:PQV196636 QAR196613:QAR196636 QKN196613:QKN196636 QUJ196613:QUJ196636 REF196613:REF196636 ROB196613:ROB196636 RXX196613:RXX196636 SHT196613:SHT196636 SRP196613:SRP196636 TBL196613:TBL196636 TLH196613:TLH196636 TVD196613:TVD196636 UEZ196613:UEZ196636 UOV196613:UOV196636 UYR196613:UYR196636 VIN196613:VIN196636 VSJ196613:VSJ196636 WCF196613:WCF196636 WMB196613:WMB196636 WVX196613:WVX196636 JL262149:JL262172 TH262149:TH262172 ADD262149:ADD262172 AMZ262149:AMZ262172 AWV262149:AWV262172 BGR262149:BGR262172 BQN262149:BQN262172 CAJ262149:CAJ262172 CKF262149:CKF262172 CUB262149:CUB262172 DDX262149:DDX262172 DNT262149:DNT262172 DXP262149:DXP262172 EHL262149:EHL262172 ERH262149:ERH262172 FBD262149:FBD262172 FKZ262149:FKZ262172 FUV262149:FUV262172 GER262149:GER262172 GON262149:GON262172 GYJ262149:GYJ262172 HIF262149:HIF262172 HSB262149:HSB262172 IBX262149:IBX262172 ILT262149:ILT262172 IVP262149:IVP262172 JFL262149:JFL262172 JPH262149:JPH262172 JZD262149:JZD262172 KIZ262149:KIZ262172 KSV262149:KSV262172 LCR262149:LCR262172 LMN262149:LMN262172 LWJ262149:LWJ262172 MGF262149:MGF262172 MQB262149:MQB262172 MZX262149:MZX262172 NJT262149:NJT262172 NTP262149:NTP262172 ODL262149:ODL262172 ONH262149:ONH262172 OXD262149:OXD262172 PGZ262149:PGZ262172 PQV262149:PQV262172 QAR262149:QAR262172 QKN262149:QKN262172 QUJ262149:QUJ262172 REF262149:REF262172 ROB262149:ROB262172 RXX262149:RXX262172 SHT262149:SHT262172 SRP262149:SRP262172 TBL262149:TBL262172 TLH262149:TLH262172 TVD262149:TVD262172 UEZ262149:UEZ262172 UOV262149:UOV262172 UYR262149:UYR262172 VIN262149:VIN262172 VSJ262149:VSJ262172 WCF262149:WCF262172 WMB262149:WMB262172 WVX262149:WVX262172 JL327685:JL327708 TH327685:TH327708 ADD327685:ADD327708 AMZ327685:AMZ327708 AWV327685:AWV327708 BGR327685:BGR327708 BQN327685:BQN327708 CAJ327685:CAJ327708 CKF327685:CKF327708 CUB327685:CUB327708 DDX327685:DDX327708 DNT327685:DNT327708 DXP327685:DXP327708 EHL327685:EHL327708 ERH327685:ERH327708 FBD327685:FBD327708 FKZ327685:FKZ327708 FUV327685:FUV327708 GER327685:GER327708 GON327685:GON327708 GYJ327685:GYJ327708 HIF327685:HIF327708 HSB327685:HSB327708 IBX327685:IBX327708 ILT327685:ILT327708 IVP327685:IVP327708 JFL327685:JFL327708 JPH327685:JPH327708 JZD327685:JZD327708 KIZ327685:KIZ327708 KSV327685:KSV327708 LCR327685:LCR327708 LMN327685:LMN327708 LWJ327685:LWJ327708 MGF327685:MGF327708 MQB327685:MQB327708 MZX327685:MZX327708 NJT327685:NJT327708 NTP327685:NTP327708 ODL327685:ODL327708 ONH327685:ONH327708 OXD327685:OXD327708 PGZ327685:PGZ327708 PQV327685:PQV327708 QAR327685:QAR327708 QKN327685:QKN327708 QUJ327685:QUJ327708 REF327685:REF327708 ROB327685:ROB327708 RXX327685:RXX327708 SHT327685:SHT327708 SRP327685:SRP327708 TBL327685:TBL327708 TLH327685:TLH327708 TVD327685:TVD327708 UEZ327685:UEZ327708 UOV327685:UOV327708 UYR327685:UYR327708 VIN327685:VIN327708 VSJ327685:VSJ327708 WCF327685:WCF327708 WMB327685:WMB327708 WVX327685:WVX327708 JL393221:JL393244 TH393221:TH393244 ADD393221:ADD393244 AMZ393221:AMZ393244 AWV393221:AWV393244 BGR393221:BGR393244 BQN393221:BQN393244 CAJ393221:CAJ393244 CKF393221:CKF393244 CUB393221:CUB393244 DDX393221:DDX393244 DNT393221:DNT393244 DXP393221:DXP393244 EHL393221:EHL393244 ERH393221:ERH393244 FBD393221:FBD393244 FKZ393221:FKZ393244 FUV393221:FUV393244 GER393221:GER393244 GON393221:GON393244 GYJ393221:GYJ393244 HIF393221:HIF393244 HSB393221:HSB393244 IBX393221:IBX393244 ILT393221:ILT393244 IVP393221:IVP393244 JFL393221:JFL393244 JPH393221:JPH393244 JZD393221:JZD393244 KIZ393221:KIZ393244 KSV393221:KSV393244 LCR393221:LCR393244 LMN393221:LMN393244 LWJ393221:LWJ393244 MGF393221:MGF393244 MQB393221:MQB393244 MZX393221:MZX393244 NJT393221:NJT393244 NTP393221:NTP393244 ODL393221:ODL393244 ONH393221:ONH393244 OXD393221:OXD393244 PGZ393221:PGZ393244 PQV393221:PQV393244 QAR393221:QAR393244 QKN393221:QKN393244 QUJ393221:QUJ393244 REF393221:REF393244 ROB393221:ROB393244 RXX393221:RXX393244 SHT393221:SHT393244 SRP393221:SRP393244 TBL393221:TBL393244 TLH393221:TLH393244 TVD393221:TVD393244 UEZ393221:UEZ393244 UOV393221:UOV393244 UYR393221:UYR393244 VIN393221:VIN393244 VSJ393221:VSJ393244 WCF393221:WCF393244 WMB393221:WMB393244 WVX393221:WVX393244 JL458757:JL458780 TH458757:TH458780 ADD458757:ADD458780 AMZ458757:AMZ458780 AWV458757:AWV458780 BGR458757:BGR458780 BQN458757:BQN458780 CAJ458757:CAJ458780 CKF458757:CKF458780 CUB458757:CUB458780 DDX458757:DDX458780 DNT458757:DNT458780 DXP458757:DXP458780 EHL458757:EHL458780 ERH458757:ERH458780 FBD458757:FBD458780 FKZ458757:FKZ458780 FUV458757:FUV458780 GER458757:GER458780 GON458757:GON458780 GYJ458757:GYJ458780 HIF458757:HIF458780 HSB458757:HSB458780 IBX458757:IBX458780 ILT458757:ILT458780 IVP458757:IVP458780 JFL458757:JFL458780 JPH458757:JPH458780 JZD458757:JZD458780 KIZ458757:KIZ458780 KSV458757:KSV458780 LCR458757:LCR458780 LMN458757:LMN458780 LWJ458757:LWJ458780 MGF458757:MGF458780 MQB458757:MQB458780 MZX458757:MZX458780 NJT458757:NJT458780 NTP458757:NTP458780 ODL458757:ODL458780 ONH458757:ONH458780 OXD458757:OXD458780 PGZ458757:PGZ458780 PQV458757:PQV458780 QAR458757:QAR458780 QKN458757:QKN458780 QUJ458757:QUJ458780 REF458757:REF458780 ROB458757:ROB458780 RXX458757:RXX458780 SHT458757:SHT458780 SRP458757:SRP458780 TBL458757:TBL458780 TLH458757:TLH458780 TVD458757:TVD458780 UEZ458757:UEZ458780 UOV458757:UOV458780 UYR458757:UYR458780 VIN458757:VIN458780 VSJ458757:VSJ458780 WCF458757:WCF458780 WMB458757:WMB458780 WVX458757:WVX458780 JL524293:JL524316 TH524293:TH524316 ADD524293:ADD524316 AMZ524293:AMZ524316 AWV524293:AWV524316 BGR524293:BGR524316 BQN524293:BQN524316 CAJ524293:CAJ524316 CKF524293:CKF524316 CUB524293:CUB524316 DDX524293:DDX524316 DNT524293:DNT524316 DXP524293:DXP524316 EHL524293:EHL524316 ERH524293:ERH524316 FBD524293:FBD524316 FKZ524293:FKZ524316 FUV524293:FUV524316 GER524293:GER524316 GON524293:GON524316 GYJ524293:GYJ524316 HIF524293:HIF524316 HSB524293:HSB524316 IBX524293:IBX524316 ILT524293:ILT524316 IVP524293:IVP524316 JFL524293:JFL524316 JPH524293:JPH524316 JZD524293:JZD524316 KIZ524293:KIZ524316 KSV524293:KSV524316 LCR524293:LCR524316 LMN524293:LMN524316 LWJ524293:LWJ524316 MGF524293:MGF524316 MQB524293:MQB524316 MZX524293:MZX524316 NJT524293:NJT524316 NTP524293:NTP524316 ODL524293:ODL524316 ONH524293:ONH524316 OXD524293:OXD524316 PGZ524293:PGZ524316 PQV524293:PQV524316 QAR524293:QAR524316 QKN524293:QKN524316 QUJ524293:QUJ524316 REF524293:REF524316 ROB524293:ROB524316 RXX524293:RXX524316 SHT524293:SHT524316 SRP524293:SRP524316 TBL524293:TBL524316 TLH524293:TLH524316 TVD524293:TVD524316 UEZ524293:UEZ524316 UOV524293:UOV524316 UYR524293:UYR524316 VIN524293:VIN524316 VSJ524293:VSJ524316 WCF524293:WCF524316 WMB524293:WMB524316 WVX524293:WVX524316 JL589829:JL589852 TH589829:TH589852 ADD589829:ADD589852 AMZ589829:AMZ589852 AWV589829:AWV589852 BGR589829:BGR589852 BQN589829:BQN589852 CAJ589829:CAJ589852 CKF589829:CKF589852 CUB589829:CUB589852 DDX589829:DDX589852 DNT589829:DNT589852 DXP589829:DXP589852 EHL589829:EHL589852 ERH589829:ERH589852 FBD589829:FBD589852 FKZ589829:FKZ589852 FUV589829:FUV589852 GER589829:GER589852 GON589829:GON589852 GYJ589829:GYJ589852 HIF589829:HIF589852 HSB589829:HSB589852 IBX589829:IBX589852 ILT589829:ILT589852 IVP589829:IVP589852 JFL589829:JFL589852 JPH589829:JPH589852 JZD589829:JZD589852 KIZ589829:KIZ589852 KSV589829:KSV589852 LCR589829:LCR589852 LMN589829:LMN589852 LWJ589829:LWJ589852 MGF589829:MGF589852 MQB589829:MQB589852 MZX589829:MZX589852 NJT589829:NJT589852 NTP589829:NTP589852 ODL589829:ODL589852 ONH589829:ONH589852 OXD589829:OXD589852 PGZ589829:PGZ589852 PQV589829:PQV589852 QAR589829:QAR589852 QKN589829:QKN589852 QUJ589829:QUJ589852 REF589829:REF589852 ROB589829:ROB589852 RXX589829:RXX589852 SHT589829:SHT589852 SRP589829:SRP589852 TBL589829:TBL589852 TLH589829:TLH589852 TVD589829:TVD589852 UEZ589829:UEZ589852 UOV589829:UOV589852 UYR589829:UYR589852 VIN589829:VIN589852 VSJ589829:VSJ589852 WCF589829:WCF589852 WMB589829:WMB589852 WVX589829:WVX589852 JL655365:JL655388 TH655365:TH655388 ADD655365:ADD655388 AMZ655365:AMZ655388 AWV655365:AWV655388 BGR655365:BGR655388 BQN655365:BQN655388 CAJ655365:CAJ655388 CKF655365:CKF655388 CUB655365:CUB655388 DDX655365:DDX655388 DNT655365:DNT655388 DXP655365:DXP655388 EHL655365:EHL655388 ERH655365:ERH655388 FBD655365:FBD655388 FKZ655365:FKZ655388 FUV655365:FUV655388 GER655365:GER655388 GON655365:GON655388 GYJ655365:GYJ655388 HIF655365:HIF655388 HSB655365:HSB655388 IBX655365:IBX655388 ILT655365:ILT655388 IVP655365:IVP655388 JFL655365:JFL655388 JPH655365:JPH655388 JZD655365:JZD655388 KIZ655365:KIZ655388 KSV655365:KSV655388 LCR655365:LCR655388 LMN655365:LMN655388 LWJ655365:LWJ655388 MGF655365:MGF655388 MQB655365:MQB655388 MZX655365:MZX655388 NJT655365:NJT655388 NTP655365:NTP655388 ODL655365:ODL655388 ONH655365:ONH655388 OXD655365:OXD655388 PGZ655365:PGZ655388 PQV655365:PQV655388 QAR655365:QAR655388 QKN655365:QKN655388 QUJ655365:QUJ655388 REF655365:REF655388 ROB655365:ROB655388 RXX655365:RXX655388 SHT655365:SHT655388 SRP655365:SRP655388 TBL655365:TBL655388 TLH655365:TLH655388 TVD655365:TVD655388 UEZ655365:UEZ655388 UOV655365:UOV655388 UYR655365:UYR655388 VIN655365:VIN655388 VSJ655365:VSJ655388 WCF655365:WCF655388 WMB655365:WMB655388 WVX655365:WVX655388 JL720901:JL720924 TH720901:TH720924 ADD720901:ADD720924 AMZ720901:AMZ720924 AWV720901:AWV720924 BGR720901:BGR720924 BQN720901:BQN720924 CAJ720901:CAJ720924 CKF720901:CKF720924 CUB720901:CUB720924 DDX720901:DDX720924 DNT720901:DNT720924 DXP720901:DXP720924 EHL720901:EHL720924 ERH720901:ERH720924 FBD720901:FBD720924 FKZ720901:FKZ720924 FUV720901:FUV720924 GER720901:GER720924 GON720901:GON720924 GYJ720901:GYJ720924 HIF720901:HIF720924 HSB720901:HSB720924 IBX720901:IBX720924 ILT720901:ILT720924 IVP720901:IVP720924 JFL720901:JFL720924 JPH720901:JPH720924 JZD720901:JZD720924 KIZ720901:KIZ720924 KSV720901:KSV720924 LCR720901:LCR720924 LMN720901:LMN720924 LWJ720901:LWJ720924 MGF720901:MGF720924 MQB720901:MQB720924 MZX720901:MZX720924 NJT720901:NJT720924 NTP720901:NTP720924 ODL720901:ODL720924 ONH720901:ONH720924 OXD720901:OXD720924 PGZ720901:PGZ720924 PQV720901:PQV720924 QAR720901:QAR720924 QKN720901:QKN720924 QUJ720901:QUJ720924 REF720901:REF720924 ROB720901:ROB720924 RXX720901:RXX720924 SHT720901:SHT720924 SRP720901:SRP720924 TBL720901:TBL720924 TLH720901:TLH720924 TVD720901:TVD720924 UEZ720901:UEZ720924 UOV720901:UOV720924 UYR720901:UYR720924 VIN720901:VIN720924 VSJ720901:VSJ720924 WCF720901:WCF720924 WMB720901:WMB720924 WVX720901:WVX720924 JL786437:JL786460 TH786437:TH786460 ADD786437:ADD786460 AMZ786437:AMZ786460 AWV786437:AWV786460 BGR786437:BGR786460 BQN786437:BQN786460 CAJ786437:CAJ786460 CKF786437:CKF786460 CUB786437:CUB786460 DDX786437:DDX786460 DNT786437:DNT786460 DXP786437:DXP786460 EHL786437:EHL786460 ERH786437:ERH786460 FBD786437:FBD786460 FKZ786437:FKZ786460 FUV786437:FUV786460 GER786437:GER786460 GON786437:GON786460 GYJ786437:GYJ786460 HIF786437:HIF786460 HSB786437:HSB786460 IBX786437:IBX786460 ILT786437:ILT786460 IVP786437:IVP786460 JFL786437:JFL786460 JPH786437:JPH786460 JZD786437:JZD786460 KIZ786437:KIZ786460 KSV786437:KSV786460 LCR786437:LCR786460 LMN786437:LMN786460 LWJ786437:LWJ786460 MGF786437:MGF786460 MQB786437:MQB786460 MZX786437:MZX786460 NJT786437:NJT786460 NTP786437:NTP786460 ODL786437:ODL786460 ONH786437:ONH786460 OXD786437:OXD786460 PGZ786437:PGZ786460 PQV786437:PQV786460 QAR786437:QAR786460 QKN786437:QKN786460 QUJ786437:QUJ786460 REF786437:REF786460 ROB786437:ROB786460 RXX786437:RXX786460 SHT786437:SHT786460 SRP786437:SRP786460 TBL786437:TBL786460 TLH786437:TLH786460 TVD786437:TVD786460 UEZ786437:UEZ786460 UOV786437:UOV786460 UYR786437:UYR786460 VIN786437:VIN786460 VSJ786437:VSJ786460 WCF786437:WCF786460 WMB786437:WMB786460 WVX786437:WVX786460 JL851973:JL851996 TH851973:TH851996 ADD851973:ADD851996 AMZ851973:AMZ851996 AWV851973:AWV851996 BGR851973:BGR851996 BQN851973:BQN851996 CAJ851973:CAJ851996 CKF851973:CKF851996 CUB851973:CUB851996 DDX851973:DDX851996 DNT851973:DNT851996 DXP851973:DXP851996 EHL851973:EHL851996 ERH851973:ERH851996 FBD851973:FBD851996 FKZ851973:FKZ851996 FUV851973:FUV851996 GER851973:GER851996 GON851973:GON851996 GYJ851973:GYJ851996 HIF851973:HIF851996 HSB851973:HSB851996 IBX851973:IBX851996 ILT851973:ILT851996 IVP851973:IVP851996 JFL851973:JFL851996 JPH851973:JPH851996 JZD851973:JZD851996 KIZ851973:KIZ851996 KSV851973:KSV851996 LCR851973:LCR851996 LMN851973:LMN851996 LWJ851973:LWJ851996 MGF851973:MGF851996 MQB851973:MQB851996 MZX851973:MZX851996 NJT851973:NJT851996 NTP851973:NTP851996 ODL851973:ODL851996 ONH851973:ONH851996 OXD851973:OXD851996 PGZ851973:PGZ851996 PQV851973:PQV851996 QAR851973:QAR851996 QKN851973:QKN851996 QUJ851973:QUJ851996 REF851973:REF851996 ROB851973:ROB851996 RXX851973:RXX851996 SHT851973:SHT851996 SRP851973:SRP851996 TBL851973:TBL851996 TLH851973:TLH851996 TVD851973:TVD851996 UEZ851973:UEZ851996 UOV851973:UOV851996 UYR851973:UYR851996 VIN851973:VIN851996 VSJ851973:VSJ851996 WCF851973:WCF851996 WMB851973:WMB851996 WVX851973:WVX851996 JL917509:JL917532 TH917509:TH917532 ADD917509:ADD917532 AMZ917509:AMZ917532 AWV917509:AWV917532 BGR917509:BGR917532 BQN917509:BQN917532 CAJ917509:CAJ917532 CKF917509:CKF917532 CUB917509:CUB917532 DDX917509:DDX917532 DNT917509:DNT917532 DXP917509:DXP917532 EHL917509:EHL917532 ERH917509:ERH917532 FBD917509:FBD917532 FKZ917509:FKZ917532 FUV917509:FUV917532 GER917509:GER917532 GON917509:GON917532 GYJ917509:GYJ917532 HIF917509:HIF917532 HSB917509:HSB917532 IBX917509:IBX917532 ILT917509:ILT917532 IVP917509:IVP917532 JFL917509:JFL917532 JPH917509:JPH917532 JZD917509:JZD917532 KIZ917509:KIZ917532 KSV917509:KSV917532 LCR917509:LCR917532 LMN917509:LMN917532 LWJ917509:LWJ917532 MGF917509:MGF917532 MQB917509:MQB917532 MZX917509:MZX917532 NJT917509:NJT917532 NTP917509:NTP917532 ODL917509:ODL917532 ONH917509:ONH917532 OXD917509:OXD917532 PGZ917509:PGZ917532 PQV917509:PQV917532 QAR917509:QAR917532 QKN917509:QKN917532 QUJ917509:QUJ917532 REF917509:REF917532 ROB917509:ROB917532 RXX917509:RXX917532 SHT917509:SHT917532 SRP917509:SRP917532 TBL917509:TBL917532 TLH917509:TLH917532 TVD917509:TVD917532 UEZ917509:UEZ917532 UOV917509:UOV917532 UYR917509:UYR917532 VIN917509:VIN917532 VSJ917509:VSJ917532 WCF917509:WCF917532 WMB917509:WMB917532 WVX917509:WVX917532 JL983045:JL983068 TH983045:TH983068 ADD983045:ADD983068 AMZ983045:AMZ983068 AWV983045:AWV983068 BGR983045:BGR983068 BQN983045:BQN983068 CAJ983045:CAJ983068 CKF983045:CKF983068 CUB983045:CUB983068 DDX983045:DDX983068 DNT983045:DNT983068 DXP983045:DXP983068 EHL983045:EHL983068 ERH983045:ERH983068 FBD983045:FBD983068 FKZ983045:FKZ983068 FUV983045:FUV983068 GER983045:GER983068 GON983045:GON983068 GYJ983045:GYJ983068 HIF983045:HIF983068 HSB983045:HSB983068 IBX983045:IBX983068 ILT983045:ILT983068 IVP983045:IVP983068 JFL983045:JFL983068 JPH983045:JPH983068 JZD983045:JZD983068 KIZ983045:KIZ983068 KSV983045:KSV983068 LCR983045:LCR983068 LMN983045:LMN983068 LWJ983045:LWJ983068 MGF983045:MGF983068 MQB983045:MQB983068 MZX983045:MZX983068 NJT983045:NJT983068 NTP983045:NTP983068 ODL983045:ODL983068 ONH983045:ONH983068 OXD983045:OXD983068 PGZ983045:PGZ983068 PQV983045:PQV983068 QAR983045:QAR983068 QKN983045:QKN983068 QUJ983045:QUJ983068 REF983045:REF983068 ROB983045:ROB983068 RXX983045:RXX983068 SHT983045:SHT983068 SRP983045:SRP983068 TBL983045:TBL983068 TLH983045:TLH983068 TVD983045:TVD983068 UEZ983045:UEZ983068 UOV983045:UOV983068 UYR983045:UYR983068 VIN983045:VIN983068 VSJ983045:VSJ983068 WCF983045:WCF983068 WMB983045:WMB983068 WVI11:WVI25 WLM11:WLM25 WBQ11:WBQ25 VRU11:VRU25 VHY11:VHY25 UYC11:UYC25 UOG11:UOG25 UEK11:UEK25 TUO11:TUO25 TKS11:TKS25 TAW11:TAW25 SRA11:SRA25 SHE11:SHE25 RXI11:RXI25 RNM11:RNM25 RDQ11:RDQ25 QTU11:QTU25 QJY11:QJY25 QAC11:QAC25 PQG11:PQG25 PGK11:PGK25 OWO11:OWO25 OMS11:OMS25 OCW11:OCW25 NTA11:NTA25 NJE11:NJE25 MZI11:MZI25 MPM11:MPM25 MFQ11:MFQ25 LVU11:LVU25 LLY11:LLY25 LCC11:LCC25 KSG11:KSG25 KIK11:KIK25 JYO11:JYO25 JOS11:JOS25 JEW11:JEW25 IVA11:IVA25 ILE11:ILE25 IBI11:IBI25 HRM11:HRM25 HHQ11:HHQ25 GXU11:GXU25 GNY11:GNY25 GEC11:GEC25 FUG11:FUG25 FKK11:FKK25 FAO11:FAO25 EQS11:EQS25 EGW11:EGW25 DXA11:DXA25 DNE11:DNE25 DDI11:DDI25 CTM11:CTM25 CJQ11:CJQ25 BZU11:BZU25 BPY11:BPY25 BGC11:BGC25 AWG11:AWG25 AMK11:AMK25 ACO11:ACO25 SS11:SS25 IW11:IW25 WVG11:WVG25 WLK11:WLK25 WBO11:WBO25 VRS11:VRS25 VHW11:VHW25 UYA11:UYA25 UOE11:UOE25 UEI11:UEI25 TUM11:TUM25 TKQ11:TKQ25 TAU11:TAU25 SQY11:SQY25 SHC11:SHC25 RXG11:RXG25 RNK11:RNK25 RDO11:RDO25 QTS11:QTS25 QJW11:QJW25 QAA11:QAA25 PQE11:PQE25 PGI11:PGI25 OWM11:OWM25 OMQ11:OMQ25 OCU11:OCU25 NSY11:NSY25 NJC11:NJC25 MZG11:MZG25 MPK11:MPK25 MFO11:MFO25 LVS11:LVS25 LLW11:LLW25 LCA11:LCA25 KSE11:KSE25 KII11:KII25 JYM11:JYM25 JOQ11:JOQ25 JEU11:JEU25 IUY11:IUY25 ILC11:ILC25 IBG11:IBG25 HRK11:HRK25 HHO11:HHO25 GXS11:GXS25 GNW11:GNW25 GEA11:GEA25 FUE11:FUE25 FKI11:FKI25 FAM11:FAM25 EQQ11:EQQ25 EGU11:EGU25 DWY11:DWY25 DNC11:DNC25 DDG11:DDG25 CTK11:CTK25 CJO11:CJO25 BZS11:BZS25 BPW11:BPW25 BGA11:BGA25 AWE11:AWE25 AMI11:AMI25 ACM11:ACM25 SQ11:SQ25 IU11:IU25 W11:W29 U11:U29" xr:uid="{00000000-0002-0000-0700-000001000000}">
      <formula1>"1,2,3,4"</formula1>
    </dataValidation>
  </dataValidations>
  <pageMargins left="0" right="0" top="0.39370078740157483" bottom="0.59055118110236227" header="0.51181102362204722" footer="0.39370078740157483"/>
  <pageSetup paperSize="9" scale="82" fitToHeight="0" orientation="landscape" r:id="rId1"/>
  <headerFooter alignWithMargins="0">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11</vt:i4>
      </vt:variant>
    </vt:vector>
  </HeadingPairs>
  <TitlesOfParts>
    <vt:vector size="19" baseType="lpstr">
      <vt:lpstr>資訊清單資訊</vt:lpstr>
      <vt:lpstr>硬體類資產群組清單</vt:lpstr>
      <vt:lpstr>評估標準</vt:lpstr>
      <vt:lpstr>硬體類風險材1-1-HW-01</vt:lpstr>
      <vt:lpstr>硬體類風險材1-1-HW-02</vt:lpstr>
      <vt:lpstr>硬體類風險材1-1-HW-03</vt:lpstr>
      <vt:lpstr>硬體類風險材1-1-HW-04</vt:lpstr>
      <vt:lpstr>硬體類風險材1-1-HW-05</vt:lpstr>
      <vt:lpstr>ALL_LIST</vt:lpstr>
      <vt:lpstr>'硬體類風險材1-1-HW-01'!Print_Area</vt:lpstr>
      <vt:lpstr>'硬體類風險材1-1-HW-02'!Print_Area</vt:lpstr>
      <vt:lpstr>'硬體類風險材1-1-HW-03'!Print_Area</vt:lpstr>
      <vt:lpstr>'硬體類風險材1-1-HW-04'!Print_Area</vt:lpstr>
      <vt:lpstr>'硬體類風險材1-1-HW-05'!Print_Area</vt:lpstr>
      <vt:lpstr>'硬體類風險材1-1-HW-01'!Print_Titles</vt:lpstr>
      <vt:lpstr>'硬體類風險材1-1-HW-02'!Print_Titles</vt:lpstr>
      <vt:lpstr>'硬體類風險材1-1-HW-03'!Print_Titles</vt:lpstr>
      <vt:lpstr>'硬體類風險材1-1-HW-04'!Print_Titles</vt:lpstr>
      <vt:lpstr>'硬體類風險材1-1-HW-05'!Print_Titles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徐怡婷</dc:creator>
  <cp:lastModifiedBy>joyce</cp:lastModifiedBy>
  <cp:lastPrinted>2020-06-19T07:03:06Z</cp:lastPrinted>
  <dcterms:created xsi:type="dcterms:W3CDTF">2016-07-21T06:30:48Z</dcterms:created>
  <dcterms:modified xsi:type="dcterms:W3CDTF">2024-03-19T06:28:32Z</dcterms:modified>
</cp:coreProperties>
</file>