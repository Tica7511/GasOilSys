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 Document\20210416_NB Data\My Doc\0_工研院\113\1_RA\材化所\1-1_石油與天然氣輸儲查核與檢測雲端平台\"/>
    </mc:Choice>
  </mc:AlternateContent>
  <xr:revisionPtr revIDLastSave="0" documentId="13_ncr:1_{538D0775-B9D0-4263-8B52-08AE13A65818}" xr6:coauthVersionLast="47" xr6:coauthVersionMax="47" xr10:uidLastSave="{00000000-0000-0000-0000-000000000000}"/>
  <bookViews>
    <workbookView xWindow="-110" yWindow="-110" windowWidth="19420" windowHeight="10300" tabRatio="910" activeTab="5" xr2:uid="{00000000-000D-0000-FFFF-FFFF00000000}"/>
  </bookViews>
  <sheets>
    <sheet name="資訊清單資訊" sheetId="1" r:id="rId1"/>
    <sheet name="人員類資產群組清單" sheetId="2" r:id="rId2"/>
    <sheet name="評估標準" sheetId="4" r:id="rId3"/>
    <sheet name="人員類風險材1-1-PE-01" sheetId="9" r:id="rId4"/>
    <sheet name="人員類風險材1-1-PE-02" sheetId="10" r:id="rId5"/>
    <sheet name="人員類風險材1-1-PE-03" sheetId="11" r:id="rId6"/>
  </sheets>
  <externalReferences>
    <externalReference r:id="rId7"/>
    <externalReference r:id="rId8"/>
  </externalReferences>
  <definedNames>
    <definedName name="_xlnm._FilterDatabase" localSheetId="3" hidden="1">'人員類風險材1-1-PE-01'!$M$10:$Z$10</definedName>
    <definedName name="_xlnm._FilterDatabase" localSheetId="4" hidden="1">'人員類風險材1-1-PE-02'!$M$10:$Z$10</definedName>
    <definedName name="_xlnm._FilterDatabase" localSheetId="5" hidden="1">'人員類風險材1-1-PE-03'!$M$10:$Z$10</definedName>
    <definedName name="_xlnm._FilterDatabase" localSheetId="1" hidden="1">人員類資產群組清單!$A$9:$Q$9</definedName>
    <definedName name="All_Availability">[1]Ref!$S$3:$S$6</definedName>
    <definedName name="All_Confidential">[1]Ref!$M$3:$M$6</definedName>
    <definedName name="All_Impact">[1]Ref!$AB$3:$AB$6</definedName>
    <definedName name="All_Integrity">[1]Ref!$P$3:$P$6</definedName>
    <definedName name="All_Law">[1]Ref!$V$3:$V$6</definedName>
    <definedName name="All_Likelihood">[1]Ref!$Y$3:$Y$6</definedName>
    <definedName name="ALL_LIST">人員類資產群組清單!$A$10:$Q$162</definedName>
    <definedName name="All_YN">[1]Ref!$AE$3:$AE$4</definedName>
    <definedName name="PE_SUBLIST" localSheetId="4">評估標準!#REF!</definedName>
    <definedName name="PE_SUBLIST" localSheetId="5">評估標準!#REF!</definedName>
    <definedName name="PE_SUBLIST">評估標準!#REF!</definedName>
    <definedName name="PE_Subtype">[1]Ref!$C$3:$C$12</definedName>
    <definedName name="PE_TypeList">[1]人員資產群組清單!$D$10:$D$34</definedName>
    <definedName name="PE_TypeSum">[1]Ref!$C$3:$D$12</definedName>
    <definedName name="_xlnm.Print_Area" localSheetId="3">'人員類風險材1-1-PE-01'!$M$1:$U$37</definedName>
    <definedName name="_xlnm.Print_Area" localSheetId="4">'人員類風險材1-1-PE-02'!$M$1:$U$37</definedName>
    <definedName name="_xlnm.Print_Area" localSheetId="5">'人員類風險材1-1-PE-03'!$M$1:$U$37</definedName>
    <definedName name="_xlnm.Print_Titles" localSheetId="3">'人員類風險材1-1-PE-01'!$2:$10</definedName>
    <definedName name="_xlnm.Print_Titles" localSheetId="4">'人員類風險材1-1-PE-02'!$2:$10</definedName>
    <definedName name="_xlnm.Print_Titles" localSheetId="5">'人員類風險材1-1-PE-03'!$2:$10</definedName>
    <definedName name="SW_List">[2]軟體資產群組清單!$A$11:$R$50</definedName>
    <definedName name="法律遵循" localSheetId="4">#REF!</definedName>
    <definedName name="法律遵循" localSheetId="5">#REF!</definedName>
    <definedName name="法律遵循">#REF!</definedName>
    <definedName name="業務運作" localSheetId="4">#REF!</definedName>
    <definedName name="業務運作" localSheetId="5">#REF!</definedName>
    <definedName name="業務運作">#REF!</definedName>
    <definedName name="業務類別" localSheetId="4">#REF!</definedName>
    <definedName name="業務類別" localSheetId="5">#REF!</definedName>
    <definedName name="業務類別">#REF!</definedName>
    <definedName name="業務類別名" localSheetId="4">#REF!</definedName>
    <definedName name="業務類別名" localSheetId="5">#REF!</definedName>
    <definedName name="業務類別名">#REF!</definedName>
    <definedName name="資產保護" localSheetId="4">#REF!</definedName>
    <definedName name="資產保護" localSheetId="5">#REF!</definedName>
    <definedName name="資產保護">#REF!</definedName>
    <definedName name="資產類別" localSheetId="4">#REF!</definedName>
    <definedName name="資產類別" localSheetId="5">#REF!</definedName>
    <definedName name="資產類別">#REF!</definedName>
    <definedName name="資產類別名" localSheetId="4">#REF!</definedName>
    <definedName name="資產類別名" localSheetId="5">#REF!</definedName>
    <definedName name="資產類別名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6" i="9" l="1"/>
  <c r="I36" i="9"/>
  <c r="H36" i="9"/>
  <c r="G36" i="9"/>
  <c r="F36" i="9"/>
  <c r="E36" i="9"/>
  <c r="D36" i="9"/>
  <c r="C36" i="9"/>
  <c r="B36" i="9"/>
  <c r="A36" i="9"/>
  <c r="J35" i="9"/>
  <c r="I35" i="9"/>
  <c r="H35" i="9"/>
  <c r="G35" i="9"/>
  <c r="F35" i="9"/>
  <c r="E35" i="9"/>
  <c r="D35" i="9"/>
  <c r="C35" i="9"/>
  <c r="B35" i="9"/>
  <c r="A35" i="9"/>
  <c r="J36" i="10"/>
  <c r="I36" i="10"/>
  <c r="H36" i="10"/>
  <c r="G36" i="10"/>
  <c r="F36" i="10"/>
  <c r="E36" i="10"/>
  <c r="D36" i="10"/>
  <c r="C36" i="10"/>
  <c r="B36" i="10"/>
  <c r="A36" i="10"/>
  <c r="J35" i="10"/>
  <c r="I35" i="10"/>
  <c r="H35" i="10"/>
  <c r="G35" i="10"/>
  <c r="F35" i="10"/>
  <c r="E35" i="10"/>
  <c r="D35" i="10"/>
  <c r="C35" i="10"/>
  <c r="B35" i="10"/>
  <c r="A35" i="10"/>
  <c r="J36" i="11"/>
  <c r="I36" i="11"/>
  <c r="H36" i="11"/>
  <c r="G36" i="11"/>
  <c r="F36" i="11"/>
  <c r="E36" i="11"/>
  <c r="D36" i="11"/>
  <c r="C36" i="11"/>
  <c r="B36" i="11"/>
  <c r="A36" i="11"/>
  <c r="J35" i="11"/>
  <c r="I35" i="11"/>
  <c r="H35" i="11"/>
  <c r="G35" i="11"/>
  <c r="F35" i="11"/>
  <c r="E35" i="11"/>
  <c r="D35" i="11"/>
  <c r="C35" i="11"/>
  <c r="B35" i="11"/>
  <c r="A35" i="11"/>
  <c r="Y37" i="11"/>
  <c r="J37" i="11"/>
  <c r="I37" i="11"/>
  <c r="H37" i="11"/>
  <c r="G37" i="11"/>
  <c r="F37" i="11"/>
  <c r="E37" i="11"/>
  <c r="D37" i="11"/>
  <c r="C37" i="11"/>
  <c r="B37" i="11"/>
  <c r="A37" i="11"/>
  <c r="J34" i="11"/>
  <c r="I34" i="11"/>
  <c r="H34" i="11"/>
  <c r="G34" i="11"/>
  <c r="F34" i="11"/>
  <c r="E34" i="11"/>
  <c r="D34" i="11"/>
  <c r="C34" i="11"/>
  <c r="B34" i="11"/>
  <c r="A34" i="11"/>
  <c r="J33" i="11"/>
  <c r="I33" i="11"/>
  <c r="H33" i="11"/>
  <c r="G33" i="11"/>
  <c r="F33" i="11"/>
  <c r="E33" i="11"/>
  <c r="D33" i="11"/>
  <c r="C33" i="11"/>
  <c r="B33" i="11"/>
  <c r="A33" i="11"/>
  <c r="J32" i="11"/>
  <c r="I32" i="11"/>
  <c r="H32" i="11"/>
  <c r="G32" i="11"/>
  <c r="F32" i="11"/>
  <c r="E32" i="11"/>
  <c r="D32" i="11"/>
  <c r="C32" i="11"/>
  <c r="B32" i="11"/>
  <c r="A32" i="11"/>
  <c r="J31" i="11"/>
  <c r="I31" i="11"/>
  <c r="H31" i="11"/>
  <c r="G31" i="11"/>
  <c r="F31" i="11"/>
  <c r="E31" i="11"/>
  <c r="D31" i="11"/>
  <c r="C31" i="11"/>
  <c r="B31" i="11"/>
  <c r="A31" i="11"/>
  <c r="J30" i="11"/>
  <c r="I30" i="11"/>
  <c r="H30" i="11"/>
  <c r="G30" i="11"/>
  <c r="F30" i="11"/>
  <c r="E30" i="11"/>
  <c r="D30" i="11"/>
  <c r="C30" i="11"/>
  <c r="B30" i="11"/>
  <c r="A30" i="11"/>
  <c r="J29" i="11"/>
  <c r="I29" i="11"/>
  <c r="H29" i="11"/>
  <c r="G29" i="11"/>
  <c r="F29" i="11"/>
  <c r="E29" i="11"/>
  <c r="D29" i="11"/>
  <c r="C29" i="11"/>
  <c r="B29" i="11"/>
  <c r="A29" i="11"/>
  <c r="J28" i="11"/>
  <c r="I28" i="11"/>
  <c r="H28" i="11"/>
  <c r="G28" i="11"/>
  <c r="F28" i="11"/>
  <c r="E28" i="11"/>
  <c r="D28" i="11"/>
  <c r="C28" i="11"/>
  <c r="B28" i="11"/>
  <c r="A28" i="11"/>
  <c r="J27" i="11"/>
  <c r="I27" i="11"/>
  <c r="H27" i="11"/>
  <c r="G27" i="11"/>
  <c r="F27" i="11"/>
  <c r="E27" i="11"/>
  <c r="D27" i="11"/>
  <c r="C27" i="11"/>
  <c r="B27" i="11"/>
  <c r="A27" i="11"/>
  <c r="J26" i="11"/>
  <c r="I26" i="11"/>
  <c r="H26" i="11"/>
  <c r="G26" i="11"/>
  <c r="F26" i="11"/>
  <c r="E26" i="11"/>
  <c r="D26" i="11"/>
  <c r="C26" i="11"/>
  <c r="B26" i="11"/>
  <c r="A26" i="11"/>
  <c r="J25" i="11"/>
  <c r="I25" i="11"/>
  <c r="H25" i="11"/>
  <c r="G25" i="11"/>
  <c r="F25" i="11"/>
  <c r="E25" i="11"/>
  <c r="D25" i="11"/>
  <c r="C25" i="11"/>
  <c r="B25" i="11"/>
  <c r="A25" i="11"/>
  <c r="J24" i="11"/>
  <c r="I24" i="11"/>
  <c r="H24" i="11"/>
  <c r="G24" i="11"/>
  <c r="F24" i="11"/>
  <c r="E24" i="11"/>
  <c r="D24" i="11"/>
  <c r="C24" i="11"/>
  <c r="B24" i="11"/>
  <c r="A24" i="11"/>
  <c r="J23" i="11"/>
  <c r="I23" i="11"/>
  <c r="H23" i="11"/>
  <c r="G23" i="11"/>
  <c r="F23" i="11"/>
  <c r="E23" i="11"/>
  <c r="D23" i="11"/>
  <c r="C23" i="11"/>
  <c r="B23" i="11"/>
  <c r="A23" i="11"/>
  <c r="J22" i="11"/>
  <c r="I22" i="11"/>
  <c r="H22" i="11"/>
  <c r="G22" i="11"/>
  <c r="F22" i="11"/>
  <c r="E22" i="11"/>
  <c r="D22" i="11"/>
  <c r="C22" i="11"/>
  <c r="B22" i="11"/>
  <c r="A22" i="11"/>
  <c r="J21" i="11"/>
  <c r="I21" i="11"/>
  <c r="H21" i="11"/>
  <c r="G21" i="11"/>
  <c r="F21" i="11"/>
  <c r="E21" i="11"/>
  <c r="D21" i="11"/>
  <c r="C21" i="11"/>
  <c r="B21" i="11"/>
  <c r="A21" i="11"/>
  <c r="J20" i="11"/>
  <c r="I20" i="11"/>
  <c r="H20" i="11"/>
  <c r="G20" i="11"/>
  <c r="F20" i="11"/>
  <c r="E20" i="11"/>
  <c r="D20" i="11"/>
  <c r="C20" i="11"/>
  <c r="B20" i="11"/>
  <c r="A20" i="11"/>
  <c r="J19" i="11"/>
  <c r="I19" i="11"/>
  <c r="H19" i="11"/>
  <c r="G19" i="11"/>
  <c r="F19" i="11"/>
  <c r="E19" i="11"/>
  <c r="D19" i="11"/>
  <c r="C19" i="11"/>
  <c r="B19" i="11"/>
  <c r="A19" i="11"/>
  <c r="J18" i="11"/>
  <c r="I18" i="11"/>
  <c r="H18" i="11"/>
  <c r="G18" i="11"/>
  <c r="F18" i="11"/>
  <c r="E18" i="11"/>
  <c r="D18" i="11"/>
  <c r="C18" i="11"/>
  <c r="B18" i="11"/>
  <c r="A18" i="11"/>
  <c r="J17" i="11"/>
  <c r="I17" i="11"/>
  <c r="H17" i="11"/>
  <c r="G17" i="11"/>
  <c r="F17" i="11"/>
  <c r="E17" i="11"/>
  <c r="D17" i="11"/>
  <c r="C17" i="11"/>
  <c r="B17" i="11"/>
  <c r="A17" i="11"/>
  <c r="J16" i="11"/>
  <c r="I16" i="11"/>
  <c r="H16" i="11"/>
  <c r="G16" i="11"/>
  <c r="F16" i="11"/>
  <c r="E16" i="11"/>
  <c r="D16" i="11"/>
  <c r="C16" i="11"/>
  <c r="B16" i="11"/>
  <c r="A16" i="11"/>
  <c r="J15" i="1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S6" i="11"/>
  <c r="S5" i="11"/>
  <c r="N5" i="11"/>
  <c r="S4" i="11"/>
  <c r="N4" i="11"/>
  <c r="S3" i="11"/>
  <c r="N2" i="11"/>
  <c r="M1" i="11"/>
  <c r="Y37" i="10"/>
  <c r="J37" i="10"/>
  <c r="I37" i="10"/>
  <c r="H37" i="10"/>
  <c r="G37" i="10"/>
  <c r="F37" i="10"/>
  <c r="E37" i="10"/>
  <c r="D37" i="10"/>
  <c r="C37" i="10"/>
  <c r="B37" i="10"/>
  <c r="A37" i="10"/>
  <c r="J34" i="10"/>
  <c r="I34" i="10"/>
  <c r="H34" i="10"/>
  <c r="G34" i="10"/>
  <c r="F34" i="10"/>
  <c r="E34" i="10"/>
  <c r="D34" i="10"/>
  <c r="C34" i="10"/>
  <c r="B34" i="10"/>
  <c r="A34" i="10"/>
  <c r="J33" i="10"/>
  <c r="I33" i="10"/>
  <c r="H33" i="10"/>
  <c r="G33" i="10"/>
  <c r="F33" i="10"/>
  <c r="E33" i="10"/>
  <c r="D33" i="10"/>
  <c r="C33" i="10"/>
  <c r="B33" i="10"/>
  <c r="A33" i="10"/>
  <c r="J32" i="10"/>
  <c r="I32" i="10"/>
  <c r="H32" i="10"/>
  <c r="G32" i="10"/>
  <c r="F32" i="10"/>
  <c r="E32" i="10"/>
  <c r="D32" i="10"/>
  <c r="C32" i="10"/>
  <c r="B32" i="10"/>
  <c r="A32" i="10"/>
  <c r="J31" i="10"/>
  <c r="I31" i="10"/>
  <c r="H31" i="10"/>
  <c r="G31" i="10"/>
  <c r="F31" i="10"/>
  <c r="E31" i="10"/>
  <c r="D31" i="10"/>
  <c r="C31" i="10"/>
  <c r="B31" i="10"/>
  <c r="A31" i="10"/>
  <c r="J30" i="10"/>
  <c r="I30" i="10"/>
  <c r="H30" i="10"/>
  <c r="G30" i="10"/>
  <c r="F30" i="10"/>
  <c r="E30" i="10"/>
  <c r="D30" i="10"/>
  <c r="C30" i="10"/>
  <c r="B30" i="10"/>
  <c r="A30" i="10"/>
  <c r="J29" i="10"/>
  <c r="I29" i="10"/>
  <c r="H29" i="10"/>
  <c r="G29" i="10"/>
  <c r="F29" i="10"/>
  <c r="E29" i="10"/>
  <c r="D29" i="10"/>
  <c r="C29" i="10"/>
  <c r="B29" i="10"/>
  <c r="A29" i="10"/>
  <c r="J28" i="10"/>
  <c r="I28" i="10"/>
  <c r="H28" i="10"/>
  <c r="G28" i="10"/>
  <c r="F28" i="10"/>
  <c r="E28" i="10"/>
  <c r="D28" i="10"/>
  <c r="C28" i="10"/>
  <c r="B28" i="10"/>
  <c r="A28" i="10"/>
  <c r="J27" i="10"/>
  <c r="I27" i="10"/>
  <c r="H27" i="10"/>
  <c r="G27" i="10"/>
  <c r="F27" i="10"/>
  <c r="E27" i="10"/>
  <c r="D27" i="10"/>
  <c r="C27" i="10"/>
  <c r="B27" i="10"/>
  <c r="A27" i="10"/>
  <c r="J26" i="10"/>
  <c r="I26" i="10"/>
  <c r="H26" i="10"/>
  <c r="G26" i="10"/>
  <c r="F26" i="10"/>
  <c r="E26" i="10"/>
  <c r="D26" i="10"/>
  <c r="C26" i="10"/>
  <c r="B26" i="10"/>
  <c r="A26" i="10"/>
  <c r="J25" i="10"/>
  <c r="I25" i="10"/>
  <c r="H25" i="10"/>
  <c r="G25" i="10"/>
  <c r="F25" i="10"/>
  <c r="E25" i="10"/>
  <c r="D25" i="10"/>
  <c r="C25" i="10"/>
  <c r="B25" i="10"/>
  <c r="A25" i="10"/>
  <c r="J24" i="10"/>
  <c r="I24" i="10"/>
  <c r="H24" i="10"/>
  <c r="G24" i="10"/>
  <c r="F24" i="10"/>
  <c r="E24" i="10"/>
  <c r="D24" i="10"/>
  <c r="C24" i="10"/>
  <c r="B24" i="10"/>
  <c r="A24" i="10"/>
  <c r="J23" i="10"/>
  <c r="I23" i="10"/>
  <c r="H23" i="10"/>
  <c r="G23" i="10"/>
  <c r="F23" i="10"/>
  <c r="E23" i="10"/>
  <c r="D23" i="10"/>
  <c r="C23" i="10"/>
  <c r="B23" i="10"/>
  <c r="A23" i="10"/>
  <c r="J22" i="10"/>
  <c r="I22" i="10"/>
  <c r="H22" i="10"/>
  <c r="G22" i="10"/>
  <c r="F22" i="10"/>
  <c r="E22" i="10"/>
  <c r="D22" i="10"/>
  <c r="C22" i="10"/>
  <c r="B22" i="10"/>
  <c r="A22" i="10"/>
  <c r="J21" i="10"/>
  <c r="I21" i="10"/>
  <c r="H21" i="10"/>
  <c r="G21" i="10"/>
  <c r="F21" i="10"/>
  <c r="E21" i="10"/>
  <c r="D21" i="10"/>
  <c r="C21" i="10"/>
  <c r="B21" i="10"/>
  <c r="A21" i="10"/>
  <c r="J20" i="10"/>
  <c r="I20" i="10"/>
  <c r="H20" i="10"/>
  <c r="G20" i="10"/>
  <c r="F20" i="10"/>
  <c r="E20" i="10"/>
  <c r="D20" i="10"/>
  <c r="C20" i="10"/>
  <c r="B20" i="10"/>
  <c r="A20" i="10"/>
  <c r="J19" i="10"/>
  <c r="I19" i="10"/>
  <c r="H19" i="10"/>
  <c r="G19" i="10"/>
  <c r="F19" i="10"/>
  <c r="E19" i="10"/>
  <c r="D19" i="10"/>
  <c r="C19" i="10"/>
  <c r="B19" i="10"/>
  <c r="A19" i="10"/>
  <c r="J18" i="10"/>
  <c r="I18" i="10"/>
  <c r="H18" i="10"/>
  <c r="G18" i="10"/>
  <c r="F18" i="10"/>
  <c r="E18" i="10"/>
  <c r="D18" i="10"/>
  <c r="C18" i="10"/>
  <c r="B18" i="10"/>
  <c r="A18" i="10"/>
  <c r="J17" i="10"/>
  <c r="I17" i="10"/>
  <c r="H17" i="10"/>
  <c r="G17" i="10"/>
  <c r="F17" i="10"/>
  <c r="E17" i="10"/>
  <c r="D17" i="10"/>
  <c r="C17" i="10"/>
  <c r="B17" i="10"/>
  <c r="A17" i="10"/>
  <c r="J16" i="10"/>
  <c r="I16" i="10"/>
  <c r="H16" i="10"/>
  <c r="G16" i="10"/>
  <c r="F16" i="10"/>
  <c r="E16" i="10"/>
  <c r="D16" i="10"/>
  <c r="C16" i="10"/>
  <c r="B16" i="10"/>
  <c r="A16" i="10"/>
  <c r="J15" i="10"/>
  <c r="I15" i="10"/>
  <c r="H15" i="10"/>
  <c r="G15" i="10"/>
  <c r="F15" i="10"/>
  <c r="E15" i="10"/>
  <c r="D15" i="10"/>
  <c r="C15" i="10"/>
  <c r="B15" i="10"/>
  <c r="A15" i="10"/>
  <c r="J14" i="10"/>
  <c r="I14" i="10"/>
  <c r="H14" i="10"/>
  <c r="G14" i="10"/>
  <c r="F14" i="10"/>
  <c r="E14" i="10"/>
  <c r="D14" i="10"/>
  <c r="C14" i="10"/>
  <c r="B14" i="10"/>
  <c r="A14" i="10"/>
  <c r="J13" i="10"/>
  <c r="I13" i="10"/>
  <c r="H13" i="10"/>
  <c r="G13" i="10"/>
  <c r="F13" i="10"/>
  <c r="E13" i="10"/>
  <c r="D13" i="10"/>
  <c r="C13" i="10"/>
  <c r="B13" i="10"/>
  <c r="A13" i="10"/>
  <c r="J12" i="10"/>
  <c r="I12" i="10"/>
  <c r="H12" i="10"/>
  <c r="G12" i="10"/>
  <c r="F12" i="10"/>
  <c r="E12" i="10"/>
  <c r="D12" i="10"/>
  <c r="C12" i="10"/>
  <c r="B12" i="10"/>
  <c r="A12" i="10"/>
  <c r="J11" i="10"/>
  <c r="I11" i="10"/>
  <c r="H11" i="10"/>
  <c r="G11" i="10"/>
  <c r="F11" i="10"/>
  <c r="E11" i="10"/>
  <c r="D11" i="10"/>
  <c r="C11" i="10"/>
  <c r="B11" i="10"/>
  <c r="A11" i="10"/>
  <c r="S6" i="10"/>
  <c r="S5" i="10"/>
  <c r="N5" i="10"/>
  <c r="S4" i="10"/>
  <c r="N4" i="10"/>
  <c r="S3" i="10"/>
  <c r="N2" i="10"/>
  <c r="M1" i="10"/>
  <c r="P12" i="2"/>
  <c r="K11" i="11" s="1"/>
  <c r="K32" i="11"/>
  <c r="P11" i="2"/>
  <c r="K36" i="10" s="1"/>
  <c r="K13" i="10"/>
  <c r="P10" i="2"/>
  <c r="K27" i="9" s="1"/>
  <c r="K36" i="9"/>
  <c r="K35" i="11"/>
  <c r="K27" i="11"/>
  <c r="K36" i="11"/>
  <c r="K35" i="10"/>
  <c r="K21" i="10"/>
  <c r="K29" i="10"/>
  <c r="K19" i="11"/>
  <c r="K37" i="11"/>
  <c r="K16" i="10"/>
  <c r="K24" i="10"/>
  <c r="K32" i="10"/>
  <c r="K22" i="11"/>
  <c r="K30" i="11"/>
  <c r="K19" i="10"/>
  <c r="K27" i="10"/>
  <c r="K37" i="10"/>
  <c r="K17" i="11"/>
  <c r="K33" i="11"/>
  <c r="K30" i="10"/>
  <c r="K12" i="11"/>
  <c r="K20" i="11"/>
  <c r="K28" i="11"/>
  <c r="K15" i="11"/>
  <c r="K23" i="11"/>
  <c r="K31" i="11"/>
  <c r="K12" i="10"/>
  <c r="K20" i="10"/>
  <c r="K18" i="11"/>
  <c r="K26" i="11"/>
  <c r="K34" i="11"/>
  <c r="K15" i="10"/>
  <c r="K23" i="10"/>
  <c r="K31" i="10"/>
  <c r="K13" i="11"/>
  <c r="K29" i="11"/>
  <c r="K34" i="10"/>
  <c r="S2" i="11"/>
  <c r="Y36" i="11" s="1"/>
  <c r="K16" i="11"/>
  <c r="K24" i="11"/>
  <c r="Y33" i="11"/>
  <c r="Y34" i="11"/>
  <c r="Y19" i="11"/>
  <c r="Y33" i="10"/>
  <c r="Y34" i="10"/>
  <c r="A3" i="2"/>
  <c r="Y37" i="9"/>
  <c r="K37" i="9"/>
  <c r="J37" i="9"/>
  <c r="I37" i="9"/>
  <c r="H37" i="9"/>
  <c r="G37" i="9"/>
  <c r="F37" i="9"/>
  <c r="E37" i="9"/>
  <c r="D37" i="9"/>
  <c r="C37" i="9"/>
  <c r="B37" i="9"/>
  <c r="A37" i="9"/>
  <c r="J34" i="9"/>
  <c r="I34" i="9"/>
  <c r="H34" i="9"/>
  <c r="G34" i="9"/>
  <c r="F34" i="9"/>
  <c r="E34" i="9"/>
  <c r="D34" i="9"/>
  <c r="C34" i="9"/>
  <c r="B34" i="9"/>
  <c r="A34" i="9"/>
  <c r="K33" i="9"/>
  <c r="J33" i="9"/>
  <c r="I33" i="9"/>
  <c r="H33" i="9"/>
  <c r="G33" i="9"/>
  <c r="F33" i="9"/>
  <c r="E33" i="9"/>
  <c r="D33" i="9"/>
  <c r="C33" i="9"/>
  <c r="B33" i="9"/>
  <c r="A33" i="9"/>
  <c r="J32" i="9"/>
  <c r="I32" i="9"/>
  <c r="H32" i="9"/>
  <c r="G32" i="9"/>
  <c r="F32" i="9"/>
  <c r="E32" i="9"/>
  <c r="D32" i="9"/>
  <c r="C32" i="9"/>
  <c r="B32" i="9"/>
  <c r="A32" i="9"/>
  <c r="J31" i="9"/>
  <c r="I31" i="9"/>
  <c r="H31" i="9"/>
  <c r="G31" i="9"/>
  <c r="F31" i="9"/>
  <c r="E31" i="9"/>
  <c r="D31" i="9"/>
  <c r="C31" i="9"/>
  <c r="B31" i="9"/>
  <c r="A31" i="9"/>
  <c r="K30" i="9"/>
  <c r="J30" i="9"/>
  <c r="I30" i="9"/>
  <c r="H30" i="9"/>
  <c r="G30" i="9"/>
  <c r="F30" i="9"/>
  <c r="E30" i="9"/>
  <c r="D30" i="9"/>
  <c r="C30" i="9"/>
  <c r="B30" i="9"/>
  <c r="A30" i="9"/>
  <c r="J29" i="9"/>
  <c r="I29" i="9"/>
  <c r="H29" i="9"/>
  <c r="G29" i="9"/>
  <c r="F29" i="9"/>
  <c r="E29" i="9"/>
  <c r="D29" i="9"/>
  <c r="C29" i="9"/>
  <c r="B29" i="9"/>
  <c r="A29" i="9"/>
  <c r="J28" i="9"/>
  <c r="I28" i="9"/>
  <c r="H28" i="9"/>
  <c r="G28" i="9"/>
  <c r="F28" i="9"/>
  <c r="E28" i="9"/>
  <c r="D28" i="9"/>
  <c r="C28" i="9"/>
  <c r="B28" i="9"/>
  <c r="A28" i="9"/>
  <c r="J27" i="9"/>
  <c r="I27" i="9"/>
  <c r="H27" i="9"/>
  <c r="G27" i="9"/>
  <c r="F27" i="9"/>
  <c r="E27" i="9"/>
  <c r="D27" i="9"/>
  <c r="C27" i="9"/>
  <c r="B27" i="9"/>
  <c r="A27" i="9"/>
  <c r="J26" i="9"/>
  <c r="I26" i="9"/>
  <c r="H26" i="9"/>
  <c r="G26" i="9"/>
  <c r="F26" i="9"/>
  <c r="E26" i="9"/>
  <c r="D26" i="9"/>
  <c r="C26" i="9"/>
  <c r="B26" i="9"/>
  <c r="A26" i="9"/>
  <c r="K25" i="9"/>
  <c r="J25" i="9"/>
  <c r="I25" i="9"/>
  <c r="H25" i="9"/>
  <c r="G25" i="9"/>
  <c r="F25" i="9"/>
  <c r="E25" i="9"/>
  <c r="D25" i="9"/>
  <c r="C25" i="9"/>
  <c r="B25" i="9"/>
  <c r="A25" i="9"/>
  <c r="J24" i="9"/>
  <c r="I24" i="9"/>
  <c r="H24" i="9"/>
  <c r="G24" i="9"/>
  <c r="F24" i="9"/>
  <c r="E24" i="9"/>
  <c r="D24" i="9"/>
  <c r="C24" i="9"/>
  <c r="B24" i="9"/>
  <c r="A24" i="9"/>
  <c r="J23" i="9"/>
  <c r="I23" i="9"/>
  <c r="H23" i="9"/>
  <c r="G23" i="9"/>
  <c r="F23" i="9"/>
  <c r="E23" i="9"/>
  <c r="D23" i="9"/>
  <c r="C23" i="9"/>
  <c r="B23" i="9"/>
  <c r="A23" i="9"/>
  <c r="K22" i="9"/>
  <c r="J22" i="9"/>
  <c r="I22" i="9"/>
  <c r="H22" i="9"/>
  <c r="G22" i="9"/>
  <c r="F22" i="9"/>
  <c r="E22" i="9"/>
  <c r="D22" i="9"/>
  <c r="C22" i="9"/>
  <c r="B22" i="9"/>
  <c r="A22" i="9"/>
  <c r="J21" i="9"/>
  <c r="I21" i="9"/>
  <c r="H21" i="9"/>
  <c r="G21" i="9"/>
  <c r="F21" i="9"/>
  <c r="E21" i="9"/>
  <c r="D21" i="9"/>
  <c r="C21" i="9"/>
  <c r="B21" i="9"/>
  <c r="A21" i="9"/>
  <c r="J20" i="9"/>
  <c r="I20" i="9"/>
  <c r="H20" i="9"/>
  <c r="G20" i="9"/>
  <c r="F20" i="9"/>
  <c r="E20" i="9"/>
  <c r="D20" i="9"/>
  <c r="C20" i="9"/>
  <c r="B20" i="9"/>
  <c r="A20" i="9"/>
  <c r="J19" i="9"/>
  <c r="I19" i="9"/>
  <c r="H19" i="9"/>
  <c r="G19" i="9"/>
  <c r="F19" i="9"/>
  <c r="E19" i="9"/>
  <c r="D19" i="9"/>
  <c r="C19" i="9"/>
  <c r="B19" i="9"/>
  <c r="A19" i="9"/>
  <c r="J18" i="9"/>
  <c r="I18" i="9"/>
  <c r="H18" i="9"/>
  <c r="G18" i="9"/>
  <c r="F18" i="9"/>
  <c r="E18" i="9"/>
  <c r="D18" i="9"/>
  <c r="C18" i="9"/>
  <c r="B18" i="9"/>
  <c r="A18" i="9"/>
  <c r="K17" i="9"/>
  <c r="J17" i="9"/>
  <c r="I17" i="9"/>
  <c r="H17" i="9"/>
  <c r="G17" i="9"/>
  <c r="F17" i="9"/>
  <c r="E17" i="9"/>
  <c r="D17" i="9"/>
  <c r="C17" i="9"/>
  <c r="B17" i="9"/>
  <c r="A17" i="9"/>
  <c r="J16" i="9"/>
  <c r="I16" i="9"/>
  <c r="H16" i="9"/>
  <c r="G16" i="9"/>
  <c r="F16" i="9"/>
  <c r="E16" i="9"/>
  <c r="D16" i="9"/>
  <c r="C16" i="9"/>
  <c r="B16" i="9"/>
  <c r="A16" i="9"/>
  <c r="J15" i="9"/>
  <c r="I15" i="9"/>
  <c r="H15" i="9"/>
  <c r="G15" i="9"/>
  <c r="F15" i="9"/>
  <c r="E15" i="9"/>
  <c r="D15" i="9"/>
  <c r="C15" i="9"/>
  <c r="B15" i="9"/>
  <c r="A15" i="9"/>
  <c r="K14" i="9"/>
  <c r="J14" i="9"/>
  <c r="I14" i="9"/>
  <c r="H14" i="9"/>
  <c r="G14" i="9"/>
  <c r="F14" i="9"/>
  <c r="E14" i="9"/>
  <c r="D14" i="9"/>
  <c r="C14" i="9"/>
  <c r="B14" i="9"/>
  <c r="A14" i="9"/>
  <c r="J13" i="9"/>
  <c r="I13" i="9"/>
  <c r="H13" i="9"/>
  <c r="G13" i="9"/>
  <c r="F13" i="9"/>
  <c r="E13" i="9"/>
  <c r="D13" i="9"/>
  <c r="C13" i="9"/>
  <c r="B13" i="9"/>
  <c r="A13" i="9"/>
  <c r="J12" i="9"/>
  <c r="I12" i="9"/>
  <c r="H12" i="9"/>
  <c r="G12" i="9"/>
  <c r="F12" i="9"/>
  <c r="E12" i="9"/>
  <c r="D12" i="9"/>
  <c r="C12" i="9"/>
  <c r="B12" i="9"/>
  <c r="A12" i="9"/>
  <c r="J11" i="9"/>
  <c r="I11" i="9"/>
  <c r="H11" i="9"/>
  <c r="G11" i="9"/>
  <c r="F11" i="9"/>
  <c r="E11" i="9"/>
  <c r="D11" i="9"/>
  <c r="C11" i="9"/>
  <c r="B11" i="9"/>
  <c r="A11" i="9"/>
  <c r="A2" i="2"/>
  <c r="N4" i="9"/>
  <c r="N2" i="9"/>
  <c r="M1" i="9"/>
  <c r="N5" i="9"/>
  <c r="S3" i="9"/>
  <c r="A6" i="2"/>
  <c r="S6" i="9"/>
  <c r="S4" i="9"/>
  <c r="S5" i="9"/>
  <c r="A4" i="2"/>
  <c r="A5" i="2"/>
  <c r="A1" i="2"/>
  <c r="A7" i="2"/>
  <c r="Y34" i="9"/>
  <c r="Y33" i="9"/>
  <c r="K12" i="9" l="1"/>
  <c r="K28" i="9"/>
  <c r="K11" i="10"/>
  <c r="K13" i="9"/>
  <c r="K21" i="9"/>
  <c r="K29" i="9"/>
  <c r="S2" i="9"/>
  <c r="K18" i="10"/>
  <c r="K33" i="10"/>
  <c r="K14" i="10"/>
  <c r="K35" i="9"/>
  <c r="K18" i="9"/>
  <c r="K34" i="9"/>
  <c r="K26" i="10"/>
  <c r="K22" i="10"/>
  <c r="K16" i="9"/>
  <c r="K32" i="9"/>
  <c r="K25" i="10"/>
  <c r="K20" i="9"/>
  <c r="K15" i="9"/>
  <c r="K23" i="9"/>
  <c r="K31" i="9"/>
  <c r="K26" i="9"/>
  <c r="S2" i="10"/>
  <c r="Y11" i="10" s="1"/>
  <c r="K24" i="9"/>
  <c r="K11" i="9"/>
  <c r="K19" i="9"/>
  <c r="K21" i="11"/>
  <c r="K28" i="10"/>
  <c r="K17" i="10"/>
  <c r="K25" i="11"/>
  <c r="K14" i="11"/>
  <c r="Y30" i="9"/>
  <c r="Y32" i="9"/>
  <c r="Y15" i="9"/>
  <c r="Y28" i="11"/>
  <c r="Y13" i="11"/>
  <c r="Y24" i="11"/>
  <c r="Y18" i="11"/>
  <c r="Y15" i="11"/>
  <c r="Y12" i="11"/>
  <c r="Y16" i="11"/>
  <c r="Y25" i="11"/>
  <c r="Y31" i="10"/>
  <c r="Y23" i="11"/>
  <c r="Y30" i="11"/>
  <c r="Y20" i="11"/>
  <c r="Y35" i="11"/>
  <c r="Y35" i="10"/>
  <c r="Y31" i="11"/>
  <c r="Y32" i="11"/>
  <c r="Y26" i="11"/>
  <c r="Y21" i="11"/>
  <c r="Y22" i="11"/>
  <c r="Y17" i="10"/>
  <c r="Y27" i="11"/>
  <c r="Y29" i="11"/>
  <c r="Y11" i="11"/>
  <c r="Y14" i="11"/>
  <c r="Y17" i="11"/>
  <c r="Y23" i="10" l="1"/>
  <c r="Y25" i="10"/>
  <c r="Y18" i="9"/>
  <c r="Y36" i="9"/>
  <c r="Y15" i="10"/>
  <c r="Y32" i="10"/>
  <c r="Y28" i="10"/>
  <c r="Y25" i="9"/>
  <c r="Y20" i="9"/>
  <c r="Y12" i="9"/>
  <c r="Y31" i="9"/>
  <c r="Y19" i="9"/>
  <c r="Y22" i="9"/>
  <c r="Y13" i="9"/>
  <c r="Y13" i="10"/>
  <c r="Y14" i="10"/>
  <c r="Y14" i="9"/>
  <c r="Y35" i="9"/>
  <c r="Y24" i="10"/>
  <c r="Y11" i="9"/>
  <c r="S7" i="9" s="1"/>
  <c r="Y22" i="10"/>
  <c r="Y19" i="10"/>
  <c r="Y16" i="10"/>
  <c r="Y24" i="9"/>
  <c r="Y21" i="10"/>
  <c r="Y18" i="10"/>
  <c r="Y27" i="10"/>
  <c r="Y12" i="10"/>
  <c r="S7" i="10" s="1"/>
  <c r="L27" i="10" s="1"/>
  <c r="Y27" i="9"/>
  <c r="Y17" i="9"/>
  <c r="Y28" i="9"/>
  <c r="Y21" i="9"/>
  <c r="Y29" i="10"/>
  <c r="Y26" i="10"/>
  <c r="Y36" i="10"/>
  <c r="Y30" i="10"/>
  <c r="Y20" i="10"/>
  <c r="Y26" i="9"/>
  <c r="Y29" i="9"/>
  <c r="Y23" i="9"/>
  <c r="Y16" i="9"/>
  <c r="S7" i="11"/>
  <c r="L17" i="10" l="1"/>
  <c r="L34" i="10"/>
  <c r="L24" i="10"/>
  <c r="L19" i="10"/>
  <c r="L20" i="10"/>
  <c r="L25" i="10"/>
  <c r="L37" i="10"/>
  <c r="L21" i="10"/>
  <c r="L14" i="10"/>
  <c r="L11" i="10"/>
  <c r="L28" i="10"/>
  <c r="L35" i="10"/>
  <c r="L33" i="10"/>
  <c r="L13" i="10"/>
  <c r="L30" i="10"/>
  <c r="L31" i="10"/>
  <c r="L23" i="10"/>
  <c r="L29" i="10"/>
  <c r="L36" i="10"/>
  <c r="L16" i="10"/>
  <c r="L22" i="10"/>
  <c r="L26" i="10"/>
  <c r="L15" i="10"/>
  <c r="L32" i="10"/>
  <c r="L18" i="10"/>
  <c r="L12" i="10"/>
  <c r="L31" i="11"/>
  <c r="L17" i="11"/>
  <c r="L19" i="11"/>
  <c r="L18" i="11"/>
  <c r="L20" i="11"/>
  <c r="L12" i="11"/>
  <c r="L11" i="11"/>
  <c r="L24" i="11"/>
  <c r="L16" i="11"/>
  <c r="L32" i="11"/>
  <c r="L21" i="11"/>
  <c r="L25" i="11"/>
  <c r="L22" i="11"/>
  <c r="L28" i="11"/>
  <c r="L30" i="11"/>
  <c r="L33" i="11"/>
  <c r="L27" i="11"/>
  <c r="L14" i="11"/>
  <c r="L26" i="11"/>
  <c r="L34" i="11"/>
  <c r="L36" i="11"/>
  <c r="L35" i="11"/>
  <c r="L13" i="11"/>
  <c r="L15" i="11"/>
  <c r="L23" i="11"/>
  <c r="L29" i="11"/>
  <c r="L37" i="11"/>
  <c r="L16" i="9"/>
  <c r="L27" i="9"/>
  <c r="L26" i="9"/>
  <c r="L11" i="9"/>
  <c r="L13" i="9"/>
  <c r="L34" i="9"/>
  <c r="L18" i="9"/>
  <c r="L31" i="9"/>
  <c r="L21" i="9"/>
  <c r="L32" i="9"/>
  <c r="L28" i="9"/>
  <c r="L29" i="9"/>
  <c r="L12" i="9"/>
  <c r="L36" i="9"/>
  <c r="L15" i="9"/>
  <c r="L35" i="9"/>
  <c r="L25" i="9"/>
  <c r="L23" i="9"/>
  <c r="L14" i="9"/>
  <c r="L33" i="9"/>
  <c r="L19" i="9"/>
  <c r="L17" i="9"/>
  <c r="L24" i="9"/>
  <c r="L20" i="9"/>
  <c r="L37" i="9"/>
  <c r="L22" i="9"/>
  <c r="L30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Joyce Wu</author>
  </authors>
  <commentList>
    <comment ref="V12" authorId="0" shapeId="0" xr:uid="{4E833B67-3F0E-4565-867F-94E6F3F00476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0" authorId="0" shapeId="0" xr:uid="{BF6C91EA-BD61-4F6B-A02E-38C06A86D333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1" authorId="0" shapeId="0" xr:uid="{E4F25114-4EE9-47A6-B37E-975AC2212453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2" authorId="0" shapeId="0" xr:uid="{5B1407E4-5C5C-43B0-8710-54A0E1643514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3" authorId="0" shapeId="0" xr:uid="{560F904A-9D32-4779-A2A6-837E70AD20FF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8" authorId="0" shapeId="0" xr:uid="{05908399-2D67-4433-8ECA-14D9146262A5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32" authorId="0" shapeId="0" xr:uid="{B721C715-D21E-4666-9B4C-8E0E1E757F4C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Joyce Wu</author>
  </authors>
  <commentList>
    <comment ref="V12" authorId="0" shapeId="0" xr:uid="{FCA3F3E7-7A9E-43B8-BCB6-B8F843604434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0" authorId="0" shapeId="0" xr:uid="{1F770102-4B22-43B4-8395-378D7E47C57C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1" authorId="0" shapeId="0" xr:uid="{FDE8BBBF-8E4F-4788-9ACD-673F23481B26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2" authorId="0" shapeId="0" xr:uid="{8A5A2833-B9CC-4F3C-BB7B-B4AA381C2BF4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3" authorId="0" shapeId="0" xr:uid="{7AFCF26A-ACFA-42E1-811F-2F80B4AFD660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8" authorId="0" shapeId="0" xr:uid="{38E5ADF6-AE4D-40FA-9EB2-F0A6C361EF89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32" authorId="0" shapeId="0" xr:uid="{F1FF8F5C-23D7-40AA-9484-C272CDEF21B5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Joyce Wu</author>
  </authors>
  <commentList>
    <comment ref="V12" authorId="0" shapeId="0" xr:uid="{8FAD608D-9305-4E33-8B7E-62AD1B23628C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1" authorId="0" shapeId="0" xr:uid="{2DD283D8-DF20-4120-9065-1556A927F7E6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3" authorId="0" shapeId="0" xr:uid="{FD2DEB0B-C9F3-420D-8D6B-F638BE9B6407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7" authorId="0" shapeId="0" xr:uid="{EE564263-80C2-4B8E-96BC-70B05ED29EE9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V28" authorId="0" shapeId="0" xr:uid="{73FEA545-098C-4181-8F5B-CF130CAF15F6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</commentList>
</comments>
</file>

<file path=xl/sharedStrings.xml><?xml version="1.0" encoding="utf-8"?>
<sst xmlns="http://schemas.openxmlformats.org/spreadsheetml/2006/main" count="961" uniqueCount="208">
  <si>
    <t>版本</t>
  </si>
  <si>
    <t>機密等級</t>
  </si>
  <si>
    <t>資產子類別</t>
    <phoneticPr fontId="4" type="noConversion"/>
  </si>
  <si>
    <t>數量</t>
    <phoneticPr fontId="4" type="noConversion"/>
  </si>
  <si>
    <t>弱點</t>
  </si>
  <si>
    <t>資產類別編號：</t>
  </si>
  <si>
    <t>評鑑人員：</t>
  </si>
  <si>
    <t>評鑑日期：</t>
  </si>
  <si>
    <t>評鑑人主管：</t>
  </si>
  <si>
    <t>類別：</t>
    <phoneticPr fontId="4" type="noConversion"/>
  </si>
  <si>
    <t>資產(群組)名稱：</t>
    <phoneticPr fontId="4" type="noConversion"/>
  </si>
  <si>
    <t>資訊資產價值：</t>
    <phoneticPr fontId="4" type="noConversion"/>
  </si>
  <si>
    <t>最大綜合風險：</t>
    <phoneticPr fontId="4" type="noConversion"/>
  </si>
  <si>
    <t>資產類別編號</t>
    <phoneticPr fontId="4" type="noConversion"/>
  </si>
  <si>
    <t>資產子類別</t>
    <phoneticPr fontId="4" type="noConversion"/>
  </si>
  <si>
    <t>資產名稱</t>
    <phoneticPr fontId="4" type="noConversion"/>
  </si>
  <si>
    <t>資產說明</t>
    <phoneticPr fontId="4" type="noConversion"/>
  </si>
  <si>
    <t>負責人</t>
    <phoneticPr fontId="4" type="noConversion"/>
  </si>
  <si>
    <t>C</t>
    <phoneticPr fontId="4" type="noConversion"/>
  </si>
  <si>
    <t>I</t>
    <phoneticPr fontId="4" type="noConversion"/>
  </si>
  <si>
    <t>A</t>
    <phoneticPr fontId="4" type="noConversion"/>
  </si>
  <si>
    <t>Law</t>
    <phoneticPr fontId="4" type="noConversion"/>
  </si>
  <si>
    <t>資產價值</t>
    <phoneticPr fontId="4" type="noConversion"/>
  </si>
  <si>
    <t>威脅</t>
  </si>
  <si>
    <t>適用性</t>
    <phoneticPr fontId="4" type="noConversion"/>
  </si>
  <si>
    <t>可能性</t>
    <phoneticPr fontId="4" type="noConversion"/>
  </si>
  <si>
    <t>理由</t>
    <phoneticPr fontId="4" type="noConversion"/>
  </si>
  <si>
    <t>衝擊性</t>
    <phoneticPr fontId="4" type="noConversion"/>
  </si>
  <si>
    <t>風險值</t>
    <phoneticPr fontId="4" type="noConversion"/>
  </si>
  <si>
    <t>備註</t>
    <phoneticPr fontId="4" type="noConversion"/>
  </si>
  <si>
    <t>不當之人員異動 (離職或故意挖角)</t>
  </si>
  <si>
    <t>工作負荷過重</t>
  </si>
  <si>
    <t>資訊資產風險評鑑</t>
    <phoneticPr fontId="1" type="noConversion"/>
  </si>
  <si>
    <t>人員類(PE)</t>
    <phoneticPr fontId="1" type="noConversion"/>
  </si>
  <si>
    <t>最大綜合風險</t>
    <phoneticPr fontId="4" type="noConversion"/>
  </si>
  <si>
    <t>資訊資產群組清單
威脅弱點評估表</t>
    <phoneticPr fontId="1" type="noConversion"/>
  </si>
  <si>
    <r>
      <rPr>
        <b/>
        <sz val="12"/>
        <rFont val="微軟正黑體"/>
        <family val="2"/>
        <charset val="136"/>
      </rPr>
      <t>限閱級</t>
    </r>
  </si>
  <si>
    <t>發生機率評估準則</t>
  </si>
  <si>
    <t>機率</t>
  </si>
  <si>
    <t>幾乎不可能發生</t>
  </si>
  <si>
    <t>很少發生</t>
  </si>
  <si>
    <t>偶爾發生</t>
  </si>
  <si>
    <t>時常發生</t>
  </si>
  <si>
    <t>中</t>
  </si>
  <si>
    <t>高</t>
  </si>
  <si>
    <t>極高</t>
  </si>
  <si>
    <t>計畫代號</t>
    <phoneticPr fontId="1" type="noConversion"/>
  </si>
  <si>
    <t>編號</t>
    <phoneticPr fontId="1" type="noConversion"/>
  </si>
  <si>
    <t>日期</t>
    <phoneticPr fontId="1" type="noConversion"/>
  </si>
  <si>
    <t>可能性(弱點)-事件發生機率評估標準</t>
    <phoneticPr fontId="1" type="noConversion"/>
  </si>
  <si>
    <r>
      <t>1年內可能發生</t>
    </r>
    <r>
      <rPr>
        <sz val="12"/>
        <color rgb="FFFF0000"/>
        <rFont val="微軟正黑體"/>
        <family val="2"/>
        <charset val="136"/>
      </rPr>
      <t>5次~ 7次</t>
    </r>
    <phoneticPr fontId="1" type="noConversion"/>
  </si>
  <si>
    <t>等級</t>
    <phoneticPr fontId="1" type="noConversion"/>
  </si>
  <si>
    <r>
      <t>1年內可能發生</t>
    </r>
    <r>
      <rPr>
        <sz val="12"/>
        <color rgb="FFFF0000"/>
        <rFont val="微軟正黑體"/>
        <family val="2"/>
        <charset val="136"/>
      </rPr>
      <t>1次以下</t>
    </r>
    <phoneticPr fontId="1" type="noConversion"/>
  </si>
  <si>
    <r>
      <t>1年內可能發生</t>
    </r>
    <r>
      <rPr>
        <sz val="12"/>
        <color rgb="FFFF0000"/>
        <rFont val="微軟正黑體"/>
        <family val="2"/>
        <charset val="136"/>
      </rPr>
      <t>2次~ 4次</t>
    </r>
    <phoneticPr fontId="1" type="noConversion"/>
  </si>
  <si>
    <r>
      <t>1年內可能發生</t>
    </r>
    <r>
      <rPr>
        <sz val="12"/>
        <color rgb="FFFF0000"/>
        <rFont val="微軟正黑體"/>
        <family val="2"/>
        <charset val="136"/>
      </rPr>
      <t>8次以上</t>
    </r>
    <phoneticPr fontId="1" type="noConversion"/>
  </si>
  <si>
    <t>衝擊性(威脅)-事件衝擊程度評估標準</t>
    <phoneticPr fontId="1" type="noConversion"/>
  </si>
  <si>
    <t>低</t>
    <phoneticPr fontId="1" type="noConversion"/>
  </si>
  <si>
    <r>
      <t>風險發生幾乎</t>
    </r>
    <r>
      <rPr>
        <sz val="12"/>
        <color rgb="FFFF0000"/>
        <rFont val="微軟正黑體"/>
        <family val="2"/>
        <charset val="136"/>
      </rPr>
      <t>不會影響到業務</t>
    </r>
    <r>
      <rPr>
        <sz val="12"/>
        <color theme="1"/>
        <rFont val="微軟正黑體"/>
        <family val="2"/>
        <charset val="136"/>
      </rPr>
      <t xml:space="preserve">
（可以立即完成復原）</t>
    </r>
    <phoneticPr fontId="1" type="noConversion"/>
  </si>
  <si>
    <t>資產概述</t>
    <phoneticPr fontId="4" type="noConversion"/>
  </si>
  <si>
    <t>資產名稱</t>
    <phoneticPr fontId="4" type="noConversion"/>
  </si>
  <si>
    <t>資產說明</t>
    <phoneticPr fontId="4" type="noConversion"/>
  </si>
  <si>
    <t>位置</t>
    <phoneticPr fontId="4" type="noConversion"/>
  </si>
  <si>
    <t>數量</t>
    <phoneticPr fontId="4" type="noConversion"/>
  </si>
  <si>
    <t>負責人</t>
    <phoneticPr fontId="4" type="noConversion"/>
  </si>
  <si>
    <t>C</t>
    <phoneticPr fontId="4" type="noConversion"/>
  </si>
  <si>
    <t>理由</t>
    <phoneticPr fontId="4" type="noConversion"/>
  </si>
  <si>
    <t>I</t>
    <phoneticPr fontId="4" type="noConversion"/>
  </si>
  <si>
    <t>理由</t>
    <phoneticPr fontId="4" type="noConversion"/>
  </si>
  <si>
    <t>A</t>
    <phoneticPr fontId="4" type="noConversion"/>
  </si>
  <si>
    <t>Law</t>
    <phoneticPr fontId="4" type="noConversion"/>
  </si>
  <si>
    <t>理由</t>
    <phoneticPr fontId="4" type="noConversion"/>
  </si>
  <si>
    <t>資產
價值</t>
    <phoneticPr fontId="4" type="noConversion"/>
  </si>
  <si>
    <t>評鑑
人員</t>
    <phoneticPr fontId="4" type="noConversion"/>
  </si>
  <si>
    <t>資產價值評鑑</t>
    <phoneticPr fontId="4" type="noConversion"/>
  </si>
  <si>
    <t>資產類別
編號</t>
    <phoneticPr fontId="4" type="noConversion"/>
  </si>
  <si>
    <t>C：</t>
    <phoneticPr fontId="4" type="noConversion"/>
  </si>
  <si>
    <t>I：</t>
    <phoneticPr fontId="4" type="noConversion"/>
  </si>
  <si>
    <t>A：</t>
    <phoneticPr fontId="4" type="noConversion"/>
  </si>
  <si>
    <t>L：</t>
    <phoneticPr fontId="4" type="noConversion"/>
  </si>
  <si>
    <t>工作負荷過重</t>
    <phoneticPr fontId="4" type="noConversion"/>
  </si>
  <si>
    <t>Y</t>
  </si>
  <si>
    <t>(該人員處理的資訊資產)失竊或外洩</t>
  </si>
  <si>
    <t>人員安全意識不足</t>
  </si>
  <si>
    <t>人員評選程序不嚴謹</t>
  </si>
  <si>
    <t>外部人員或清潔人員缺乏人員陪同作業</t>
  </si>
  <si>
    <t>未保護儲存文件或電子檔</t>
  </si>
  <si>
    <t>資料銷毀時的不注意</t>
  </si>
  <si>
    <t>機密資料的外洩 ( E-mail或儲存媒體)</t>
  </si>
  <si>
    <t>儲存媒介內之資料沒有適當刪除就丟棄或重覆使用</t>
  </si>
  <si>
    <t>(該人員處理的資訊資產)失竊或外洩+10:35</t>
    <phoneticPr fontId="4" type="noConversion"/>
  </si>
  <si>
    <t>使用者錯誤(無意)</t>
  </si>
  <si>
    <t>存取權限授與不當</t>
  </si>
  <si>
    <t>缺少密碼管理</t>
  </si>
  <si>
    <t>缺乏稽核軌跡</t>
  </si>
  <si>
    <t>故意的破壞(有意)</t>
  </si>
  <si>
    <t>建築物、房間的物質進出控制的不足或不小心使用</t>
  </si>
  <si>
    <t>識別與認證機制的不足</t>
  </si>
  <si>
    <t>能力不足</t>
  </si>
  <si>
    <t>人員評選程序不夠嚴謹</t>
  </si>
  <si>
    <t>專業訓練不足</t>
  </si>
  <si>
    <t>偽裝使用者身份</t>
  </si>
  <si>
    <t>離開工作站時沒有”登出”</t>
  </si>
  <si>
    <t>非法使用軟體(輸入與輸出)</t>
  </si>
  <si>
    <t>未控管的軟體使用和下載</t>
  </si>
  <si>
    <t>弱密碼或裝置遺失</t>
    <phoneticPr fontId="4" type="noConversion"/>
  </si>
  <si>
    <t>BYOD的使用造成密碼或資訊外洩</t>
    <phoneticPr fontId="4" type="noConversion"/>
  </si>
  <si>
    <t>不瞭解公司對BYOD政策及資料外洩或遺失後的通報處理</t>
    <phoneticPr fontId="4" type="noConversion"/>
  </si>
  <si>
    <t>其他威脅</t>
  </si>
  <si>
    <t>其他弱點</t>
    <phoneticPr fontId="4" type="noConversion"/>
  </si>
  <si>
    <t>N</t>
  </si>
  <si>
    <t>價值評鑑</t>
    <phoneticPr fontId="1" type="noConversion"/>
  </si>
  <si>
    <t>威脅弱點評估</t>
    <phoneticPr fontId="1" type="noConversion"/>
  </si>
  <si>
    <t>H&amp;I欄不可移動</t>
    <phoneticPr fontId="1" type="noConversion"/>
  </si>
  <si>
    <t>價值</t>
  </si>
  <si>
    <t>機密性( C )-評估標準說明</t>
    <phoneticPr fontId="1" type="noConversion"/>
  </si>
  <si>
    <t>CIA關聯</t>
    <phoneticPr fontId="1" type="noConversion"/>
  </si>
  <si>
    <r>
      <rPr>
        <sz val="12"/>
        <color rgb="FFFF0000"/>
        <rFont val="微軟正黑體"/>
        <family val="2"/>
        <charset val="136"/>
      </rPr>
      <t>一般</t>
    </r>
    <r>
      <rPr>
        <sz val="12"/>
        <color theme="1"/>
        <rFont val="微軟正黑體"/>
        <family val="2"/>
        <charset val="136"/>
      </rPr>
      <t>︰此資訊資產被揭露不會對本組織造成任何影響</t>
    </r>
    <phoneticPr fontId="1" type="noConversion"/>
  </si>
  <si>
    <t>C</t>
    <phoneticPr fontId="1" type="noConversion"/>
  </si>
  <si>
    <r>
      <rPr>
        <sz val="12"/>
        <color rgb="FFFF0000"/>
        <rFont val="微軟正黑體"/>
        <family val="2"/>
        <charset val="136"/>
      </rPr>
      <t>限閱</t>
    </r>
    <r>
      <rPr>
        <sz val="12"/>
        <color theme="1"/>
        <rFont val="微軟正黑體"/>
        <family val="2"/>
        <charset val="136"/>
      </rPr>
      <t>︰此資訊資產所包含資訊敏感且有特殊之機密性要求，僅限組織內部存取</t>
    </r>
    <phoneticPr fontId="1" type="noConversion"/>
  </si>
  <si>
    <r>
      <rPr>
        <sz val="12"/>
        <color rgb="FFFF0000"/>
        <rFont val="微軟正黑體"/>
        <family val="2"/>
        <charset val="136"/>
      </rPr>
      <t>密</t>
    </r>
    <r>
      <rPr>
        <sz val="12"/>
        <color theme="1"/>
        <rFont val="微軟正黑體"/>
        <family val="2"/>
        <charset val="136"/>
      </rPr>
      <t>︰此資訊資產所包含資訊不當揭露會對本組織營運造成顯著影響，限定特定、業務範圍人員讀取</t>
    </r>
    <phoneticPr fontId="1" type="noConversion"/>
  </si>
  <si>
    <t>A</t>
    <phoneticPr fontId="1" type="noConversion"/>
  </si>
  <si>
    <r>
      <rPr>
        <sz val="12"/>
        <color rgb="FFFF0000"/>
        <rFont val="微軟正黑體"/>
        <family val="2"/>
        <charset val="136"/>
      </rPr>
      <t>機密</t>
    </r>
    <r>
      <rPr>
        <sz val="12"/>
        <color theme="1"/>
        <rFont val="微軟正黑體"/>
        <family val="2"/>
        <charset val="136"/>
      </rPr>
      <t>︰此資訊資產所包含資訊為內部或法律所規範的機密資訊，不當揭露會造成組織嚴重傷害，限定少數特定人員才可讀取</t>
    </r>
    <phoneticPr fontId="1" type="noConversion"/>
  </si>
  <si>
    <t>完整性( I )-評估標準說明</t>
    <phoneticPr fontId="1" type="noConversion"/>
  </si>
  <si>
    <r>
      <rPr>
        <sz val="12"/>
        <color rgb="FFFF0000"/>
        <rFont val="微軟正黑體"/>
        <family val="2"/>
        <charset val="136"/>
      </rPr>
      <t>資訊</t>
    </r>
    <r>
      <rPr>
        <sz val="12"/>
        <color theme="1"/>
        <rFont val="微軟正黑體"/>
        <family val="2"/>
        <charset val="136"/>
      </rPr>
      <t>遭竄改或處理</t>
    </r>
    <r>
      <rPr>
        <sz val="12"/>
        <color rgb="FFFF0000"/>
        <rFont val="微軟正黑體"/>
        <family val="2"/>
        <charset val="136"/>
      </rPr>
      <t>錯誤</t>
    </r>
    <r>
      <rPr>
        <sz val="12"/>
        <color theme="1"/>
        <rFont val="微軟正黑體"/>
        <family val="2"/>
        <charset val="136"/>
      </rPr>
      <t>會對組織造成</t>
    </r>
    <r>
      <rPr>
        <sz val="12"/>
        <color rgb="FFFF0000"/>
        <rFont val="微軟正黑體"/>
        <family val="2"/>
        <charset val="136"/>
      </rPr>
      <t>輕度影響</t>
    </r>
    <phoneticPr fontId="1" type="noConversion"/>
  </si>
  <si>
    <r>
      <rPr>
        <sz val="12"/>
        <color rgb="FFFF0000"/>
        <rFont val="微軟正黑體"/>
        <family val="2"/>
        <charset val="136"/>
      </rPr>
      <t>資訊</t>
    </r>
    <r>
      <rPr>
        <sz val="12"/>
        <color theme="1"/>
        <rFont val="微軟正黑體"/>
        <family val="2"/>
        <charset val="136"/>
      </rPr>
      <t>遭竄改或處理</t>
    </r>
    <r>
      <rPr>
        <sz val="12"/>
        <color rgb="FFFF0000"/>
        <rFont val="微軟正黑體"/>
        <family val="2"/>
        <charset val="136"/>
      </rPr>
      <t>錯誤</t>
    </r>
    <r>
      <rPr>
        <sz val="12"/>
        <color theme="1"/>
        <rFont val="微軟正黑體"/>
        <family val="2"/>
        <charset val="136"/>
      </rPr>
      <t>會對組織造成</t>
    </r>
    <r>
      <rPr>
        <sz val="12"/>
        <color rgb="FFFF0000"/>
        <rFont val="微軟正黑體"/>
        <family val="2"/>
        <charset val="136"/>
      </rPr>
      <t>中度影響</t>
    </r>
    <phoneticPr fontId="1" type="noConversion"/>
  </si>
  <si>
    <r>
      <rPr>
        <sz val="12"/>
        <color rgb="FFFF0000"/>
        <rFont val="微軟正黑體"/>
        <family val="2"/>
        <charset val="136"/>
      </rPr>
      <t>資訊</t>
    </r>
    <r>
      <rPr>
        <sz val="12"/>
        <color theme="1"/>
        <rFont val="微軟正黑體"/>
        <family val="2"/>
        <charset val="136"/>
      </rPr>
      <t>遭竄改或處理錯誤會對組織造成</t>
    </r>
    <r>
      <rPr>
        <sz val="12"/>
        <color rgb="FFFF0000"/>
        <rFont val="微軟正黑體"/>
        <family val="2"/>
        <charset val="136"/>
      </rPr>
      <t>重度影響</t>
    </r>
    <phoneticPr fontId="1" type="noConversion"/>
  </si>
  <si>
    <r>
      <rPr>
        <sz val="12"/>
        <color rgb="FFFF0000"/>
        <rFont val="微軟正黑體"/>
        <family val="2"/>
        <charset val="136"/>
      </rPr>
      <t>資訊</t>
    </r>
    <r>
      <rPr>
        <sz val="12"/>
        <color theme="1"/>
        <rFont val="微軟正黑體"/>
        <family val="2"/>
        <charset val="136"/>
      </rPr>
      <t>遭竄改或處理</t>
    </r>
    <r>
      <rPr>
        <sz val="12"/>
        <color rgb="FFFF0000"/>
        <rFont val="微軟正黑體"/>
        <family val="2"/>
        <charset val="136"/>
      </rPr>
      <t>錯誤</t>
    </r>
    <r>
      <rPr>
        <sz val="12"/>
        <color theme="1"/>
        <rFont val="微軟正黑體"/>
        <family val="2"/>
        <charset val="136"/>
      </rPr>
      <t>會對組織造成</t>
    </r>
    <r>
      <rPr>
        <sz val="12"/>
        <color rgb="FFFF0000"/>
        <rFont val="微軟正黑體"/>
        <family val="2"/>
        <charset val="136"/>
      </rPr>
      <t>極為嚴重影響</t>
    </r>
    <r>
      <rPr>
        <sz val="12"/>
        <color theme="1"/>
        <rFont val="微軟正黑體"/>
        <family val="2"/>
        <charset val="136"/>
      </rPr>
      <t>，可能會造成</t>
    </r>
    <r>
      <rPr>
        <sz val="12"/>
        <color rgb="FFFF0000"/>
        <rFont val="微軟正黑體"/>
        <family val="2"/>
        <charset val="136"/>
      </rPr>
      <t>業務終止</t>
    </r>
    <phoneticPr fontId="1" type="noConversion"/>
  </si>
  <si>
    <r>
      <t>風險發生</t>
    </r>
    <r>
      <rPr>
        <sz val="12"/>
        <color rgb="FFFF0000"/>
        <rFont val="微軟正黑體"/>
        <family val="2"/>
        <charset val="136"/>
      </rPr>
      <t>可能影響到業務</t>
    </r>
    <r>
      <rPr>
        <sz val="12"/>
        <color theme="1"/>
        <rFont val="微軟正黑體"/>
        <family val="2"/>
        <charset val="136"/>
      </rPr>
      <t xml:space="preserve">
</t>
    </r>
    <r>
      <rPr>
        <sz val="10"/>
        <color theme="1"/>
        <rFont val="微軟正黑體"/>
        <family val="2"/>
        <charset val="136"/>
      </rPr>
      <t>（可以立即完成復原，但若持續發生且次數頻繁,對業務執行可能帶來潛在風險）</t>
    </r>
    <phoneticPr fontId="1" type="noConversion"/>
  </si>
  <si>
    <t>可用性( A )-評估標準說明</t>
    <phoneticPr fontId="1" type="noConversion"/>
  </si>
  <si>
    <r>
      <t>風險發生可能</t>
    </r>
    <r>
      <rPr>
        <sz val="12"/>
        <color rgb="FFFF0000"/>
        <rFont val="微軟正黑體"/>
        <family val="2"/>
        <charset val="136"/>
      </rPr>
      <t>造成業務暫停</t>
    </r>
    <r>
      <rPr>
        <sz val="12"/>
        <color theme="1"/>
        <rFont val="微軟正黑體"/>
        <family val="2"/>
        <charset val="136"/>
      </rPr>
      <t xml:space="preserve">
</t>
    </r>
    <r>
      <rPr>
        <sz val="10"/>
        <color theme="1"/>
        <rFont val="微軟正黑體"/>
        <family val="2"/>
        <charset val="136"/>
      </rPr>
      <t>（對於本中心整體業務執行影響不大、造成的損失可能僅影響單一業務或系統、損失可能影響僅個人或少數幾人、可以由個人進行復原、修復或進行復原的措施可以在8hrs內完成）</t>
    </r>
    <phoneticPr fontId="1" type="noConversion"/>
  </si>
  <si>
    <r>
      <t>該資訊資產</t>
    </r>
    <r>
      <rPr>
        <sz val="12"/>
        <color rgb="FFFF0000"/>
        <rFont val="微軟正黑體"/>
        <family val="2"/>
        <charset val="136"/>
      </rPr>
      <t>容許失效1天</t>
    </r>
    <r>
      <rPr>
        <sz val="12"/>
        <color theme="1"/>
        <rFont val="微軟正黑體"/>
        <family val="2"/>
        <charset val="136"/>
      </rPr>
      <t>以上，不用被修復或是尋找替代品</t>
    </r>
    <phoneticPr fontId="1" type="noConversion"/>
  </si>
  <si>
    <r>
      <t>風險發生可能</t>
    </r>
    <r>
      <rPr>
        <sz val="12"/>
        <color rgb="FFFF0000"/>
        <rFont val="微軟正黑體"/>
        <family val="2"/>
        <charset val="136"/>
      </rPr>
      <t>造成業務中斷</t>
    </r>
    <r>
      <rPr>
        <sz val="12"/>
        <color theme="1"/>
        <rFont val="微軟正黑體"/>
        <family val="2"/>
        <charset val="136"/>
      </rPr>
      <t xml:space="preserve">
</t>
    </r>
    <r>
      <rPr>
        <sz val="10"/>
        <color theme="1"/>
        <rFont val="微軟正黑體"/>
        <family val="2"/>
        <charset val="136"/>
      </rPr>
      <t>（風險處理不當可能對本中心形象或校譽造成損害、造成的損害可能影響全校、系統或相關服務停頓或癱瘓,業務無法運作、復原的措施僅能由特定專業人員才能進行或修復人員不易取得、復原無法於4hrs內完成、可能造成人員傷亡）</t>
    </r>
    <phoneticPr fontId="1" type="noConversion"/>
  </si>
  <si>
    <r>
      <t>該資訊資產</t>
    </r>
    <r>
      <rPr>
        <sz val="12"/>
        <color rgb="FFFF0000"/>
        <rFont val="微軟正黑體"/>
        <family val="2"/>
        <charset val="136"/>
      </rPr>
      <t>容許失效4小時(半天)以上，1天以下</t>
    </r>
    <r>
      <rPr>
        <sz val="12"/>
        <color theme="1"/>
        <rFont val="微軟正黑體"/>
        <family val="2"/>
        <charset val="136"/>
      </rPr>
      <t>，不用被修復或是尋找替代品</t>
    </r>
    <phoneticPr fontId="1" type="noConversion"/>
  </si>
  <si>
    <r>
      <t>該資訊資產</t>
    </r>
    <r>
      <rPr>
        <sz val="12"/>
        <color rgb="FFFF0000"/>
        <rFont val="微軟正黑體"/>
        <family val="2"/>
        <charset val="136"/>
      </rPr>
      <t>容許失效60分鐘(1小時)以上，4小時以下</t>
    </r>
    <r>
      <rPr>
        <sz val="12"/>
        <color theme="1"/>
        <rFont val="微軟正黑體"/>
        <family val="2"/>
        <charset val="136"/>
      </rPr>
      <t>，不用被修復或是尋找替代品</t>
    </r>
    <phoneticPr fontId="1" type="noConversion"/>
  </si>
  <si>
    <r>
      <t>該資訊資產</t>
    </r>
    <r>
      <rPr>
        <sz val="12"/>
        <color rgb="FFFF0000"/>
        <rFont val="微軟正黑體"/>
        <family val="2"/>
        <charset val="136"/>
      </rPr>
      <t>容許失效60分鐘內</t>
    </r>
    <r>
      <rPr>
        <sz val="12"/>
        <color theme="1"/>
        <rFont val="微軟正黑體"/>
        <family val="2"/>
        <charset val="136"/>
      </rPr>
      <t>，不用被修復或是尋找替代品</t>
    </r>
    <phoneticPr fontId="1" type="noConversion"/>
  </si>
  <si>
    <t>人員可用性( A )-評估標準說明</t>
    <phoneticPr fontId="1" type="noConversion"/>
  </si>
  <si>
    <r>
      <t>低：人員負責/接觸的業務，</t>
    </r>
    <r>
      <rPr>
        <sz val="12"/>
        <color rgb="FFFF0000"/>
        <rFont val="微軟正黑體"/>
        <family val="2"/>
        <charset val="136"/>
      </rPr>
      <t>不會</t>
    </r>
    <r>
      <rPr>
        <sz val="12"/>
        <color theme="1"/>
        <rFont val="微軟正黑體"/>
        <family val="2"/>
        <charset val="136"/>
      </rPr>
      <t>因為休假或缺乏代理人等因素而</t>
    </r>
    <r>
      <rPr>
        <sz val="12"/>
        <color rgb="FFFF0000"/>
        <rFont val="微軟正黑體"/>
        <family val="2"/>
        <charset val="136"/>
      </rPr>
      <t>影響業務</t>
    </r>
    <r>
      <rPr>
        <sz val="12"/>
        <color theme="1"/>
        <rFont val="微軟正黑體"/>
        <family val="2"/>
        <charset val="136"/>
      </rPr>
      <t>之執行</t>
    </r>
    <phoneticPr fontId="1" type="noConversion"/>
  </si>
  <si>
    <r>
      <t>中：人員負責/接觸的業務，</t>
    </r>
    <r>
      <rPr>
        <sz val="12"/>
        <color rgb="FFFF0000"/>
        <rFont val="微軟正黑體"/>
        <family val="2"/>
        <charset val="136"/>
      </rPr>
      <t>可能會</t>
    </r>
    <r>
      <rPr>
        <sz val="12"/>
        <color theme="1"/>
        <rFont val="微軟正黑體"/>
        <family val="2"/>
        <charset val="136"/>
      </rPr>
      <t>因為休假或缺乏代理人等因素而</t>
    </r>
    <r>
      <rPr>
        <sz val="12"/>
        <color rgb="FFFF0000"/>
        <rFont val="微軟正黑體"/>
        <family val="2"/>
        <charset val="136"/>
      </rPr>
      <t>影響業務</t>
    </r>
    <r>
      <rPr>
        <sz val="12"/>
        <color theme="1"/>
        <rFont val="微軟正黑體"/>
        <family val="2"/>
        <charset val="136"/>
      </rPr>
      <t>之執行</t>
    </r>
    <phoneticPr fontId="1" type="noConversion"/>
  </si>
  <si>
    <r>
      <t>高：人員負責/接觸的業務，因為休假或缺乏代理人等因素對業務執行</t>
    </r>
    <r>
      <rPr>
        <sz val="12"/>
        <color rgb="FFFF0000"/>
        <rFont val="微軟正黑體"/>
        <family val="2"/>
        <charset val="136"/>
      </rPr>
      <t>影響較高</t>
    </r>
    <phoneticPr fontId="1" type="noConversion"/>
  </si>
  <si>
    <r>
      <t>極高：人員負責/接觸的業務，會因為休假或缺乏代理人等因素對業務執行</t>
    </r>
    <r>
      <rPr>
        <sz val="12"/>
        <color rgb="FFFF0000"/>
        <rFont val="微軟正黑體"/>
        <family val="2"/>
        <charset val="136"/>
      </rPr>
      <t>影響極高</t>
    </r>
    <phoneticPr fontId="1" type="noConversion"/>
  </si>
  <si>
    <t>法令/合約( L )-評估標準說明</t>
    <phoneticPr fontId="1" type="noConversion"/>
  </si>
  <si>
    <r>
      <t>重大影響，對單位(部門)</t>
    </r>
    <r>
      <rPr>
        <sz val="12"/>
        <color rgb="FFFF0000"/>
        <rFont val="微軟正黑體"/>
        <family val="2"/>
        <charset val="136"/>
      </rPr>
      <t>工研院</t>
    </r>
    <r>
      <rPr>
        <sz val="12"/>
        <color theme="1"/>
        <rFont val="微軟正黑體"/>
        <family val="2"/>
        <charset val="136"/>
      </rPr>
      <t>造成相當大損害</t>
    </r>
    <phoneticPr fontId="1" type="noConversion"/>
  </si>
  <si>
    <r>
      <t>不可承受的影響，對全組織</t>
    </r>
    <r>
      <rPr>
        <sz val="12"/>
        <color rgb="FFFF0000"/>
        <rFont val="微軟正黑體"/>
        <family val="2"/>
        <charset val="136"/>
      </rPr>
      <t>能源局</t>
    </r>
    <r>
      <rPr>
        <sz val="12"/>
        <color theme="1"/>
        <rFont val="微軟正黑體"/>
        <family val="2"/>
        <charset val="136"/>
      </rPr>
      <t>造成相當大損害</t>
    </r>
    <phoneticPr fontId="1" type="noConversion"/>
  </si>
  <si>
    <t>I</t>
    <phoneticPr fontId="1" type="noConversion"/>
  </si>
  <si>
    <t>CA</t>
    <phoneticPr fontId="1" type="noConversion"/>
  </si>
  <si>
    <t>使用者錯誤(無意)</t>
    <phoneticPr fontId="4" type="noConversion"/>
  </si>
  <si>
    <t>故意的破壞(有意)</t>
    <phoneticPr fontId="4" type="noConversion"/>
  </si>
  <si>
    <t>能力不足</t>
    <phoneticPr fontId="4" type="noConversion"/>
  </si>
  <si>
    <t>偽裝使用者身份</t>
    <phoneticPr fontId="4" type="noConversion"/>
  </si>
  <si>
    <t>非法使用軟體(輸入與輸出)</t>
    <phoneticPr fontId="4" type="noConversion"/>
  </si>
  <si>
    <t>(該人員處理的資訊資產)失竊或外洩</t>
    <phoneticPr fontId="4" type="noConversion"/>
  </si>
  <si>
    <t>不當之人員異動 (離職或故意挖角)</t>
    <phoneticPr fontId="4" type="noConversion"/>
  </si>
  <si>
    <t>1</t>
    <phoneticPr fontId="1" type="noConversion"/>
  </si>
  <si>
    <t>個資法</t>
    <phoneticPr fontId="1" type="noConversion"/>
  </si>
  <si>
    <t>考量能源局計畫工作量</t>
    <phoneticPr fontId="4" type="noConversion"/>
  </si>
  <si>
    <t>Y</t>
    <phoneticPr fontId="4" type="noConversion"/>
  </si>
  <si>
    <t>以計畫可以涉略的資料機密性進行評估，可以取得個資</t>
    <phoneticPr fontId="4" type="noConversion"/>
  </si>
  <si>
    <t>本院對於人員資格與進用程序有一定的規範</t>
    <phoneticPr fontId="4" type="noConversion"/>
  </si>
  <si>
    <t>依本院機密資訊辦法來管理文件或電子檔</t>
    <phoneticPr fontId="4" type="noConversion"/>
  </si>
  <si>
    <t>以網站的授權情況，已是最高權限</t>
    <phoneticPr fontId="4" type="noConversion"/>
  </si>
  <si>
    <t>有嚴謹的密碼強度要求 (12碼4種字元變化)</t>
    <phoneticPr fontId="4" type="noConversion"/>
  </si>
  <si>
    <t>系統留有相關操作log</t>
    <phoneticPr fontId="4" type="noConversion"/>
  </si>
  <si>
    <t>網站有要求密碼登入，並且用個人帳號得以識別</t>
    <phoneticPr fontId="4" type="noConversion"/>
  </si>
  <si>
    <t>以可用性為評估參考</t>
    <phoneticPr fontId="4" type="noConversion"/>
  </si>
  <si>
    <t>電腦至少有螢幕保護鎖定要求(15分鐘)</t>
    <phoneticPr fontId="4" type="noConversion"/>
  </si>
  <si>
    <t>本院有軟體管理規範與工具</t>
    <phoneticPr fontId="4" type="noConversion"/>
  </si>
  <si>
    <t>合法性軟體的使用是有監督與授權</t>
    <phoneticPr fontId="4" type="noConversion"/>
  </si>
  <si>
    <t>有24小時的門禁控管</t>
    <phoneticPr fontId="4" type="noConversion"/>
  </si>
  <si>
    <t>網站負責人</t>
    <phoneticPr fontId="1" type="noConversion"/>
  </si>
  <si>
    <t>工業技術研究院機密資料 禁止複製、轉載、外流ITRI CONFIDENTIAL DOCUMENT DO NOT COPY OR DISTRIBUTE</t>
    <phoneticPr fontId="1" type="noConversion"/>
  </si>
  <si>
    <t>石油與天然氣輸儲查核與檢測雲端平台</t>
    <phoneticPr fontId="1" type="noConversion"/>
  </si>
  <si>
    <t>材1-1</t>
    <phoneticPr fontId="1" type="noConversion"/>
  </si>
  <si>
    <t>材1-1-PE-01</t>
    <phoneticPr fontId="1" type="noConversion"/>
  </si>
  <si>
    <t>材1-1-PE-02</t>
    <phoneticPr fontId="1" type="noConversion"/>
  </si>
  <si>
    <t>材1-1-PE-03</t>
    <phoneticPr fontId="1" type="noConversion"/>
  </si>
  <si>
    <t>吳榮正</t>
    <phoneticPr fontId="1" type="noConversion"/>
  </si>
  <si>
    <t>計畫主持人</t>
    <phoneticPr fontId="1" type="noConversion"/>
  </si>
  <si>
    <t>52館336室</t>
    <phoneticPr fontId="1" type="noConversion"/>
  </si>
  <si>
    <t>以計畫需求評估</t>
    <phoneticPr fontId="1" type="noConversion"/>
  </si>
  <si>
    <t>賴斐瓔 </t>
  </si>
  <si>
    <t>52館827室</t>
    <phoneticPr fontId="1" type="noConversion"/>
  </si>
  <si>
    <t>系統負責人、開發、資料庫管理人員</t>
    <phoneticPr fontId="1" type="noConversion"/>
  </si>
  <si>
    <t>元弘科技-邵錡鼎</t>
    <phoneticPr fontId="1" type="noConversion"/>
  </si>
  <si>
    <t>52館325室</t>
    <phoneticPr fontId="1" type="noConversion"/>
  </si>
  <si>
    <t>邵錡鼎</t>
    <phoneticPr fontId="1" type="noConversion"/>
  </si>
  <si>
    <t>吳榮正</t>
    <phoneticPr fontId="4" type="noConversion"/>
  </si>
  <si>
    <t>材1-1-PE-01</t>
    <phoneticPr fontId="4" type="noConversion"/>
  </si>
  <si>
    <t>材1-1-PE-02</t>
    <phoneticPr fontId="4" type="noConversion"/>
  </si>
  <si>
    <t>材1-1-PE-03</t>
    <phoneticPr fontId="4" type="noConversion"/>
  </si>
  <si>
    <t>依所負責重要工作評估，尚未有臨時性的異動。</t>
    <phoneticPr fontId="4" type="noConversion"/>
  </si>
  <si>
    <t>N</t>
    <phoneticPr fontId="1" type="noConversion"/>
  </si>
  <si>
    <t>需要時間熟悉</t>
    <phoneticPr fontId="1" type="noConversion"/>
  </si>
  <si>
    <t>法定傳染病</t>
    <phoneticPr fontId="1" type="noConversion"/>
  </si>
  <si>
    <t>缺乏人力備援機制/或備援演練</t>
    <phoneticPr fontId="4" type="noConversion"/>
  </si>
  <si>
    <t>Covid 19</t>
    <phoneticPr fontId="1" type="noConversion"/>
  </si>
  <si>
    <t>已有職務代理或人力備援機制</t>
    <phoneticPr fontId="1" type="noConversion"/>
  </si>
  <si>
    <t>分流或居家辦公時軟/硬體不足或不正確使用軟/硬體</t>
    <phoneticPr fontId="4" type="noConversion"/>
  </si>
  <si>
    <t>已有分流或居家辦公時軟/硬體之相關規定</t>
    <phoneticPr fontId="1" type="noConversion"/>
  </si>
  <si>
    <t>本院有資安三小時的訓練要求，今年度已完成</t>
    <phoneticPr fontId="4" type="noConversion"/>
  </si>
  <si>
    <t>除資安三小時訓練外，亦有線上研討會。</t>
    <phoneticPr fontId="4" type="noConversion"/>
  </si>
  <si>
    <t>無個資</t>
  </si>
  <si>
    <t>無個資</t>
    <phoneticPr fontId="1" type="noConversion"/>
  </si>
  <si>
    <t>112/5/5</t>
    <phoneticPr fontId="1" type="noConversion"/>
  </si>
  <si>
    <t>計畫主持人:吳榮正</t>
    <phoneticPr fontId="1" type="noConversion"/>
  </si>
  <si>
    <t>網站負責人:賴斐瓔</t>
    <phoneticPr fontId="1" type="noConversion"/>
  </si>
  <si>
    <t>有嚴謹的密碼強度要求 (8碼，大小寫數字特殊字元)</t>
    <phoneticPr fontId="4" type="noConversion"/>
  </si>
  <si>
    <t>113/3/19</t>
    <phoneticPr fontId="1" type="noConversion"/>
  </si>
  <si>
    <t>本院有資安三小時的訓練要求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</si>
</sst>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微軟正黑體"/>
      <family val="2"/>
      <charset val="136"/>
    </font>
    <font>
      <b/>
      <sz val="12"/>
      <name val="微軟正黑體"/>
      <family val="2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theme="1"/>
      <name val="微軟正黑體"/>
      <family val="2"/>
      <charset val="136"/>
    </font>
    <font>
      <sz val="24"/>
      <color theme="1" tint="0.14999847407452621"/>
      <name val="微軟正黑體"/>
      <family val="2"/>
      <charset val="136"/>
    </font>
    <font>
      <sz val="28"/>
      <color theme="0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8"/>
      <color indexed="8"/>
      <name val="微軟正黑體"/>
      <family val="2"/>
      <charset val="136"/>
    </font>
    <font>
      <sz val="9"/>
      <color indexed="8"/>
      <name val="微軟正黑體"/>
      <family val="2"/>
      <charset val="136"/>
    </font>
    <font>
      <sz val="12"/>
      <color indexed="8"/>
      <name val="新細明體"/>
      <family val="1"/>
      <charset val="136"/>
    </font>
    <font>
      <sz val="28"/>
      <color rgb="FFFEC636"/>
      <name val="微軟正黑體"/>
      <family val="2"/>
      <charset val="136"/>
    </font>
    <font>
      <b/>
      <sz val="12"/>
      <name val="Calibri"/>
      <family val="2"/>
    </font>
    <font>
      <b/>
      <sz val="12"/>
      <color theme="0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3"/>
      <name val="微軟正黑體"/>
      <family val="2"/>
      <charset val="136"/>
    </font>
    <font>
      <sz val="3"/>
      <color indexed="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2"/>
      <color indexed="8"/>
      <name val="微軟正黑體"/>
      <family val="2"/>
      <charset val="136"/>
    </font>
    <font>
      <sz val="12"/>
      <color indexed="9"/>
      <name val="微軟正黑體"/>
      <family val="2"/>
      <charset val="136"/>
    </font>
    <font>
      <sz val="12"/>
      <color theme="0"/>
      <name val="微軟正黑體"/>
      <family val="2"/>
      <charset val="136"/>
    </font>
    <font>
      <sz val="8"/>
      <color theme="0"/>
      <name val="微軟正黑體"/>
      <family val="2"/>
      <charset val="136"/>
    </font>
    <font>
      <sz val="27"/>
      <color theme="0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2"/>
      </patternFill>
    </fill>
    <fill>
      <patternFill patternType="solid">
        <fgColor rgb="FF99CCFF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14C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theme="2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dotted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/>
  </cellStyleXfs>
  <cellXfs count="173">
    <xf numFmtId="0" fontId="0" fillId="0" borderId="0" xfId="0">
      <alignment vertical="center"/>
    </xf>
    <xf numFmtId="0" fontId="3" fillId="3" borderId="1" xfId="0" applyFont="1" applyFill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0" fontId="6" fillId="2" borderId="0" xfId="0" applyFont="1" applyFill="1">
      <alignment vertical="center"/>
    </xf>
    <xf numFmtId="0" fontId="10" fillId="0" borderId="0" xfId="3" applyFont="1" applyAlignment="1" applyProtection="1">
      <alignment vertical="center" wrapText="1"/>
      <protection locked="0"/>
    </xf>
    <xf numFmtId="0" fontId="12" fillId="0" borderId="0" xfId="3" applyFont="1" applyAlignment="1" applyProtection="1">
      <alignment vertical="center" wrapText="1"/>
      <protection locked="0"/>
    </xf>
    <xf numFmtId="0" fontId="2" fillId="0" borderId="1" xfId="3" applyFont="1" applyBorder="1" applyAlignment="1" applyProtection="1">
      <alignment horizontal="left" vertical="center" wrapText="1"/>
      <protection locked="0"/>
    </xf>
    <xf numFmtId="0" fontId="2" fillId="0" borderId="1" xfId="3" applyFont="1" applyBorder="1" applyAlignment="1" applyProtection="1">
      <alignment horizontal="center" vertical="center" wrapText="1"/>
      <protection locked="0"/>
    </xf>
    <xf numFmtId="0" fontId="6" fillId="11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7" borderId="1" xfId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49" fontId="2" fillId="4" borderId="1" xfId="1" applyNumberFormat="1" applyFont="1" applyFill="1" applyBorder="1" applyAlignment="1" applyProtection="1">
      <alignment horizontal="center" vertical="center" wrapText="1"/>
      <protection locked="0"/>
    </xf>
    <xf numFmtId="49" fontId="2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49" fontId="9" fillId="0" borderId="1" xfId="1" applyNumberFormat="1" applyFont="1" applyBorder="1" applyAlignment="1" applyProtection="1">
      <alignment horizontal="left" vertical="center" wrapText="1"/>
      <protection locked="0"/>
    </xf>
    <xf numFmtId="0" fontId="10" fillId="8" borderId="6" xfId="3" applyFont="1" applyFill="1" applyBorder="1" applyAlignment="1">
      <alignment horizontal="center" vertical="center" wrapText="1"/>
    </xf>
    <xf numFmtId="0" fontId="10" fillId="7" borderId="6" xfId="3" applyFont="1" applyFill="1" applyBorder="1" applyAlignment="1">
      <alignment horizontal="center" vertical="center" wrapText="1"/>
    </xf>
    <xf numFmtId="0" fontId="11" fillId="0" borderId="0" xfId="3" applyFont="1" applyAlignment="1" applyProtection="1">
      <alignment vertical="center" wrapText="1"/>
      <protection locked="0"/>
    </xf>
    <xf numFmtId="0" fontId="17" fillId="0" borderId="0" xfId="3" applyFont="1" applyAlignment="1" applyProtection="1">
      <alignment vertical="center" wrapText="1"/>
      <protection locked="0"/>
    </xf>
    <xf numFmtId="0" fontId="10" fillId="7" borderId="1" xfId="3" applyFont="1" applyFill="1" applyBorder="1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vertical="center" wrapText="1"/>
      <protection locked="0"/>
    </xf>
    <xf numFmtId="49" fontId="2" fillId="0" borderId="0" xfId="0" applyNumberFormat="1" applyFont="1" applyAlignment="1">
      <alignment vertical="center" wrapText="1"/>
    </xf>
    <xf numFmtId="0" fontId="6" fillId="0" borderId="0" xfId="0" applyFont="1" applyAlignment="1" applyProtection="1">
      <alignment vertical="center" wrapText="1"/>
      <protection locked="0"/>
    </xf>
    <xf numFmtId="0" fontId="10" fillId="9" borderId="6" xfId="3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49" fontId="2" fillId="4" borderId="4" xfId="1" applyNumberFormat="1" applyFont="1" applyFill="1" applyBorder="1" applyAlignment="1" applyProtection="1">
      <alignment horizontal="center" vertical="center" wrapText="1"/>
      <protection locked="0"/>
    </xf>
    <xf numFmtId="49" fontId="2" fillId="6" borderId="8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9" xfId="1" applyNumberFormat="1" applyFont="1" applyFill="1" applyBorder="1" applyAlignment="1" applyProtection="1">
      <alignment horizontal="center" vertical="center" wrapText="1"/>
      <protection locked="0"/>
    </xf>
    <xf numFmtId="0" fontId="3" fillId="7" borderId="1" xfId="1" applyFont="1" applyFill="1" applyBorder="1" applyAlignment="1" applyProtection="1">
      <alignment horizontal="center" vertical="center" wrapText="1"/>
      <protection locked="0"/>
    </xf>
    <xf numFmtId="0" fontId="10" fillId="7" borderId="6" xfId="3" applyFont="1" applyFill="1" applyBorder="1" applyAlignment="1" applyProtection="1">
      <alignment horizontal="right" vertical="center" wrapText="1"/>
      <protection locked="0"/>
    </xf>
    <xf numFmtId="0" fontId="10" fillId="8" borderId="6" xfId="3" applyFont="1" applyFill="1" applyBorder="1" applyAlignment="1" applyProtection="1">
      <alignment horizontal="left" vertical="center" wrapText="1"/>
      <protection locked="0"/>
    </xf>
    <xf numFmtId="0" fontId="10" fillId="9" borderId="6" xfId="3" applyFont="1" applyFill="1" applyBorder="1" applyAlignment="1" applyProtection="1">
      <alignment horizontal="left" vertical="center" wrapText="1"/>
      <protection locked="0"/>
    </xf>
    <xf numFmtId="49" fontId="19" fillId="0" borderId="1" xfId="1" applyNumberFormat="1" applyFont="1" applyBorder="1" applyAlignment="1" applyProtection="1">
      <alignment horizontal="center" vertical="center" wrapText="1"/>
      <protection locked="0"/>
    </xf>
    <xf numFmtId="0" fontId="19" fillId="0" borderId="1" xfId="1" applyFont="1" applyBorder="1" applyAlignment="1" applyProtection="1">
      <alignment horizontal="center" vertical="center" wrapText="1"/>
      <protection locked="0"/>
    </xf>
    <xf numFmtId="0" fontId="19" fillId="0" borderId="2" xfId="1" applyFont="1" applyBorder="1" applyAlignment="1" applyProtection="1">
      <alignment horizontal="center" vertical="center" wrapText="1"/>
      <protection locked="0"/>
    </xf>
    <xf numFmtId="49" fontId="19" fillId="0" borderId="2" xfId="1" applyNumberFormat="1" applyFont="1" applyBorder="1" applyAlignment="1" applyProtection="1">
      <alignment horizontal="center" vertical="center" wrapText="1"/>
      <protection locked="0"/>
    </xf>
    <xf numFmtId="0" fontId="20" fillId="0" borderId="0" xfId="3" applyFont="1" applyAlignment="1" applyProtection="1">
      <alignment vertical="center" wrapText="1"/>
      <protection locked="0"/>
    </xf>
    <xf numFmtId="0" fontId="10" fillId="0" borderId="0" xfId="3" applyFont="1" applyAlignment="1" applyProtection="1">
      <alignment horizontal="left" vertical="center" wrapText="1"/>
      <protection locked="0"/>
    </xf>
    <xf numFmtId="0" fontId="10" fillId="7" borderId="1" xfId="3" applyFont="1" applyFill="1" applyBorder="1" applyAlignment="1" applyProtection="1">
      <alignment horizontal="right" vertical="center" wrapText="1"/>
      <protection locked="0"/>
    </xf>
    <xf numFmtId="0" fontId="2" fillId="7" borderId="1" xfId="3" applyFont="1" applyFill="1" applyBorder="1" applyAlignment="1" applyProtection="1">
      <alignment horizontal="right" vertical="center" wrapText="1"/>
      <protection locked="0"/>
    </xf>
    <xf numFmtId="0" fontId="10" fillId="7" borderId="9" xfId="3" applyFont="1" applyFill="1" applyBorder="1" applyAlignment="1" applyProtection="1">
      <alignment horizontal="right" vertical="center" wrapText="1"/>
      <protection locked="0"/>
    </xf>
    <xf numFmtId="0" fontId="2" fillId="7" borderId="12" xfId="3" applyFont="1" applyFill="1" applyBorder="1" applyAlignment="1" applyProtection="1">
      <alignment horizontal="right" vertical="center" wrapText="1"/>
      <protection locked="0"/>
    </xf>
    <xf numFmtId="0" fontId="10" fillId="0" borderId="14" xfId="3" applyFont="1" applyBorder="1" applyAlignment="1" applyProtection="1">
      <alignment horizontal="left" vertical="center" wrapText="1"/>
      <protection locked="0"/>
    </xf>
    <xf numFmtId="0" fontId="22" fillId="0" borderId="15" xfId="3" applyFont="1" applyBorder="1" applyAlignment="1" applyProtection="1">
      <alignment vertical="center" wrapText="1"/>
      <protection locked="0"/>
    </xf>
    <xf numFmtId="0" fontId="22" fillId="0" borderId="1" xfId="3" applyFont="1" applyBorder="1" applyAlignment="1" applyProtection="1">
      <alignment vertical="center" wrapText="1"/>
      <protection locked="0"/>
    </xf>
    <xf numFmtId="0" fontId="22" fillId="0" borderId="2" xfId="3" applyFont="1" applyBorder="1" applyAlignment="1" applyProtection="1">
      <alignment vertical="center" wrapText="1"/>
      <protection locked="0"/>
    </xf>
    <xf numFmtId="0" fontId="2" fillId="0" borderId="1" xfId="3" applyFont="1" applyBorder="1" applyAlignment="1" applyProtection="1">
      <alignment vertical="center" wrapText="1"/>
      <protection locked="0"/>
    </xf>
    <xf numFmtId="0" fontId="23" fillId="0" borderId="0" xfId="3" applyFont="1" applyAlignment="1" applyProtection="1">
      <alignment vertical="center" wrapText="1"/>
      <protection locked="0"/>
    </xf>
    <xf numFmtId="0" fontId="22" fillId="0" borderId="27" xfId="3" applyFont="1" applyBorder="1" applyAlignment="1" applyProtection="1">
      <alignment vertical="center" wrapText="1"/>
      <protection locked="0"/>
    </xf>
    <xf numFmtId="0" fontId="22" fillId="0" borderId="28" xfId="3" applyFont="1" applyBorder="1" applyAlignment="1" applyProtection="1">
      <alignment vertical="center" wrapText="1"/>
      <protection locked="0"/>
    </xf>
    <xf numFmtId="0" fontId="22" fillId="0" borderId="29" xfId="3" applyFont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24" fillId="10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 wrapText="1"/>
    </xf>
    <xf numFmtId="0" fontId="24" fillId="10" borderId="1" xfId="1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2" fillId="0" borderId="1" xfId="1" applyFont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 applyProtection="1">
      <alignment vertical="center" wrapText="1"/>
      <protection locked="0" hidden="1"/>
    </xf>
    <xf numFmtId="0" fontId="10" fillId="0" borderId="1" xfId="3" applyFont="1" applyBorder="1" applyAlignment="1" applyProtection="1">
      <alignment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 hidden="1"/>
    </xf>
    <xf numFmtId="0" fontId="10" fillId="7" borderId="1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vertical="center" wrapText="1"/>
    </xf>
    <xf numFmtId="49" fontId="9" fillId="0" borderId="0" xfId="1" applyNumberFormat="1" applyFont="1" applyAlignment="1" applyProtection="1">
      <alignment horizontal="left" vertical="center" wrapText="1"/>
      <protection locked="0"/>
    </xf>
    <xf numFmtId="49" fontId="2" fillId="0" borderId="9" xfId="1" applyNumberFormat="1" applyFont="1" applyBorder="1" applyAlignment="1" applyProtection="1">
      <alignment horizontal="left" vertical="center" wrapText="1"/>
      <protection locked="0"/>
    </xf>
    <xf numFmtId="0" fontId="10" fillId="0" borderId="1" xfId="0" applyFont="1" applyBorder="1" applyAlignment="1" applyProtection="1">
      <alignment horizontal="left" vertical="center" wrapText="1"/>
      <protection locked="0" hidden="1"/>
    </xf>
    <xf numFmtId="0" fontId="2" fillId="0" borderId="1" xfId="6" applyFont="1" applyBorder="1" applyAlignment="1">
      <alignment horizontal="left" vertical="center" wrapText="1" shrinkToFit="1"/>
    </xf>
    <xf numFmtId="0" fontId="2" fillId="0" borderId="1" xfId="0" applyFont="1" applyBorder="1" applyAlignment="1" applyProtection="1">
      <alignment horizontal="left" vertical="center" wrapText="1"/>
      <protection locked="0"/>
    </xf>
    <xf numFmtId="0" fontId="2" fillId="0" borderId="1" xfId="1" applyFont="1" applyBorder="1" applyAlignment="1" applyProtection="1">
      <alignment horizontal="center" vertical="center" wrapText="1"/>
      <protection locked="0"/>
    </xf>
    <xf numFmtId="0" fontId="2" fillId="0" borderId="1" xfId="1" applyFont="1" applyBorder="1" applyAlignment="1" applyProtection="1">
      <alignment horizontal="left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2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right" vertical="center" wrapText="1"/>
    </xf>
    <xf numFmtId="0" fontId="14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right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/>
    </xf>
    <xf numFmtId="49" fontId="3" fillId="3" borderId="3" xfId="0" applyNumberFormat="1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15" fillId="13" borderId="3" xfId="0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176" fontId="15" fillId="3" borderId="2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76" fontId="15" fillId="3" borderId="4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>
      <alignment horizontal="left" vertical="center" wrapText="1"/>
    </xf>
    <xf numFmtId="0" fontId="2" fillId="2" borderId="3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2" borderId="8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49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49" fontId="2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2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2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2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4" fillId="12" borderId="25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left" vertical="center" wrapText="1"/>
    </xf>
    <xf numFmtId="0" fontId="16" fillId="10" borderId="7" xfId="0" applyFont="1" applyFill="1" applyBorder="1" applyAlignment="1">
      <alignment horizontal="left" vertical="center" wrapText="1"/>
    </xf>
    <xf numFmtId="0" fontId="10" fillId="0" borderId="24" xfId="0" applyFont="1" applyBorder="1" applyAlignment="1" applyProtection="1">
      <alignment horizontal="left" vertical="center" wrapText="1"/>
      <protection locked="0" hidden="1"/>
    </xf>
    <xf numFmtId="0" fontId="10" fillId="0" borderId="25" xfId="0" applyFont="1" applyBorder="1" applyAlignment="1" applyProtection="1">
      <alignment horizontal="left" vertical="center" wrapText="1"/>
      <protection locked="0" hidden="1"/>
    </xf>
    <xf numFmtId="0" fontId="10" fillId="0" borderId="26" xfId="0" applyFont="1" applyBorder="1" applyAlignment="1" applyProtection="1">
      <alignment horizontal="left" vertical="center" wrapText="1"/>
      <protection locked="0" hidden="1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10" fillId="0" borderId="4" xfId="0" applyFont="1" applyBorder="1" applyAlignment="1" applyProtection="1">
      <alignment horizontal="left" vertical="center" wrapText="1"/>
      <protection locked="0"/>
    </xf>
    <xf numFmtId="0" fontId="23" fillId="0" borderId="23" xfId="1" applyFont="1" applyBorder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23" fillId="0" borderId="7" xfId="1" applyFont="1" applyBorder="1" applyAlignment="1" applyProtection="1">
      <alignment vertical="center" wrapText="1"/>
      <protection locked="0"/>
    </xf>
    <xf numFmtId="0" fontId="10" fillId="0" borderId="4" xfId="3" applyFont="1" applyBorder="1" applyAlignment="1" applyProtection="1">
      <alignment horizontal="left" vertical="center" wrapText="1"/>
      <protection locked="0"/>
    </xf>
    <xf numFmtId="0" fontId="10" fillId="0" borderId="1" xfId="3" applyFont="1" applyBorder="1" applyAlignment="1" applyProtection="1">
      <alignment horizontal="left" vertical="center" wrapText="1"/>
      <protection locked="0"/>
    </xf>
    <xf numFmtId="0" fontId="2" fillId="0" borderId="22" xfId="1" applyFont="1" applyBorder="1" applyAlignment="1" applyProtection="1">
      <alignment vertical="center" wrapText="1"/>
      <protection locked="0"/>
    </xf>
    <xf numFmtId="0" fontId="2" fillId="0" borderId="20" xfId="1" applyFont="1" applyBorder="1" applyAlignment="1" applyProtection="1">
      <alignment vertical="center" wrapText="1"/>
      <protection locked="0"/>
    </xf>
    <xf numFmtId="0" fontId="2" fillId="0" borderId="21" xfId="1" applyFont="1" applyBorder="1" applyAlignment="1" applyProtection="1">
      <alignment vertical="center" wrapText="1"/>
      <protection locked="0"/>
    </xf>
    <xf numFmtId="0" fontId="24" fillId="0" borderId="24" xfId="1" applyFont="1" applyBorder="1" applyAlignment="1" applyProtection="1">
      <alignment vertical="center" wrapText="1"/>
      <protection locked="0"/>
    </xf>
    <xf numFmtId="0" fontId="24" fillId="0" borderId="25" xfId="1" applyFont="1" applyBorder="1" applyAlignment="1" applyProtection="1">
      <alignment vertical="center" wrapText="1"/>
      <protection locked="0"/>
    </xf>
    <xf numFmtId="0" fontId="24" fillId="0" borderId="26" xfId="1" applyFont="1" applyBorder="1" applyAlignment="1" applyProtection="1">
      <alignment vertical="center" wrapText="1"/>
      <protection locked="0"/>
    </xf>
    <xf numFmtId="0" fontId="2" fillId="0" borderId="22" xfId="1" applyFont="1" applyBorder="1" applyAlignment="1" applyProtection="1">
      <alignment horizontal="left" vertical="center" wrapText="1"/>
      <protection locked="0"/>
    </xf>
    <xf numFmtId="0" fontId="2" fillId="0" borderId="20" xfId="1" applyFont="1" applyBorder="1" applyAlignment="1" applyProtection="1">
      <alignment horizontal="left" vertical="center" wrapText="1"/>
      <protection locked="0"/>
    </xf>
    <xf numFmtId="0" fontId="2" fillId="0" borderId="21" xfId="1" applyFont="1" applyBorder="1" applyAlignment="1" applyProtection="1">
      <alignment horizontal="left" vertical="center" wrapText="1"/>
      <protection locked="0"/>
    </xf>
    <xf numFmtId="0" fontId="10" fillId="0" borderId="2" xfId="3" applyFont="1" applyBorder="1" applyAlignment="1" applyProtection="1">
      <alignment horizontal="left" vertical="center" wrapText="1"/>
      <protection locked="0"/>
    </xf>
    <xf numFmtId="0" fontId="10" fillId="0" borderId="3" xfId="3" applyFont="1" applyBorder="1" applyAlignment="1" applyProtection="1">
      <alignment horizontal="left" vertical="center" wrapText="1"/>
      <protection locked="0"/>
    </xf>
    <xf numFmtId="0" fontId="2" fillId="0" borderId="24" xfId="1" applyFont="1" applyBorder="1" applyAlignment="1" applyProtection="1">
      <alignment horizontal="left" vertical="center" wrapText="1"/>
      <protection locked="0"/>
    </xf>
    <xf numFmtId="0" fontId="2" fillId="0" borderId="25" xfId="1" applyFont="1" applyBorder="1" applyAlignment="1" applyProtection="1">
      <alignment horizontal="left" vertical="center" wrapText="1"/>
      <protection locked="0"/>
    </xf>
    <xf numFmtId="0" fontId="2" fillId="0" borderId="26" xfId="1" applyFont="1" applyBorder="1" applyAlignment="1" applyProtection="1">
      <alignment horizontal="left" vertical="center" wrapText="1"/>
      <protection locked="0"/>
    </xf>
    <xf numFmtId="0" fontId="10" fillId="0" borderId="4" xfId="1" applyFont="1" applyBorder="1" applyAlignment="1" applyProtection="1">
      <alignment horizontal="left" vertical="center" wrapText="1"/>
      <protection locked="0"/>
    </xf>
    <xf numFmtId="0" fontId="10" fillId="0" borderId="1" xfId="1" applyFont="1" applyBorder="1" applyAlignment="1" applyProtection="1">
      <alignment horizontal="left" vertical="center" wrapText="1"/>
      <protection locked="0"/>
    </xf>
    <xf numFmtId="0" fontId="23" fillId="0" borderId="24" xfId="1" applyFont="1" applyBorder="1" applyAlignment="1" applyProtection="1">
      <alignment vertical="center" wrapText="1"/>
      <protection locked="0"/>
    </xf>
    <xf numFmtId="0" fontId="23" fillId="0" borderId="25" xfId="1" applyFont="1" applyBorder="1" applyAlignment="1" applyProtection="1">
      <alignment vertical="center" wrapText="1"/>
      <protection locked="0"/>
    </xf>
    <xf numFmtId="0" fontId="23" fillId="0" borderId="26" xfId="1" applyFont="1" applyBorder="1" applyAlignment="1" applyProtection="1">
      <alignment vertical="center" wrapText="1"/>
      <protection locked="0"/>
    </xf>
    <xf numFmtId="0" fontId="10" fillId="0" borderId="5" xfId="3" applyFont="1" applyBorder="1" applyAlignment="1" applyProtection="1">
      <alignment vertical="center" wrapText="1"/>
      <protection locked="0"/>
    </xf>
    <xf numFmtId="0" fontId="10" fillId="0" borderId="10" xfId="3" applyFont="1" applyBorder="1" applyAlignment="1" applyProtection="1">
      <alignment vertical="center" wrapText="1"/>
      <protection locked="0"/>
    </xf>
    <xf numFmtId="0" fontId="10" fillId="0" borderId="15" xfId="3" applyFont="1" applyBorder="1" applyAlignment="1" applyProtection="1">
      <alignment vertical="center" wrapText="1"/>
      <protection locked="0"/>
    </xf>
    <xf numFmtId="0" fontId="2" fillId="0" borderId="5" xfId="3" applyFont="1" applyBorder="1" applyAlignment="1" applyProtection="1">
      <alignment vertical="center" wrapText="1"/>
      <protection locked="0"/>
    </xf>
    <xf numFmtId="0" fontId="2" fillId="0" borderId="10" xfId="3" applyFont="1" applyBorder="1" applyAlignment="1" applyProtection="1">
      <alignment vertical="center" wrapText="1"/>
      <protection locked="0"/>
    </xf>
    <xf numFmtId="0" fontId="2" fillId="0" borderId="15" xfId="3" applyFont="1" applyBorder="1" applyAlignment="1" applyProtection="1">
      <alignment vertical="center" wrapText="1"/>
      <protection locked="0"/>
    </xf>
    <xf numFmtId="0" fontId="2" fillId="0" borderId="13" xfId="3" applyFont="1" applyBorder="1" applyAlignment="1">
      <alignment horizontal="left" vertical="center" wrapText="1"/>
    </xf>
    <xf numFmtId="0" fontId="2" fillId="0" borderId="11" xfId="3" applyFont="1" applyBorder="1" applyAlignment="1">
      <alignment horizontal="left" vertical="center" wrapText="1"/>
    </xf>
    <xf numFmtId="0" fontId="2" fillId="0" borderId="16" xfId="3" applyFont="1" applyBorder="1" applyAlignment="1">
      <alignment horizontal="left" vertical="center" wrapText="1"/>
    </xf>
    <xf numFmtId="0" fontId="2" fillId="15" borderId="5" xfId="3" applyFont="1" applyFill="1" applyBorder="1" applyAlignment="1">
      <alignment horizontal="left" vertical="center" wrapText="1"/>
    </xf>
    <xf numFmtId="0" fontId="2" fillId="15" borderId="10" xfId="3" applyFont="1" applyFill="1" applyBorder="1" applyAlignment="1">
      <alignment horizontal="left" vertical="center" wrapText="1"/>
    </xf>
    <xf numFmtId="0" fontId="2" fillId="15" borderId="15" xfId="3" applyFont="1" applyFill="1" applyBorder="1" applyAlignment="1">
      <alignment horizontal="left" vertical="center" wrapText="1"/>
    </xf>
    <xf numFmtId="0" fontId="2" fillId="14" borderId="5" xfId="3" applyFont="1" applyFill="1" applyBorder="1" applyAlignment="1" applyProtection="1">
      <alignment horizontal="left" vertical="center" wrapText="1"/>
      <protection locked="0"/>
    </xf>
    <xf numFmtId="0" fontId="2" fillId="14" borderId="10" xfId="3" applyFont="1" applyFill="1" applyBorder="1" applyAlignment="1" applyProtection="1">
      <alignment horizontal="left" vertical="center" wrapText="1"/>
      <protection locked="0"/>
    </xf>
    <xf numFmtId="0" fontId="2" fillId="14" borderId="15" xfId="3" applyFont="1" applyFill="1" applyBorder="1" applyAlignment="1" applyProtection="1">
      <alignment horizontal="left" vertical="center" wrapText="1"/>
      <protection locked="0"/>
    </xf>
    <xf numFmtId="0" fontId="2" fillId="15" borderId="17" xfId="3" applyFont="1" applyFill="1" applyBorder="1" applyAlignment="1" applyProtection="1">
      <alignment vertical="center" wrapText="1"/>
      <protection locked="0"/>
    </xf>
    <xf numFmtId="0" fontId="2" fillId="15" borderId="18" xfId="3" applyFont="1" applyFill="1" applyBorder="1" applyAlignment="1" applyProtection="1">
      <alignment vertical="center" wrapText="1"/>
      <protection locked="0"/>
    </xf>
    <xf numFmtId="0" fontId="2" fillId="15" borderId="19" xfId="3" applyFont="1" applyFill="1" applyBorder="1" applyAlignment="1" applyProtection="1">
      <alignment vertical="center" wrapText="1"/>
      <protection locked="0"/>
    </xf>
    <xf numFmtId="0" fontId="10" fillId="0" borderId="4" xfId="5" applyFont="1" applyBorder="1" applyAlignment="1" applyProtection="1">
      <alignment horizontal="left" vertical="center" wrapText="1"/>
      <protection locked="0"/>
    </xf>
    <xf numFmtId="0" fontId="10" fillId="0" borderId="1" xfId="5" applyFont="1" applyBorder="1" applyAlignment="1" applyProtection="1">
      <alignment horizontal="left" vertical="center" wrapText="1"/>
      <protection locked="0"/>
    </xf>
    <xf numFmtId="0" fontId="11" fillId="0" borderId="0" xfId="3" applyFont="1" applyAlignment="1" applyProtection="1">
      <alignment horizontal="center" vertical="center" wrapText="1"/>
      <protection locked="0"/>
    </xf>
    <xf numFmtId="0" fontId="3" fillId="7" borderId="2" xfId="1" applyFont="1" applyFill="1" applyBorder="1" applyAlignment="1" applyProtection="1">
      <alignment horizontal="center" vertical="center" wrapText="1"/>
      <protection locked="0"/>
    </xf>
    <xf numFmtId="0" fontId="3" fillId="7" borderId="3" xfId="1" applyFont="1" applyFill="1" applyBorder="1" applyAlignment="1" applyProtection="1">
      <alignment horizontal="center" vertical="center" wrapText="1"/>
      <protection locked="0"/>
    </xf>
    <xf numFmtId="0" fontId="3" fillId="7" borderId="4" xfId="1" applyFont="1" applyFill="1" applyBorder="1" applyAlignment="1" applyProtection="1">
      <alignment horizontal="center" vertical="center" wrapText="1"/>
      <protection locked="0"/>
    </xf>
    <xf numFmtId="0" fontId="2" fillId="14" borderId="1" xfId="6" applyFont="1" applyFill="1" applyBorder="1" applyAlignment="1">
      <alignment horizontal="left" vertical="center" wrapText="1" shrinkToFit="1"/>
    </xf>
    <xf numFmtId="0" fontId="2" fillId="14" borderId="1" xfId="0" applyFont="1" applyFill="1" applyBorder="1" applyAlignment="1" applyProtection="1">
      <alignment horizontal="left" vertical="center" wrapText="1"/>
      <protection locked="0"/>
    </xf>
    <xf numFmtId="49" fontId="2" fillId="14" borderId="1" xfId="1" applyNumberFormat="1" applyFont="1" applyFill="1" applyBorder="1" applyAlignment="1" applyProtection="1">
      <alignment horizontal="left" vertical="center" wrapText="1"/>
      <protection locked="0"/>
    </xf>
    <xf numFmtId="49" fontId="2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14" borderId="1" xfId="3" applyFont="1" applyFill="1" applyBorder="1" applyAlignment="1" applyProtection="1">
      <alignment horizontal="left" vertical="center" wrapText="1"/>
      <protection locked="0"/>
    </xf>
  </cellXfs>
  <cellStyles count="7">
    <cellStyle name="一般" xfId="0" builtinId="0"/>
    <cellStyle name="一般 2" xfId="2" xr:uid="{00000000-0005-0000-0000-000001000000}"/>
    <cellStyle name="一般 3" xfId="3" xr:uid="{00000000-0005-0000-0000-000002000000}"/>
    <cellStyle name="一般 3 2" xfId="6" xr:uid="{00000000-0005-0000-0000-000003000000}"/>
    <cellStyle name="一般 4" xfId="4" xr:uid="{00000000-0005-0000-0000-000004000000}"/>
    <cellStyle name="一般_Asset &amp; RA彙總表_050822" xfId="1" xr:uid="{00000000-0005-0000-0000-000005000000}"/>
    <cellStyle name="一般_資訊資產清單KHL-W-P-003-001-A0-PWC_I-DC-D006 威脅與弱點評估表_v0.23_資料類資產_風險評鑑_Jane" xfId="5" xr:uid="{00000000-0005-0000-0000-000006000000}"/>
  </cellStyles>
  <dxfs count="0"/>
  <tableStyles count="0" defaultTableStyle="TableStyleMedium2" defaultPivotStyle="PivotStyleLight16"/>
  <colors>
    <mruColors>
      <color rgb="FFFF614C"/>
      <color rgb="FF99CCFF"/>
      <color rgb="FFFEC636"/>
      <color rgb="FF6BCBC5"/>
      <color rgb="FF6699CC"/>
      <color rgb="FF003366"/>
      <color rgb="FF85509D"/>
      <color rgb="FFE1D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</xdr:rowOff>
    </xdr:from>
    <xdr:to>
      <xdr:col>10</xdr:col>
      <xdr:colOff>9525</xdr:colOff>
      <xdr:row>1</xdr:row>
      <xdr:rowOff>28575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685800" y="19049"/>
          <a:ext cx="6572250" cy="219076"/>
        </a:xfrm>
        <a:prstGeom prst="rect">
          <a:avLst/>
        </a:prstGeom>
        <a:solidFill>
          <a:srgbClr val="003366"/>
        </a:solidFill>
        <a:ln>
          <a:noFill/>
        </a:ln>
        <a:effectLst/>
      </xdr:spPr>
      <xdr:txBody>
        <a:bodyPr vertOverflow="clip" wrap="square" lIns="219456" tIns="219456" rIns="219456" bIns="219456" anchor="t" upright="1"/>
        <a:lstStyle/>
        <a:p>
          <a:pPr algn="l" rtl="0">
            <a:lnSpc>
              <a:spcPts val="12100"/>
            </a:lnSpc>
            <a:defRPr sz="1000"/>
          </a:pPr>
          <a:endParaRPr lang="zh-TW" altLang="en-US" sz="9000" b="0" i="0" u="none" strike="noStrike" baseline="0">
            <a:solidFill>
              <a:srgbClr val="FFFFFF"/>
            </a:solidFill>
            <a:latin typeface="Microsoft JhengHei UI"/>
            <a:ea typeface="Microsoft JhengHei UI"/>
          </a:endParaRPr>
        </a:p>
        <a:p>
          <a:pPr algn="l" rtl="0">
            <a:lnSpc>
              <a:spcPts val="12100"/>
            </a:lnSpc>
            <a:defRPr sz="1000"/>
          </a:pPr>
          <a:endParaRPr lang="zh-TW" altLang="en-US" sz="9000" b="0" i="0" u="none" strike="noStrike" baseline="0">
            <a:solidFill>
              <a:srgbClr val="FFFFFF"/>
            </a:solidFill>
            <a:latin typeface="Microsoft JhengHei UI"/>
            <a:ea typeface="Microsoft JhengHei UI"/>
          </a:endParaRPr>
        </a:p>
      </xdr:txBody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11</xdr:col>
      <xdr:colOff>101169</xdr:colOff>
      <xdr:row>1</xdr:row>
      <xdr:rowOff>98713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216" y="0"/>
          <a:ext cx="715319" cy="2948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501650</xdr:colOff>
          <xdr:row>14</xdr:row>
          <xdr:rowOff>165100</xdr:rowOff>
        </xdr:from>
        <xdr:to>
          <xdr:col>16</xdr:col>
          <xdr:colOff>501650</xdr:colOff>
          <xdr:row>17</xdr:row>
          <xdr:rowOff>50800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完成後請按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298450</xdr:colOff>
          <xdr:row>0</xdr:row>
          <xdr:rowOff>317500</xdr:rowOff>
        </xdr:from>
        <xdr:to>
          <xdr:col>11</xdr:col>
          <xdr:colOff>463550</xdr:colOff>
          <xdr:row>1</xdr:row>
          <xdr:rowOff>336550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CIA關聯校驗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688881</xdr:colOff>
      <xdr:row>38</xdr:row>
      <xdr:rowOff>177458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811835" y="34185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688881</xdr:colOff>
      <xdr:row>38</xdr:row>
      <xdr:rowOff>177458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537481" y="1674143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688881</xdr:colOff>
      <xdr:row>38</xdr:row>
      <xdr:rowOff>177458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8537481" y="1674143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4037;&#20316;&#38917;&#30446;\FY105\&#39135;&#21697;&#30740;&#31350;&#25152;\&#39135;&#21697;&#30740;&#31350;&#25152;-&#39080;&#38570;&#35413;&#37969;\&#22521;&#33775;&#31684;&#20363;\20150707\20150707\RA\&#39080;&#38570;&#35413;&#37969;_&#20154;&#21729;&#39006;_20150707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8568;&#36523;&#30879;backup(101.7.26)\&#28450;&#27665;&#31185;&#25216;\RA\&#36575;&#39636;&#39006;&#36039;&#2998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資產清單資訊"/>
      <sheetName val="人員資產群組清單"/>
      <sheetName val="人員風險_PE_01"/>
      <sheetName val="人員風險_PE_03"/>
      <sheetName val="人員風險_PE_10"/>
      <sheetName val="人員風險_PE_11"/>
      <sheetName val="人員風險_PE_13"/>
      <sheetName val="人員風險_PE_12"/>
      <sheetName val="人員風險_PE_14"/>
      <sheetName val="人員風險_PE_15"/>
      <sheetName val="人員風險_16"/>
      <sheetName val="人員風險_PE_17"/>
      <sheetName val="人員風險_PE_18"/>
      <sheetName val="人員風險_PE_21"/>
      <sheetName val="人員風險_PE_22"/>
      <sheetName val="人員風險_PE_23"/>
      <sheetName val="人員風險_PE_25"/>
      <sheetName val="人員風險_PE_28"/>
      <sheetName val="人員風險_PE_36"/>
      <sheetName val="Ref"/>
      <sheetName val="工作表1"/>
    </sheetNames>
    <sheetDataSet>
      <sheetData sheetId="0">
        <row r="4">
          <cell r="D4" t="str">
            <v>漢民</v>
          </cell>
        </row>
      </sheetData>
      <sheetData sheetId="1">
        <row r="10">
          <cell r="D10" t="str">
            <v>(01) 管理階層</v>
          </cell>
        </row>
        <row r="11">
          <cell r="D11" t="str">
            <v>(06) Service Desk 人員</v>
          </cell>
        </row>
        <row r="12">
          <cell r="D12" t="str">
            <v>(06) Service Desk 人員</v>
          </cell>
        </row>
        <row r="13">
          <cell r="D13" t="str">
            <v>(06) Service Desk 人員</v>
          </cell>
        </row>
        <row r="14">
          <cell r="D14" t="str">
            <v>(06) Service Desk 人員</v>
          </cell>
        </row>
        <row r="15">
          <cell r="D15" t="str">
            <v>(06) Service Desk 人員</v>
          </cell>
        </row>
        <row r="16">
          <cell r="D16" t="str">
            <v>(06) Service Desk 人員</v>
          </cell>
        </row>
        <row r="17">
          <cell r="D17" t="str">
            <v>(06) Service Desk 人員</v>
          </cell>
        </row>
        <row r="18">
          <cell r="D18" t="str">
            <v>(06) Service Desk 人員</v>
          </cell>
        </row>
        <row r="19">
          <cell r="D19" t="str">
            <v>(05) 專案Leader</v>
          </cell>
        </row>
        <row r="20">
          <cell r="D20" t="str">
            <v>(03) MIS人員</v>
          </cell>
        </row>
        <row r="21">
          <cell r="D21" t="str">
            <v>(03) MIS人員</v>
          </cell>
        </row>
        <row r="22">
          <cell r="D22" t="str">
            <v>(05) 專案Leader</v>
          </cell>
        </row>
        <row r="23">
          <cell r="D23" t="str">
            <v>(03) MIS人員</v>
          </cell>
        </row>
        <row r="24">
          <cell r="D24" t="str">
            <v>(03) MIS人員</v>
          </cell>
        </row>
        <row r="25">
          <cell r="D25" t="str">
            <v>(03) MIS人員</v>
          </cell>
        </row>
        <row r="26">
          <cell r="D26" t="str">
            <v>(06) Service Desk 人員</v>
          </cell>
        </row>
        <row r="27">
          <cell r="D27" t="str">
            <v>(03) MIS人員</v>
          </cell>
        </row>
        <row r="28">
          <cell r="D28" t="str">
            <v>(05) 專案Leader</v>
          </cell>
        </row>
        <row r="29">
          <cell r="D29" t="str">
            <v>(03) MIS人員</v>
          </cell>
        </row>
        <row r="30">
          <cell r="D30" t="str">
            <v>(03) MIS人員</v>
          </cell>
        </row>
        <row r="31">
          <cell r="D31" t="str">
            <v>(03) MIS人員</v>
          </cell>
        </row>
        <row r="32">
          <cell r="D32" t="str">
            <v>(03) MIS人員</v>
          </cell>
        </row>
        <row r="33">
          <cell r="D33" t="str">
            <v>(03) MIS人員</v>
          </cell>
        </row>
        <row r="34">
          <cell r="D34" t="str">
            <v>(09) 合作夥伴(供應鏈上下游)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C3" t="str">
            <v>(01) 管理階層</v>
          </cell>
          <cell r="D3">
            <v>1</v>
          </cell>
          <cell r="M3">
            <v>1</v>
          </cell>
          <cell r="P3">
            <v>1</v>
          </cell>
          <cell r="S3">
            <v>1</v>
          </cell>
          <cell r="V3">
            <v>1</v>
          </cell>
          <cell r="Y3">
            <v>1</v>
          </cell>
          <cell r="AB3">
            <v>1</v>
          </cell>
          <cell r="AE3" t="str">
            <v>Y</v>
          </cell>
        </row>
        <row r="4">
          <cell r="C4" t="str">
            <v>(02) 研發人員</v>
          </cell>
          <cell r="D4">
            <v>0</v>
          </cell>
          <cell r="M4">
            <v>2</v>
          </cell>
          <cell r="P4">
            <v>2</v>
          </cell>
          <cell r="S4">
            <v>2</v>
          </cell>
          <cell r="V4">
            <v>2</v>
          </cell>
          <cell r="Y4">
            <v>2</v>
          </cell>
          <cell r="AB4">
            <v>2</v>
          </cell>
          <cell r="AE4" t="str">
            <v>N</v>
          </cell>
        </row>
        <row r="5">
          <cell r="C5" t="str">
            <v>(03) MIS人員</v>
          </cell>
          <cell r="D5">
            <v>11</v>
          </cell>
          <cell r="M5">
            <v>3</v>
          </cell>
          <cell r="P5">
            <v>3</v>
          </cell>
          <cell r="S5">
            <v>3</v>
          </cell>
          <cell r="V5">
            <v>3</v>
          </cell>
          <cell r="Y5">
            <v>3</v>
          </cell>
          <cell r="AB5">
            <v>3</v>
          </cell>
        </row>
        <row r="6">
          <cell r="C6" t="str">
            <v>(04) 工讀生</v>
          </cell>
          <cell r="D6">
            <v>0</v>
          </cell>
          <cell r="M6">
            <v>4</v>
          </cell>
          <cell r="P6">
            <v>4</v>
          </cell>
          <cell r="S6">
            <v>4</v>
          </cell>
          <cell r="V6">
            <v>4</v>
          </cell>
          <cell r="Y6">
            <v>4</v>
          </cell>
          <cell r="AB6">
            <v>4</v>
          </cell>
        </row>
        <row r="7">
          <cell r="C7" t="str">
            <v>(05) 專案Leader</v>
          </cell>
          <cell r="D7">
            <v>0</v>
          </cell>
        </row>
        <row r="8">
          <cell r="C8" t="str">
            <v>(06) Service Desk 人員</v>
          </cell>
          <cell r="D8">
            <v>1</v>
          </cell>
        </row>
        <row r="9">
          <cell r="C9" t="str">
            <v>(07) 駐點人員</v>
          </cell>
          <cell r="D9">
            <v>0</v>
          </cell>
        </row>
        <row r="10">
          <cell r="C10" t="str">
            <v>(08) 清潔人員</v>
          </cell>
          <cell r="D10">
            <v>0</v>
          </cell>
        </row>
        <row r="11">
          <cell r="C11" t="str">
            <v>(09) 合作夥伴(供應鏈上下游)</v>
          </cell>
          <cell r="D11">
            <v>0</v>
          </cell>
        </row>
        <row r="12">
          <cell r="C12" t="str">
            <v>(05) 聘僱人員</v>
          </cell>
          <cell r="D12">
            <v>0</v>
          </cell>
        </row>
      </sheetData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資產清單資訊"/>
      <sheetName val="軟體資產群組清單"/>
      <sheetName val="軟體風險_SW_01"/>
      <sheetName val="軟體風險_SW_02"/>
      <sheetName val="Ref"/>
    </sheetNames>
    <sheetDataSet>
      <sheetData sheetId="0"/>
      <sheetData sheetId="1">
        <row r="11">
          <cell r="A11" t="str">
            <v>SW-01</v>
          </cell>
          <cell r="B11" t="str">
            <v>05</v>
          </cell>
          <cell r="C11" t="str">
            <v>01</v>
          </cell>
          <cell r="D11" t="str">
            <v>(05) 套裝軟體</v>
          </cell>
          <cell r="E11" t="str">
            <v>oracle</v>
          </cell>
          <cell r="J11">
            <v>4</v>
          </cell>
          <cell r="L11">
            <v>1</v>
          </cell>
          <cell r="N11">
            <v>2</v>
          </cell>
          <cell r="P11">
            <v>3</v>
          </cell>
          <cell r="R11">
            <v>4</v>
          </cell>
        </row>
        <row r="12">
          <cell r="A12" t="str">
            <v>SW-02</v>
          </cell>
          <cell r="B12" t="str">
            <v>03</v>
          </cell>
          <cell r="C12" t="str">
            <v>02</v>
          </cell>
          <cell r="D12" t="str">
            <v>(03) 資料庫</v>
          </cell>
          <cell r="E12" t="str">
            <v>人員資料庫</v>
          </cell>
          <cell r="G12" t="str">
            <v>機房</v>
          </cell>
          <cell r="J12">
            <v>4</v>
          </cell>
          <cell r="L12">
            <v>4</v>
          </cell>
          <cell r="N12">
            <v>4</v>
          </cell>
          <cell r="P12">
            <v>4</v>
          </cell>
          <cell r="R12">
            <v>4</v>
          </cell>
        </row>
        <row r="13">
          <cell r="A13" t="str">
            <v>SW-03</v>
          </cell>
          <cell r="B13" t="str">
            <v>01</v>
          </cell>
          <cell r="C13" t="str">
            <v>03</v>
          </cell>
          <cell r="D13" t="str">
            <v>(01) 應用系統</v>
          </cell>
          <cell r="E13" t="str">
            <v>官網</v>
          </cell>
          <cell r="F13" t="str">
            <v>自行開發</v>
          </cell>
          <cell r="G13" t="str">
            <v>機房</v>
          </cell>
          <cell r="R13">
            <v>0</v>
          </cell>
        </row>
        <row r="14">
          <cell r="A14" t="str">
            <v>SW-04</v>
          </cell>
          <cell r="B14" t="str">
            <v>01</v>
          </cell>
          <cell r="C14" t="str">
            <v>04</v>
          </cell>
          <cell r="D14" t="str">
            <v>(01) 應用系統</v>
          </cell>
          <cell r="E14" t="str">
            <v>人事系統</v>
          </cell>
          <cell r="F14" t="str">
            <v>委外開發</v>
          </cell>
          <cell r="G14" t="str">
            <v>機房</v>
          </cell>
          <cell r="R14">
            <v>0</v>
          </cell>
        </row>
        <row r="15">
          <cell r="A15" t="str">
            <v>未輸入</v>
          </cell>
          <cell r="B15" t="str">
            <v/>
          </cell>
          <cell r="R15">
            <v>0</v>
          </cell>
        </row>
        <row r="16">
          <cell r="A16" t="str">
            <v>未輸入</v>
          </cell>
          <cell r="B16" t="str">
            <v/>
          </cell>
          <cell r="R16">
            <v>0</v>
          </cell>
        </row>
        <row r="17">
          <cell r="A17" t="str">
            <v>未輸入</v>
          </cell>
          <cell r="B17" t="str">
            <v/>
          </cell>
          <cell r="R17">
            <v>0</v>
          </cell>
        </row>
        <row r="18">
          <cell r="A18" t="str">
            <v>未輸入</v>
          </cell>
          <cell r="B18" t="str">
            <v/>
          </cell>
          <cell r="R18">
            <v>0</v>
          </cell>
        </row>
        <row r="19">
          <cell r="A19" t="str">
            <v>未輸入</v>
          </cell>
          <cell r="B19" t="str">
            <v/>
          </cell>
          <cell r="R19">
            <v>0</v>
          </cell>
        </row>
        <row r="20">
          <cell r="A20" t="str">
            <v>未輸入</v>
          </cell>
          <cell r="B20" t="str">
            <v/>
          </cell>
          <cell r="R20">
            <v>0</v>
          </cell>
        </row>
        <row r="21">
          <cell r="A21" t="str">
            <v>未輸入</v>
          </cell>
          <cell r="B21" t="str">
            <v/>
          </cell>
          <cell r="R21">
            <v>0</v>
          </cell>
        </row>
        <row r="22">
          <cell r="A22" t="str">
            <v>未輸入</v>
          </cell>
          <cell r="B22" t="str">
            <v/>
          </cell>
          <cell r="R22">
            <v>0</v>
          </cell>
        </row>
        <row r="23">
          <cell r="A23" t="str">
            <v>未輸入</v>
          </cell>
          <cell r="B23" t="str">
            <v/>
          </cell>
          <cell r="R23">
            <v>0</v>
          </cell>
        </row>
        <row r="24">
          <cell r="A24" t="str">
            <v>未輸入</v>
          </cell>
          <cell r="B24" t="str">
            <v/>
          </cell>
          <cell r="R24">
            <v>0</v>
          </cell>
        </row>
        <row r="25">
          <cell r="A25" t="str">
            <v>未輸入</v>
          </cell>
          <cell r="B25" t="str">
            <v/>
          </cell>
          <cell r="R25">
            <v>0</v>
          </cell>
        </row>
        <row r="26">
          <cell r="A26" t="str">
            <v>未輸入</v>
          </cell>
          <cell r="R26">
            <v>0</v>
          </cell>
        </row>
        <row r="27">
          <cell r="A27" t="str">
            <v>未輸入</v>
          </cell>
          <cell r="R27">
            <v>0</v>
          </cell>
        </row>
        <row r="28">
          <cell r="A28" t="str">
            <v>未輸入</v>
          </cell>
          <cell r="R28">
            <v>0</v>
          </cell>
        </row>
        <row r="29">
          <cell r="A29" t="str">
            <v>未輸入</v>
          </cell>
          <cell r="R29">
            <v>0</v>
          </cell>
        </row>
        <row r="30">
          <cell r="A30" t="str">
            <v>未輸入</v>
          </cell>
          <cell r="R30">
            <v>0</v>
          </cell>
        </row>
        <row r="31">
          <cell r="A31" t="str">
            <v>未輸入</v>
          </cell>
          <cell r="R31">
            <v>0</v>
          </cell>
        </row>
        <row r="32">
          <cell r="A32" t="str">
            <v>未輸入</v>
          </cell>
          <cell r="R32">
            <v>0</v>
          </cell>
        </row>
        <row r="33">
          <cell r="A33" t="str">
            <v>未輸入</v>
          </cell>
          <cell r="R33">
            <v>0</v>
          </cell>
        </row>
        <row r="34">
          <cell r="A34" t="str">
            <v>未輸入</v>
          </cell>
          <cell r="R34">
            <v>0</v>
          </cell>
        </row>
        <row r="35">
          <cell r="A35" t="str">
            <v>未輸入</v>
          </cell>
          <cell r="R35">
            <v>0</v>
          </cell>
        </row>
        <row r="36">
          <cell r="A36" t="str">
            <v>未輸入</v>
          </cell>
          <cell r="R36">
            <v>0</v>
          </cell>
        </row>
        <row r="37">
          <cell r="A37" t="str">
            <v>未輸入</v>
          </cell>
          <cell r="R37">
            <v>0</v>
          </cell>
        </row>
        <row r="38">
          <cell r="A38" t="str">
            <v>未輸入</v>
          </cell>
          <cell r="R38">
            <v>0</v>
          </cell>
        </row>
        <row r="39">
          <cell r="A39" t="str">
            <v>未輸入</v>
          </cell>
          <cell r="R39">
            <v>0</v>
          </cell>
        </row>
        <row r="40">
          <cell r="A40" t="str">
            <v>未輸入</v>
          </cell>
          <cell r="R40">
            <v>0</v>
          </cell>
        </row>
        <row r="41">
          <cell r="A41" t="str">
            <v>未輸入</v>
          </cell>
          <cell r="R41">
            <v>0</v>
          </cell>
        </row>
        <row r="42">
          <cell r="A42" t="str">
            <v>未輸入</v>
          </cell>
          <cell r="R42">
            <v>0</v>
          </cell>
        </row>
        <row r="43">
          <cell r="A43" t="str">
            <v>未輸入</v>
          </cell>
          <cell r="R43">
            <v>0</v>
          </cell>
        </row>
        <row r="44">
          <cell r="A44" t="str">
            <v>未輸入</v>
          </cell>
          <cell r="R44">
            <v>0</v>
          </cell>
        </row>
        <row r="45">
          <cell r="A45" t="str">
            <v>未輸入</v>
          </cell>
          <cell r="R45">
            <v>0</v>
          </cell>
        </row>
        <row r="46">
          <cell r="A46" t="str">
            <v>未輸入</v>
          </cell>
          <cell r="R46">
            <v>0</v>
          </cell>
        </row>
        <row r="47">
          <cell r="A47" t="str">
            <v>未輸入</v>
          </cell>
          <cell r="R47">
            <v>0</v>
          </cell>
        </row>
        <row r="48">
          <cell r="A48" t="str">
            <v>未輸入</v>
          </cell>
          <cell r="R48">
            <v>0</v>
          </cell>
        </row>
        <row r="49">
          <cell r="A49" t="str">
            <v>未輸入</v>
          </cell>
          <cell r="R49">
            <v>0</v>
          </cell>
        </row>
        <row r="50">
          <cell r="A50" t="str">
            <v>未輸入</v>
          </cell>
          <cell r="R50">
            <v>0</v>
          </cell>
        </row>
      </sheetData>
      <sheetData sheetId="2"/>
      <sheetData sheetId="3"/>
      <sheetData sheetId="4">
        <row r="3">
          <cell r="C3" t="str">
            <v>(01) 應用系統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/>
  </sheetPr>
  <dimension ref="B3:J15"/>
  <sheetViews>
    <sheetView topLeftCell="A7" zoomScale="80" zoomScaleNormal="80" workbookViewId="0">
      <selection activeCell="N20" sqref="N20"/>
    </sheetView>
  </sheetViews>
  <sheetFormatPr defaultColWidth="9" defaultRowHeight="15.5"/>
  <cols>
    <col min="1" max="1" width="9" style="5"/>
    <col min="2" max="2" width="14.08984375" style="5" customWidth="1"/>
    <col min="3" max="16384" width="9" style="5"/>
  </cols>
  <sheetData>
    <row r="3" spans="2:10" ht="63.25" customHeight="1">
      <c r="B3" s="79" t="s">
        <v>170</v>
      </c>
      <c r="C3" s="79"/>
      <c r="D3" s="79"/>
      <c r="E3" s="79"/>
      <c r="F3" s="79"/>
      <c r="G3" s="79"/>
      <c r="H3" s="79"/>
      <c r="I3" s="79"/>
      <c r="J3" s="79"/>
    </row>
    <row r="4" spans="2:10" ht="78.75" customHeight="1">
      <c r="B4" s="80" t="s">
        <v>35</v>
      </c>
      <c r="C4" s="81"/>
      <c r="D4" s="81"/>
      <c r="E4" s="81"/>
      <c r="F4" s="81"/>
      <c r="G4" s="81"/>
      <c r="H4" s="81"/>
      <c r="I4" s="81"/>
      <c r="J4" s="81"/>
    </row>
    <row r="5" spans="2:10" ht="78.75" customHeight="1">
      <c r="B5" s="82" t="s">
        <v>32</v>
      </c>
      <c r="C5" s="82"/>
      <c r="D5" s="82"/>
      <c r="E5" s="82"/>
      <c r="F5" s="82"/>
      <c r="G5" s="82"/>
      <c r="H5" s="82"/>
      <c r="I5" s="82"/>
      <c r="J5" s="82"/>
    </row>
    <row r="7" spans="2:10" ht="98.5" customHeight="1">
      <c r="B7" s="96" t="s">
        <v>33</v>
      </c>
      <c r="C7" s="96"/>
      <c r="D7" s="96"/>
      <c r="E7" s="96"/>
      <c r="F7" s="96"/>
      <c r="G7" s="96"/>
      <c r="H7" s="96"/>
      <c r="I7" s="96"/>
      <c r="J7" s="96"/>
    </row>
    <row r="9" spans="2:10" ht="16.649999999999999" hidden="1" customHeight="1">
      <c r="B9" s="1" t="s">
        <v>46</v>
      </c>
      <c r="C9" s="83"/>
      <c r="D9" s="84"/>
      <c r="E9" s="84"/>
      <c r="F9" s="84"/>
      <c r="G9" s="84"/>
      <c r="H9" s="84"/>
      <c r="I9" s="84"/>
      <c r="J9" s="85"/>
    </row>
    <row r="10" spans="2:10" ht="16">
      <c r="B10" s="1" t="s">
        <v>47</v>
      </c>
      <c r="C10" s="86" t="s">
        <v>171</v>
      </c>
      <c r="D10" s="87"/>
      <c r="E10" s="87"/>
      <c r="F10" s="87"/>
      <c r="G10" s="87"/>
      <c r="H10" s="87"/>
      <c r="I10" s="87"/>
      <c r="J10" s="88"/>
    </row>
    <row r="11" spans="2:10" ht="16">
      <c r="B11" s="1" t="s">
        <v>48</v>
      </c>
      <c r="C11" s="90" t="s">
        <v>206</v>
      </c>
      <c r="D11" s="91"/>
      <c r="E11" s="91"/>
      <c r="F11" s="91"/>
      <c r="G11" s="91"/>
      <c r="H11" s="91"/>
      <c r="I11" s="91"/>
      <c r="J11" s="92"/>
    </row>
    <row r="12" spans="2:10" ht="16">
      <c r="B12" s="1" t="s">
        <v>0</v>
      </c>
      <c r="C12" s="93">
        <v>1</v>
      </c>
      <c r="D12" s="94"/>
      <c r="E12" s="94"/>
      <c r="F12" s="94"/>
      <c r="G12" s="94"/>
      <c r="H12" s="94"/>
      <c r="I12" s="94"/>
      <c r="J12" s="95"/>
    </row>
    <row r="13" spans="2:10" ht="16">
      <c r="B13" s="1" t="s">
        <v>1</v>
      </c>
      <c r="C13" s="83" t="s">
        <v>36</v>
      </c>
      <c r="D13" s="84"/>
      <c r="E13" s="84"/>
      <c r="F13" s="84"/>
      <c r="G13" s="84"/>
      <c r="H13" s="84"/>
      <c r="I13" s="84"/>
      <c r="J13" s="85"/>
    </row>
    <row r="15" spans="2:10">
      <c r="B15" s="89" t="s">
        <v>169</v>
      </c>
      <c r="C15" s="89"/>
      <c r="D15" s="89"/>
      <c r="E15" s="89"/>
      <c r="F15" s="89"/>
      <c r="G15" s="89"/>
      <c r="H15" s="89"/>
      <c r="I15" s="89"/>
      <c r="J15" s="89"/>
    </row>
  </sheetData>
  <mergeCells count="10">
    <mergeCell ref="B15:J15"/>
    <mergeCell ref="C11:J11"/>
    <mergeCell ref="C12:J12"/>
    <mergeCell ref="C13:J13"/>
    <mergeCell ref="B7:J7"/>
    <mergeCell ref="B3:J3"/>
    <mergeCell ref="B4:J4"/>
    <mergeCell ref="B5:J5"/>
    <mergeCell ref="C9:J9"/>
    <mergeCell ref="C10:J10"/>
  </mergeCells>
  <phoneticPr fontId="1" type="noConversion"/>
  <dataValidations count="1">
    <dataValidation type="list" allowBlank="1" showInputMessage="1" showErrorMessage="1" sqref="C13:J13" xr:uid="{00000000-0002-0000-0000-000000000000}">
      <formula1>"一般,限閱級,密級,機密級"</formula1>
    </dataValidation>
  </dataValidations>
  <pageMargins left="1.9685039370078741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-0.249977111117893"/>
    <pageSetUpPr fitToPage="1"/>
  </sheetPr>
  <dimension ref="A1:Q12"/>
  <sheetViews>
    <sheetView zoomScale="85" zoomScaleNormal="85" workbookViewId="0">
      <selection activeCell="Q12" sqref="Q10:Q12"/>
    </sheetView>
  </sheetViews>
  <sheetFormatPr defaultColWidth="9" defaultRowHeight="15.5"/>
  <cols>
    <col min="1" max="1" width="12.90625" style="28" customWidth="1"/>
    <col min="2" max="2" width="17.08984375" style="26" hidden="1" customWidth="1"/>
    <col min="3" max="3" width="16.6328125" style="26" customWidth="1"/>
    <col min="4" max="4" width="18.90625" style="26" customWidth="1"/>
    <col min="5" max="6" width="13.6328125" style="26" customWidth="1"/>
    <col min="7" max="7" width="8.90625" style="17" customWidth="1"/>
    <col min="8" max="8" width="6.08984375" style="26" customWidth="1"/>
    <col min="9" max="9" width="13.453125" style="26" customWidth="1"/>
    <col min="10" max="10" width="6.08984375" style="26" customWidth="1"/>
    <col min="11" max="11" width="13.453125" style="26" customWidth="1"/>
    <col min="12" max="12" width="6.08984375" style="26" customWidth="1"/>
    <col min="13" max="13" width="13.453125" style="26" customWidth="1"/>
    <col min="14" max="14" width="6.08984375" style="26" customWidth="1"/>
    <col min="15" max="15" width="13.453125" style="26" customWidth="1"/>
    <col min="16" max="16" width="6.08984375" style="26" customWidth="1"/>
    <col min="17" max="17" width="8.90625" style="17" customWidth="1"/>
    <col min="18" max="16384" width="9" style="26"/>
  </cols>
  <sheetData>
    <row r="1" spans="1:17" s="24" customFormat="1">
      <c r="A1" s="97" t="str">
        <f>資訊清單資訊!B3</f>
        <v>石油與天然氣輸儲查核與檢測雲端平台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17" s="24" customFormat="1">
      <c r="A2" s="97" t="str">
        <f>資訊清單資訊!B7 &amp;"資訊資產清冊"</f>
        <v>人員類(PE)資訊資產清冊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</row>
    <row r="3" spans="1:17" s="4" customFormat="1" hidden="1">
      <c r="A3" s="98" t="str">
        <f>資訊清單資訊!B9&amp; " : " &amp;資訊清單資訊!C9</f>
        <v xml:space="preserve">計畫代號 : </v>
      </c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100"/>
    </row>
    <row r="4" spans="1:17" s="25" customFormat="1">
      <c r="A4" s="102" t="str">
        <f>資訊清單資訊!B10&amp; " : " &amp;資訊清單資訊!C10</f>
        <v>編號 : 材1-1</v>
      </c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</row>
    <row r="5" spans="1:17" s="25" customFormat="1">
      <c r="A5" s="102" t="str">
        <f>資訊清單資訊!B11&amp; " : " &amp;資訊清單資訊!C11</f>
        <v>日期 : 113/3/19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6" spans="1:17" s="25" customFormat="1">
      <c r="A6" s="102" t="str">
        <f>資訊清單資訊!B12&amp; " : " &amp;資訊清單資訊!C12</f>
        <v>版本 : 1</v>
      </c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</row>
    <row r="7" spans="1:17" s="25" customFormat="1">
      <c r="A7" s="101" t="str">
        <f>資訊清單資訊!B13&amp; " : " &amp;資訊清單資訊!C13</f>
        <v>機密等級 : 限閱級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</row>
    <row r="8" spans="1:17" s="14" customFormat="1">
      <c r="A8" s="30"/>
      <c r="B8" s="103" t="s">
        <v>58</v>
      </c>
      <c r="C8" s="103"/>
      <c r="D8" s="103"/>
      <c r="E8" s="103"/>
      <c r="F8" s="103"/>
      <c r="G8" s="104"/>
      <c r="H8" s="105" t="s">
        <v>73</v>
      </c>
      <c r="I8" s="106"/>
      <c r="J8" s="106"/>
      <c r="K8" s="106"/>
      <c r="L8" s="106"/>
      <c r="M8" s="106"/>
      <c r="N8" s="106"/>
      <c r="O8" s="106"/>
      <c r="P8" s="106"/>
      <c r="Q8" s="107"/>
    </row>
    <row r="9" spans="1:17" s="17" customFormat="1" ht="31">
      <c r="A9" s="31" t="s">
        <v>74</v>
      </c>
      <c r="B9" s="29" t="s">
        <v>2</v>
      </c>
      <c r="C9" s="15" t="s">
        <v>59</v>
      </c>
      <c r="D9" s="15" t="s">
        <v>60</v>
      </c>
      <c r="E9" s="15" t="s">
        <v>61</v>
      </c>
      <c r="F9" s="15" t="s">
        <v>62</v>
      </c>
      <c r="G9" s="15" t="s">
        <v>63</v>
      </c>
      <c r="H9" s="13" t="s">
        <v>64</v>
      </c>
      <c r="I9" s="13" t="s">
        <v>65</v>
      </c>
      <c r="J9" s="13" t="s">
        <v>66</v>
      </c>
      <c r="K9" s="13" t="s">
        <v>67</v>
      </c>
      <c r="L9" s="13" t="s">
        <v>68</v>
      </c>
      <c r="M9" s="13" t="s">
        <v>65</v>
      </c>
      <c r="N9" s="13" t="s">
        <v>69</v>
      </c>
      <c r="O9" s="13" t="s">
        <v>70</v>
      </c>
      <c r="P9" s="13" t="s">
        <v>71</v>
      </c>
      <c r="Q9" s="16" t="s">
        <v>72</v>
      </c>
    </row>
    <row r="10" spans="1:17" s="14" customFormat="1" ht="31">
      <c r="A10" s="71" t="s">
        <v>172</v>
      </c>
      <c r="B10" s="18"/>
      <c r="C10" s="73" t="s">
        <v>176</v>
      </c>
      <c r="D10" s="167" t="s">
        <v>203</v>
      </c>
      <c r="E10" s="168" t="s">
        <v>177</v>
      </c>
      <c r="F10" s="170" t="s">
        <v>152</v>
      </c>
      <c r="G10" s="169" t="s">
        <v>175</v>
      </c>
      <c r="H10" s="75">
        <v>2</v>
      </c>
      <c r="I10" s="76" t="s">
        <v>201</v>
      </c>
      <c r="J10" s="75">
        <v>3</v>
      </c>
      <c r="K10" s="74" t="s">
        <v>178</v>
      </c>
      <c r="L10" s="77">
        <v>2</v>
      </c>
      <c r="M10" s="74" t="s">
        <v>178</v>
      </c>
      <c r="N10" s="75">
        <v>3</v>
      </c>
      <c r="O10" s="76" t="s">
        <v>153</v>
      </c>
      <c r="P10" s="75">
        <f>MAX(H10,J10,L10,N10)</f>
        <v>3</v>
      </c>
      <c r="Q10" s="78" t="s">
        <v>179</v>
      </c>
    </row>
    <row r="11" spans="1:17" s="14" customFormat="1" ht="31">
      <c r="A11" s="71" t="s">
        <v>173</v>
      </c>
      <c r="B11" s="70"/>
      <c r="C11" s="73" t="s">
        <v>168</v>
      </c>
      <c r="D11" s="167" t="s">
        <v>204</v>
      </c>
      <c r="E11" s="168" t="s">
        <v>180</v>
      </c>
      <c r="F11" s="170" t="s">
        <v>152</v>
      </c>
      <c r="G11" s="169" t="s">
        <v>175</v>
      </c>
      <c r="H11" s="75">
        <v>2</v>
      </c>
      <c r="I11" s="76" t="s">
        <v>200</v>
      </c>
      <c r="J11" s="75">
        <v>3</v>
      </c>
      <c r="K11" s="74" t="s">
        <v>178</v>
      </c>
      <c r="L11" s="77">
        <v>2</v>
      </c>
      <c r="M11" s="74" t="s">
        <v>178</v>
      </c>
      <c r="N11" s="75">
        <v>3</v>
      </c>
      <c r="O11" s="76" t="s">
        <v>153</v>
      </c>
      <c r="P11" s="75">
        <f>MAX(H11,J11,L11,N11)</f>
        <v>3</v>
      </c>
      <c r="Q11" s="78" t="s">
        <v>179</v>
      </c>
    </row>
    <row r="12" spans="1:17" s="14" customFormat="1" ht="46.5">
      <c r="A12" s="71" t="s">
        <v>174</v>
      </c>
      <c r="B12" s="70"/>
      <c r="C12" s="74" t="s">
        <v>181</v>
      </c>
      <c r="D12" s="167" t="s">
        <v>182</v>
      </c>
      <c r="E12" s="168" t="s">
        <v>183</v>
      </c>
      <c r="F12" s="171">
        <v>1</v>
      </c>
      <c r="G12" s="169" t="s">
        <v>184</v>
      </c>
      <c r="H12" s="75">
        <v>2</v>
      </c>
      <c r="I12" s="76" t="s">
        <v>201</v>
      </c>
      <c r="J12" s="77">
        <v>2</v>
      </c>
      <c r="K12" s="74" t="s">
        <v>178</v>
      </c>
      <c r="L12" s="77">
        <v>2</v>
      </c>
      <c r="M12" s="74" t="s">
        <v>178</v>
      </c>
      <c r="N12" s="75">
        <v>3</v>
      </c>
      <c r="O12" s="76" t="s">
        <v>153</v>
      </c>
      <c r="P12" s="75">
        <f t="shared" ref="P12" si="0">MAX(H12,J12,L12,N12)</f>
        <v>3</v>
      </c>
      <c r="Q12" s="78" t="s">
        <v>179</v>
      </c>
    </row>
  </sheetData>
  <sheetProtection formatCells="0" formatColumns="0" formatRows="0" insertColumns="0" insertRows="0" insertHyperlinks="0" deleteColumns="0" deleteRows="0" sort="0" autoFilter="0" pivotTables="0"/>
  <autoFilter ref="A9:Q9" xr:uid="{00000000-0009-0000-0000-000001000000}"/>
  <mergeCells count="9">
    <mergeCell ref="A1:Q1"/>
    <mergeCell ref="A2:Q2"/>
    <mergeCell ref="A3:Q3"/>
    <mergeCell ref="A7:Q7"/>
    <mergeCell ref="B8:G8"/>
    <mergeCell ref="H8:Q8"/>
    <mergeCell ref="A4:Q4"/>
    <mergeCell ref="A5:Q5"/>
    <mergeCell ref="A6:Q6"/>
  </mergeCells>
  <phoneticPr fontId="1" type="noConversion"/>
  <dataValidations count="4">
    <dataValidation type="list" allowBlank="1" showInputMessage="1" showErrorMessage="1" sqref="N1:N8 N13:N1048576" xr:uid="{00000000-0002-0000-0100-000000000000}">
      <formula1>"2,3,4,NA"</formula1>
    </dataValidation>
    <dataValidation type="list" allowBlank="1" showInputMessage="1" showErrorMessage="1" sqref="L10:L421 J10:J421 H10:H421" xr:uid="{00000000-0002-0000-0100-000001000000}">
      <formula1>"1,2,3,4"</formula1>
    </dataValidation>
    <dataValidation type="list" allowBlank="1" showInputMessage="1" showErrorMessage="1" sqref="B10:B421" xr:uid="{00000000-0002-0000-0100-000002000000}">
      <formula1>PE_SUBLIST</formula1>
    </dataValidation>
    <dataValidation type="list" allowBlank="1" showInputMessage="1" showErrorMessage="1" sqref="N10:N12" xr:uid="{00000000-0002-0000-0100-000003000000}">
      <formula1>"3,4"</formula1>
    </dataValidation>
  </dataValidations>
  <pageMargins left="0" right="0" top="0.39370078740157483" bottom="0.59055118110236227" header="0.31496062992125984" footer="0.19685039370078741"/>
  <pageSetup paperSize="9" scale="83" fitToHeight="0" orientation="landscape" r:id="rId1"/>
  <headerFooter>
    <oddFooter>第 &amp;P 頁，共 &amp;N 頁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產生清單">
                <anchor moveWithCells="1" sizeWithCells="1">
                  <from>
                    <xdr:col>14</xdr:col>
                    <xdr:colOff>501650</xdr:colOff>
                    <xdr:row>14</xdr:row>
                    <xdr:rowOff>165100</xdr:rowOff>
                  </from>
                  <to>
                    <xdr:col>16</xdr:col>
                    <xdr:colOff>501650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theme="4"/>
  </sheetPr>
  <dimension ref="A1:I59"/>
  <sheetViews>
    <sheetView topLeftCell="A34" workbookViewId="0">
      <selection activeCell="D3" sqref="D1:F1048576"/>
    </sheetView>
  </sheetViews>
  <sheetFormatPr defaultColWidth="9" defaultRowHeight="46.5" customHeight="1"/>
  <cols>
    <col min="1" max="1" width="7.453125" style="2" customWidth="1"/>
    <col min="2" max="2" width="76.90625" style="62" customWidth="1"/>
    <col min="3" max="3" width="4" style="2" customWidth="1"/>
    <col min="4" max="4" width="7" style="55" customWidth="1"/>
    <col min="5" max="5" width="18.08984375" style="55" customWidth="1"/>
    <col min="6" max="6" width="72.90625" style="62" customWidth="1"/>
    <col min="7" max="7" width="5.453125" style="2" customWidth="1"/>
    <col min="8" max="8" width="29.6328125" style="2" customWidth="1"/>
    <col min="9" max="16384" width="9" style="2"/>
  </cols>
  <sheetData>
    <row r="1" spans="1:9" ht="46.5" customHeight="1">
      <c r="A1" s="108" t="s">
        <v>110</v>
      </c>
      <c r="B1" s="108"/>
      <c r="D1" s="109" t="s">
        <v>111</v>
      </c>
      <c r="E1" s="109"/>
      <c r="F1" s="109"/>
      <c r="H1" s="110" t="s">
        <v>112</v>
      </c>
      <c r="I1" s="110"/>
    </row>
    <row r="2" spans="1:9" ht="46.5" customHeight="1">
      <c r="A2" s="56" t="s">
        <v>113</v>
      </c>
      <c r="B2" s="57" t="s">
        <v>114</v>
      </c>
      <c r="D2" s="111" t="s">
        <v>49</v>
      </c>
      <c r="E2" s="111"/>
      <c r="F2" s="112"/>
      <c r="H2" s="58" t="s">
        <v>23</v>
      </c>
      <c r="I2" s="58" t="s">
        <v>115</v>
      </c>
    </row>
    <row r="3" spans="1:9" ht="46.5" customHeight="1">
      <c r="A3" s="59">
        <v>1</v>
      </c>
      <c r="B3" s="60" t="s">
        <v>116</v>
      </c>
      <c r="D3" s="10" t="s">
        <v>51</v>
      </c>
      <c r="E3" s="10" t="s">
        <v>38</v>
      </c>
      <c r="F3" s="10" t="s">
        <v>37</v>
      </c>
      <c r="H3" s="61" t="s">
        <v>151</v>
      </c>
      <c r="I3" s="59" t="s">
        <v>120</v>
      </c>
    </row>
    <row r="4" spans="1:9" ht="46.5" customHeight="1">
      <c r="A4" s="59">
        <v>2</v>
      </c>
      <c r="B4" s="60" t="s">
        <v>118</v>
      </c>
      <c r="D4" s="11">
        <v>1</v>
      </c>
      <c r="E4" s="11" t="s">
        <v>39</v>
      </c>
      <c r="F4" s="60" t="s">
        <v>52</v>
      </c>
      <c r="H4" s="61" t="s">
        <v>150</v>
      </c>
      <c r="I4" s="59" t="s">
        <v>117</v>
      </c>
    </row>
    <row r="5" spans="1:9" ht="46.5" customHeight="1">
      <c r="A5" s="59">
        <v>3</v>
      </c>
      <c r="B5" s="60" t="s">
        <v>119</v>
      </c>
      <c r="D5" s="11">
        <v>2</v>
      </c>
      <c r="E5" s="11" t="s">
        <v>40</v>
      </c>
      <c r="F5" s="60" t="s">
        <v>53</v>
      </c>
      <c r="H5" s="61" t="s">
        <v>145</v>
      </c>
      <c r="I5" s="59" t="s">
        <v>143</v>
      </c>
    </row>
    <row r="6" spans="1:9" ht="46.5" customHeight="1">
      <c r="A6" s="59">
        <v>4</v>
      </c>
      <c r="B6" s="60" t="s">
        <v>121</v>
      </c>
      <c r="D6" s="11">
        <v>3</v>
      </c>
      <c r="E6" s="11" t="s">
        <v>41</v>
      </c>
      <c r="F6" s="60" t="s">
        <v>50</v>
      </c>
      <c r="H6" s="61" t="s">
        <v>146</v>
      </c>
      <c r="I6" s="59" t="s">
        <v>144</v>
      </c>
    </row>
    <row r="7" spans="1:9" ht="46.5" customHeight="1">
      <c r="D7" s="11">
        <v>4</v>
      </c>
      <c r="E7" s="11" t="s">
        <v>42</v>
      </c>
      <c r="F7" s="60" t="s">
        <v>54</v>
      </c>
      <c r="H7" s="61" t="s">
        <v>147</v>
      </c>
      <c r="I7" s="59" t="s">
        <v>120</v>
      </c>
    </row>
    <row r="8" spans="1:9" ht="46.5" customHeight="1">
      <c r="A8" s="56" t="s">
        <v>113</v>
      </c>
      <c r="B8" s="57" t="s">
        <v>122</v>
      </c>
      <c r="H8" s="61" t="s">
        <v>148</v>
      </c>
      <c r="I8" s="59" t="s">
        <v>117</v>
      </c>
    </row>
    <row r="9" spans="1:9" ht="46.5" customHeight="1">
      <c r="A9" s="59">
        <v>1</v>
      </c>
      <c r="B9" s="60" t="s">
        <v>123</v>
      </c>
      <c r="H9" s="61" t="s">
        <v>149</v>
      </c>
      <c r="I9" s="59" t="s">
        <v>117</v>
      </c>
    </row>
    <row r="10" spans="1:9" ht="46.5" customHeight="1">
      <c r="A10" s="59">
        <v>2</v>
      </c>
      <c r="B10" s="60" t="s">
        <v>124</v>
      </c>
      <c r="D10" s="111" t="s">
        <v>55</v>
      </c>
      <c r="E10" s="111"/>
      <c r="F10" s="111"/>
      <c r="H10" s="61" t="s">
        <v>105</v>
      </c>
      <c r="I10" s="59" t="s">
        <v>117</v>
      </c>
    </row>
    <row r="11" spans="1:9" ht="46.5" customHeight="1">
      <c r="A11" s="59">
        <v>3</v>
      </c>
      <c r="B11" s="60" t="s">
        <v>125</v>
      </c>
      <c r="D11" s="10" t="s">
        <v>51</v>
      </c>
      <c r="E11" s="10" t="s">
        <v>38</v>
      </c>
      <c r="F11" s="10" t="s">
        <v>37</v>
      </c>
      <c r="H11" s="65" t="s">
        <v>107</v>
      </c>
      <c r="I11" s="67"/>
    </row>
    <row r="12" spans="1:9" ht="46.5" customHeight="1">
      <c r="A12" s="59">
        <v>4</v>
      </c>
      <c r="B12" s="60" t="s">
        <v>126</v>
      </c>
      <c r="D12" s="11">
        <v>1</v>
      </c>
      <c r="E12" s="11" t="s">
        <v>56</v>
      </c>
      <c r="F12" s="60" t="s">
        <v>57</v>
      </c>
    </row>
    <row r="13" spans="1:9" ht="46.5" customHeight="1">
      <c r="D13" s="11">
        <v>2</v>
      </c>
      <c r="E13" s="11" t="s">
        <v>43</v>
      </c>
      <c r="F13" s="60" t="s">
        <v>127</v>
      </c>
    </row>
    <row r="14" spans="1:9" ht="46.5" customHeight="1">
      <c r="A14" s="56" t="s">
        <v>113</v>
      </c>
      <c r="B14" s="57" t="s">
        <v>128</v>
      </c>
      <c r="D14" s="11">
        <v>3</v>
      </c>
      <c r="E14" s="11" t="s">
        <v>44</v>
      </c>
      <c r="F14" s="60" t="s">
        <v>129</v>
      </c>
    </row>
    <row r="15" spans="1:9" ht="58.5" customHeight="1">
      <c r="A15" s="59">
        <v>1</v>
      </c>
      <c r="B15" s="60" t="s">
        <v>130</v>
      </c>
      <c r="D15" s="11">
        <v>4</v>
      </c>
      <c r="E15" s="11" t="s">
        <v>45</v>
      </c>
      <c r="F15" s="60" t="s">
        <v>131</v>
      </c>
    </row>
    <row r="16" spans="1:9" ht="46.5" customHeight="1">
      <c r="A16" s="59">
        <v>2</v>
      </c>
      <c r="B16" s="60" t="s">
        <v>132</v>
      </c>
    </row>
    <row r="17" spans="1:6" ht="46.5" customHeight="1">
      <c r="A17" s="59">
        <v>3</v>
      </c>
      <c r="B17" s="60" t="s">
        <v>133</v>
      </c>
    </row>
    <row r="18" spans="1:6" ht="46.5" customHeight="1">
      <c r="A18" s="59">
        <v>4</v>
      </c>
      <c r="B18" s="60" t="s">
        <v>134</v>
      </c>
    </row>
    <row r="20" spans="1:6" ht="46.5" customHeight="1">
      <c r="A20" s="56" t="s">
        <v>113</v>
      </c>
      <c r="B20" s="57" t="s">
        <v>135</v>
      </c>
    </row>
    <row r="21" spans="1:6" ht="46.5" customHeight="1">
      <c r="A21" s="59">
        <v>1</v>
      </c>
      <c r="B21" s="60" t="s">
        <v>136</v>
      </c>
    </row>
    <row r="22" spans="1:6" ht="46.5" customHeight="1">
      <c r="A22" s="59">
        <v>2</v>
      </c>
      <c r="B22" s="60" t="s">
        <v>137</v>
      </c>
    </row>
    <row r="23" spans="1:6" ht="46.5" customHeight="1">
      <c r="A23" s="59">
        <v>3</v>
      </c>
      <c r="B23" s="60" t="s">
        <v>138</v>
      </c>
    </row>
    <row r="24" spans="1:6" ht="46.5" customHeight="1">
      <c r="A24" s="59">
        <v>4</v>
      </c>
      <c r="B24" s="60" t="s">
        <v>139</v>
      </c>
    </row>
    <row r="26" spans="1:6" ht="46.5" customHeight="1">
      <c r="A26" s="56" t="s">
        <v>113</v>
      </c>
      <c r="B26" s="57" t="s">
        <v>140</v>
      </c>
    </row>
    <row r="27" spans="1:6" ht="46.5" customHeight="1">
      <c r="A27" s="59">
        <v>3</v>
      </c>
      <c r="B27" s="60" t="s">
        <v>141</v>
      </c>
    </row>
    <row r="28" spans="1:6" ht="46.5" customHeight="1">
      <c r="A28" s="59">
        <v>4</v>
      </c>
      <c r="B28" s="60" t="s">
        <v>142</v>
      </c>
    </row>
    <row r="31" spans="1:6" s="3" customFormat="1" ht="46.5" customHeight="1">
      <c r="A31" s="2"/>
      <c r="B31" s="62"/>
      <c r="D31" s="55"/>
      <c r="E31" s="55"/>
      <c r="F31" s="62"/>
    </row>
    <row r="32" spans="1:6" s="3" customFormat="1" ht="46.5" customHeight="1">
      <c r="A32" s="2"/>
      <c r="B32" s="62"/>
      <c r="D32" s="12"/>
      <c r="E32" s="12"/>
      <c r="F32" s="63"/>
    </row>
    <row r="33" spans="1:6" s="3" customFormat="1" ht="46.5" customHeight="1">
      <c r="A33" s="2"/>
      <c r="B33" s="62"/>
      <c r="D33" s="12"/>
      <c r="E33" s="12"/>
      <c r="F33" s="63"/>
    </row>
    <row r="34" spans="1:6" s="3" customFormat="1" ht="46.5" customHeight="1">
      <c r="B34" s="12"/>
      <c r="D34" s="12"/>
      <c r="E34" s="12"/>
      <c r="F34" s="63"/>
    </row>
    <row r="35" spans="1:6" s="3" customFormat="1" ht="46.5" customHeight="1">
      <c r="B35" s="12"/>
      <c r="D35" s="12"/>
      <c r="E35" s="12"/>
      <c r="F35" s="63"/>
    </row>
    <row r="36" spans="1:6" s="3" customFormat="1" ht="46.5" customHeight="1">
      <c r="B36" s="12"/>
      <c r="D36" s="12"/>
      <c r="E36" s="12"/>
      <c r="F36" s="63"/>
    </row>
    <row r="37" spans="1:6" s="3" customFormat="1" ht="46.5" customHeight="1">
      <c r="B37" s="12"/>
      <c r="D37" s="12"/>
      <c r="E37" s="12"/>
      <c r="F37" s="63"/>
    </row>
    <row r="38" spans="1:6" s="3" customFormat="1" ht="46.5" customHeight="1">
      <c r="B38" s="12"/>
      <c r="D38" s="12"/>
      <c r="E38" s="12"/>
      <c r="F38" s="63"/>
    </row>
    <row r="39" spans="1:6" s="3" customFormat="1" ht="46.5" customHeight="1">
      <c r="B39" s="12"/>
      <c r="D39" s="12"/>
      <c r="E39" s="12"/>
      <c r="F39" s="63"/>
    </row>
    <row r="40" spans="1:6" s="3" customFormat="1" ht="46.5" customHeight="1">
      <c r="B40" s="12"/>
      <c r="D40" s="12"/>
      <c r="E40" s="12"/>
      <c r="F40" s="63"/>
    </row>
    <row r="41" spans="1:6" s="3" customFormat="1" ht="46.5" customHeight="1">
      <c r="B41" s="12"/>
      <c r="D41" s="12"/>
      <c r="E41" s="12"/>
      <c r="F41" s="63"/>
    </row>
    <row r="42" spans="1:6" s="3" customFormat="1" ht="46.5" customHeight="1">
      <c r="B42" s="12"/>
      <c r="D42" s="12"/>
      <c r="E42" s="12"/>
      <c r="F42" s="63"/>
    </row>
    <row r="43" spans="1:6" s="3" customFormat="1" ht="46.5" customHeight="1">
      <c r="B43" s="12"/>
      <c r="D43" s="12"/>
      <c r="E43" s="12"/>
      <c r="F43" s="63"/>
    </row>
    <row r="44" spans="1:6" s="3" customFormat="1" ht="46.5" customHeight="1">
      <c r="B44" s="12"/>
      <c r="D44" s="12"/>
      <c r="E44" s="12"/>
      <c r="F44" s="63"/>
    </row>
    <row r="45" spans="1:6" s="3" customFormat="1" ht="46.5" customHeight="1">
      <c r="B45" s="12"/>
      <c r="D45" s="12"/>
      <c r="E45" s="12"/>
      <c r="F45" s="63"/>
    </row>
    <row r="46" spans="1:6" s="3" customFormat="1" ht="46.5" customHeight="1">
      <c r="B46" s="12"/>
      <c r="D46" s="12"/>
      <c r="E46" s="12"/>
      <c r="F46" s="63"/>
    </row>
    <row r="47" spans="1:6" s="3" customFormat="1" ht="46.5" customHeight="1">
      <c r="A47" s="64"/>
      <c r="B47" s="63"/>
      <c r="D47" s="12"/>
      <c r="E47" s="12"/>
      <c r="F47" s="63"/>
    </row>
    <row r="48" spans="1:6" s="3" customFormat="1" ht="46.5" customHeight="1">
      <c r="A48" s="64"/>
      <c r="B48" s="63"/>
      <c r="D48" s="12"/>
      <c r="E48" s="12"/>
      <c r="F48" s="63"/>
    </row>
    <row r="49" spans="1:6" s="3" customFormat="1" ht="46.5" customHeight="1">
      <c r="A49" s="64"/>
      <c r="B49" s="63"/>
      <c r="D49" s="12"/>
      <c r="E49" s="12"/>
      <c r="F49" s="63"/>
    </row>
    <row r="50" spans="1:6" s="3" customFormat="1" ht="46.5" customHeight="1">
      <c r="A50" s="64"/>
      <c r="B50" s="63"/>
      <c r="D50" s="12"/>
      <c r="E50" s="12"/>
      <c r="F50" s="63"/>
    </row>
    <row r="51" spans="1:6" s="3" customFormat="1" ht="46.5" customHeight="1">
      <c r="B51" s="63"/>
      <c r="D51" s="12"/>
      <c r="E51" s="12"/>
      <c r="F51" s="63"/>
    </row>
    <row r="52" spans="1:6" s="3" customFormat="1" ht="46.5" customHeight="1">
      <c r="B52" s="63"/>
      <c r="D52" s="12"/>
      <c r="E52" s="12"/>
      <c r="F52" s="63"/>
    </row>
    <row r="53" spans="1:6" s="3" customFormat="1" ht="46.5" customHeight="1">
      <c r="B53" s="63"/>
      <c r="D53" s="12"/>
      <c r="E53" s="12"/>
      <c r="F53" s="63"/>
    </row>
    <row r="54" spans="1:6" s="3" customFormat="1" ht="46.5" customHeight="1">
      <c r="B54" s="63"/>
      <c r="D54" s="12"/>
      <c r="E54" s="12"/>
      <c r="F54" s="63"/>
    </row>
    <row r="55" spans="1:6" s="3" customFormat="1" ht="46.5" customHeight="1">
      <c r="B55" s="63"/>
      <c r="D55" s="12"/>
      <c r="E55" s="12"/>
      <c r="F55" s="63"/>
    </row>
    <row r="56" spans="1:6" s="3" customFormat="1" ht="46.5" customHeight="1">
      <c r="B56" s="63"/>
      <c r="D56" s="12"/>
      <c r="E56" s="12"/>
      <c r="F56" s="63"/>
    </row>
    <row r="57" spans="1:6" ht="46.5" customHeight="1">
      <c r="A57" s="3"/>
      <c r="B57" s="63"/>
      <c r="D57" s="12"/>
      <c r="E57" s="12"/>
      <c r="F57" s="63"/>
    </row>
    <row r="58" spans="1:6" ht="46.5" customHeight="1">
      <c r="A58" s="3"/>
      <c r="B58" s="63"/>
    </row>
    <row r="59" spans="1:6" ht="46.5" customHeight="1">
      <c r="A59" s="3"/>
      <c r="B59" s="63"/>
    </row>
  </sheetData>
  <mergeCells count="5">
    <mergeCell ref="A1:B1"/>
    <mergeCell ref="D1:F1"/>
    <mergeCell ref="H1:I1"/>
    <mergeCell ref="D2:F2"/>
    <mergeCell ref="D10:F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IA比對">
                <anchor moveWithCells="1" sizeWithCells="1">
                  <from>
                    <xdr:col>9</xdr:col>
                    <xdr:colOff>298450</xdr:colOff>
                    <xdr:row>0</xdr:row>
                    <xdr:rowOff>317500</xdr:rowOff>
                  </from>
                  <to>
                    <xdr:col>11</xdr:col>
                    <xdr:colOff>463550</xdr:colOff>
                    <xdr:row>1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>
    <tabColor rgb="FFFF0000"/>
    <pageSetUpPr fitToPage="1"/>
  </sheetPr>
  <dimension ref="A1:AB42"/>
  <sheetViews>
    <sheetView topLeftCell="M31" zoomScaleNormal="100" workbookViewId="0">
      <selection activeCell="V11" sqref="V11:V36"/>
    </sheetView>
  </sheetViews>
  <sheetFormatPr defaultRowHeight="15.5"/>
  <cols>
    <col min="1" max="1" width="7.90625" style="40" hidden="1" customWidth="1"/>
    <col min="2" max="2" width="11.90625" style="40" hidden="1" customWidth="1"/>
    <col min="3" max="4" width="9.90625" style="40" hidden="1" customWidth="1"/>
    <col min="5" max="5" width="5.90625" style="40" hidden="1" customWidth="1"/>
    <col min="6" max="6" width="7.90625" style="40" hidden="1" customWidth="1"/>
    <col min="7" max="7" width="3.08984375" style="40" hidden="1" customWidth="1"/>
    <col min="8" max="8" width="2.26953125" style="40" hidden="1" customWidth="1"/>
    <col min="9" max="9" width="3.08984375" style="40" hidden="1" customWidth="1"/>
    <col min="10" max="10" width="5.26953125" style="40" hidden="1" customWidth="1"/>
    <col min="11" max="11" width="9.90625" style="40" hidden="1" customWidth="1"/>
    <col min="12" max="12" width="5.90625" style="40" hidden="1" customWidth="1"/>
    <col min="13" max="13" width="21.08984375" style="6" customWidth="1"/>
    <col min="14" max="14" width="8.90625" style="6" customWidth="1"/>
    <col min="15" max="15" width="11.453125" style="6" customWidth="1"/>
    <col min="16" max="16" width="8.90625" style="6" customWidth="1"/>
    <col min="17" max="17" width="8.90625" style="41" customWidth="1"/>
    <col min="18" max="18" width="16.90625" style="6" customWidth="1"/>
    <col min="19" max="19" width="16.90625" style="41" customWidth="1"/>
    <col min="20" max="20" width="10" style="6" customWidth="1"/>
    <col min="21" max="21" width="10" style="41" customWidth="1"/>
    <col min="22" max="22" width="17.6328125" style="6" customWidth="1"/>
    <col min="23" max="23" width="10" style="6" customWidth="1"/>
    <col min="24" max="24" width="17.6328125" style="6" customWidth="1"/>
    <col min="25" max="25" width="10" style="6" customWidth="1"/>
    <col min="26" max="26" width="5.90625" style="6" customWidth="1"/>
    <col min="27" max="261" width="9" style="6"/>
    <col min="262" max="262" width="16.26953125" style="6" customWidth="1"/>
    <col min="263" max="263" width="9" style="6"/>
    <col min="264" max="264" width="11.453125" style="6" customWidth="1"/>
    <col min="265" max="266" width="9" style="6"/>
    <col min="267" max="267" width="23" style="6" bestFit="1" customWidth="1"/>
    <col min="268" max="268" width="10" style="6" customWidth="1"/>
    <col min="269" max="269" width="6.26953125" style="6" bestFit="1" customWidth="1"/>
    <col min="270" max="270" width="7.26953125" style="6" bestFit="1" customWidth="1"/>
    <col min="271" max="271" width="16.6328125" style="6" customWidth="1"/>
    <col min="272" max="272" width="7.26953125" style="6" bestFit="1" customWidth="1"/>
    <col min="273" max="273" width="16.6328125" style="6" customWidth="1"/>
    <col min="274" max="517" width="9" style="6"/>
    <col min="518" max="518" width="16.26953125" style="6" customWidth="1"/>
    <col min="519" max="519" width="9" style="6"/>
    <col min="520" max="520" width="11.453125" style="6" customWidth="1"/>
    <col min="521" max="522" width="9" style="6"/>
    <col min="523" max="523" width="23" style="6" bestFit="1" customWidth="1"/>
    <col min="524" max="524" width="10" style="6" customWidth="1"/>
    <col min="525" max="525" width="6.26953125" style="6" bestFit="1" customWidth="1"/>
    <col min="526" max="526" width="7.26953125" style="6" bestFit="1" customWidth="1"/>
    <col min="527" max="527" width="16.6328125" style="6" customWidth="1"/>
    <col min="528" max="528" width="7.26953125" style="6" bestFit="1" customWidth="1"/>
    <col min="529" max="529" width="16.6328125" style="6" customWidth="1"/>
    <col min="530" max="773" width="9" style="6"/>
    <col min="774" max="774" width="16.26953125" style="6" customWidth="1"/>
    <col min="775" max="775" width="9" style="6"/>
    <col min="776" max="776" width="11.453125" style="6" customWidth="1"/>
    <col min="777" max="778" width="9" style="6"/>
    <col min="779" max="779" width="23" style="6" bestFit="1" customWidth="1"/>
    <col min="780" max="780" width="10" style="6" customWidth="1"/>
    <col min="781" max="781" width="6.26953125" style="6" bestFit="1" customWidth="1"/>
    <col min="782" max="782" width="7.26953125" style="6" bestFit="1" customWidth="1"/>
    <col min="783" max="783" width="16.6328125" style="6" customWidth="1"/>
    <col min="784" max="784" width="7.26953125" style="6" bestFit="1" customWidth="1"/>
    <col min="785" max="785" width="16.6328125" style="6" customWidth="1"/>
    <col min="786" max="1029" width="9" style="6"/>
    <col min="1030" max="1030" width="16.26953125" style="6" customWidth="1"/>
    <col min="1031" max="1031" width="9" style="6"/>
    <col min="1032" max="1032" width="11.453125" style="6" customWidth="1"/>
    <col min="1033" max="1034" width="9" style="6"/>
    <col min="1035" max="1035" width="23" style="6" bestFit="1" customWidth="1"/>
    <col min="1036" max="1036" width="10" style="6" customWidth="1"/>
    <col min="1037" max="1037" width="6.26953125" style="6" bestFit="1" customWidth="1"/>
    <col min="1038" max="1038" width="7.26953125" style="6" bestFit="1" customWidth="1"/>
    <col min="1039" max="1039" width="16.6328125" style="6" customWidth="1"/>
    <col min="1040" max="1040" width="7.26953125" style="6" bestFit="1" customWidth="1"/>
    <col min="1041" max="1041" width="16.6328125" style="6" customWidth="1"/>
    <col min="1042" max="1285" width="9" style="6"/>
    <col min="1286" max="1286" width="16.26953125" style="6" customWidth="1"/>
    <col min="1287" max="1287" width="9" style="6"/>
    <col min="1288" max="1288" width="11.453125" style="6" customWidth="1"/>
    <col min="1289" max="1290" width="9" style="6"/>
    <col min="1291" max="1291" width="23" style="6" bestFit="1" customWidth="1"/>
    <col min="1292" max="1292" width="10" style="6" customWidth="1"/>
    <col min="1293" max="1293" width="6.26953125" style="6" bestFit="1" customWidth="1"/>
    <col min="1294" max="1294" width="7.26953125" style="6" bestFit="1" customWidth="1"/>
    <col min="1295" max="1295" width="16.6328125" style="6" customWidth="1"/>
    <col min="1296" max="1296" width="7.26953125" style="6" bestFit="1" customWidth="1"/>
    <col min="1297" max="1297" width="16.6328125" style="6" customWidth="1"/>
    <col min="1298" max="1541" width="9" style="6"/>
    <col min="1542" max="1542" width="16.26953125" style="6" customWidth="1"/>
    <col min="1543" max="1543" width="9" style="6"/>
    <col min="1544" max="1544" width="11.453125" style="6" customWidth="1"/>
    <col min="1545" max="1546" width="9" style="6"/>
    <col min="1547" max="1547" width="23" style="6" bestFit="1" customWidth="1"/>
    <col min="1548" max="1548" width="10" style="6" customWidth="1"/>
    <col min="1549" max="1549" width="6.26953125" style="6" bestFit="1" customWidth="1"/>
    <col min="1550" max="1550" width="7.26953125" style="6" bestFit="1" customWidth="1"/>
    <col min="1551" max="1551" width="16.6328125" style="6" customWidth="1"/>
    <col min="1552" max="1552" width="7.26953125" style="6" bestFit="1" customWidth="1"/>
    <col min="1553" max="1553" width="16.6328125" style="6" customWidth="1"/>
    <col min="1554" max="1797" width="9" style="6"/>
    <col min="1798" max="1798" width="16.26953125" style="6" customWidth="1"/>
    <col min="1799" max="1799" width="9" style="6"/>
    <col min="1800" max="1800" width="11.453125" style="6" customWidth="1"/>
    <col min="1801" max="1802" width="9" style="6"/>
    <col min="1803" max="1803" width="23" style="6" bestFit="1" customWidth="1"/>
    <col min="1804" max="1804" width="10" style="6" customWidth="1"/>
    <col min="1805" max="1805" width="6.26953125" style="6" bestFit="1" customWidth="1"/>
    <col min="1806" max="1806" width="7.26953125" style="6" bestFit="1" customWidth="1"/>
    <col min="1807" max="1807" width="16.6328125" style="6" customWidth="1"/>
    <col min="1808" max="1808" width="7.26953125" style="6" bestFit="1" customWidth="1"/>
    <col min="1809" max="1809" width="16.6328125" style="6" customWidth="1"/>
    <col min="1810" max="2053" width="9" style="6"/>
    <col min="2054" max="2054" width="16.26953125" style="6" customWidth="1"/>
    <col min="2055" max="2055" width="9" style="6"/>
    <col min="2056" max="2056" width="11.453125" style="6" customWidth="1"/>
    <col min="2057" max="2058" width="9" style="6"/>
    <col min="2059" max="2059" width="23" style="6" bestFit="1" customWidth="1"/>
    <col min="2060" max="2060" width="10" style="6" customWidth="1"/>
    <col min="2061" max="2061" width="6.26953125" style="6" bestFit="1" customWidth="1"/>
    <col min="2062" max="2062" width="7.26953125" style="6" bestFit="1" customWidth="1"/>
    <col min="2063" max="2063" width="16.6328125" style="6" customWidth="1"/>
    <col min="2064" max="2064" width="7.26953125" style="6" bestFit="1" customWidth="1"/>
    <col min="2065" max="2065" width="16.6328125" style="6" customWidth="1"/>
    <col min="2066" max="2309" width="9" style="6"/>
    <col min="2310" max="2310" width="16.26953125" style="6" customWidth="1"/>
    <col min="2311" max="2311" width="9" style="6"/>
    <col min="2312" max="2312" width="11.453125" style="6" customWidth="1"/>
    <col min="2313" max="2314" width="9" style="6"/>
    <col min="2315" max="2315" width="23" style="6" bestFit="1" customWidth="1"/>
    <col min="2316" max="2316" width="10" style="6" customWidth="1"/>
    <col min="2317" max="2317" width="6.26953125" style="6" bestFit="1" customWidth="1"/>
    <col min="2318" max="2318" width="7.26953125" style="6" bestFit="1" customWidth="1"/>
    <col min="2319" max="2319" width="16.6328125" style="6" customWidth="1"/>
    <col min="2320" max="2320" width="7.26953125" style="6" bestFit="1" customWidth="1"/>
    <col min="2321" max="2321" width="16.6328125" style="6" customWidth="1"/>
    <col min="2322" max="2565" width="9" style="6"/>
    <col min="2566" max="2566" width="16.26953125" style="6" customWidth="1"/>
    <col min="2567" max="2567" width="9" style="6"/>
    <col min="2568" max="2568" width="11.453125" style="6" customWidth="1"/>
    <col min="2569" max="2570" width="9" style="6"/>
    <col min="2571" max="2571" width="23" style="6" bestFit="1" customWidth="1"/>
    <col min="2572" max="2572" width="10" style="6" customWidth="1"/>
    <col min="2573" max="2573" width="6.26953125" style="6" bestFit="1" customWidth="1"/>
    <col min="2574" max="2574" width="7.26953125" style="6" bestFit="1" customWidth="1"/>
    <col min="2575" max="2575" width="16.6328125" style="6" customWidth="1"/>
    <col min="2576" max="2576" width="7.26953125" style="6" bestFit="1" customWidth="1"/>
    <col min="2577" max="2577" width="16.6328125" style="6" customWidth="1"/>
    <col min="2578" max="2821" width="9" style="6"/>
    <col min="2822" max="2822" width="16.26953125" style="6" customWidth="1"/>
    <col min="2823" max="2823" width="9" style="6"/>
    <col min="2824" max="2824" width="11.453125" style="6" customWidth="1"/>
    <col min="2825" max="2826" width="9" style="6"/>
    <col min="2827" max="2827" width="23" style="6" bestFit="1" customWidth="1"/>
    <col min="2828" max="2828" width="10" style="6" customWidth="1"/>
    <col min="2829" max="2829" width="6.26953125" style="6" bestFit="1" customWidth="1"/>
    <col min="2830" max="2830" width="7.26953125" style="6" bestFit="1" customWidth="1"/>
    <col min="2831" max="2831" width="16.6328125" style="6" customWidth="1"/>
    <col min="2832" max="2832" width="7.26953125" style="6" bestFit="1" customWidth="1"/>
    <col min="2833" max="2833" width="16.6328125" style="6" customWidth="1"/>
    <col min="2834" max="3077" width="9" style="6"/>
    <col min="3078" max="3078" width="16.26953125" style="6" customWidth="1"/>
    <col min="3079" max="3079" width="9" style="6"/>
    <col min="3080" max="3080" width="11.453125" style="6" customWidth="1"/>
    <col min="3081" max="3082" width="9" style="6"/>
    <col min="3083" max="3083" width="23" style="6" bestFit="1" customWidth="1"/>
    <col min="3084" max="3084" width="10" style="6" customWidth="1"/>
    <col min="3085" max="3085" width="6.26953125" style="6" bestFit="1" customWidth="1"/>
    <col min="3086" max="3086" width="7.26953125" style="6" bestFit="1" customWidth="1"/>
    <col min="3087" max="3087" width="16.6328125" style="6" customWidth="1"/>
    <col min="3088" max="3088" width="7.26953125" style="6" bestFit="1" customWidth="1"/>
    <col min="3089" max="3089" width="16.6328125" style="6" customWidth="1"/>
    <col min="3090" max="3333" width="9" style="6"/>
    <col min="3334" max="3334" width="16.26953125" style="6" customWidth="1"/>
    <col min="3335" max="3335" width="9" style="6"/>
    <col min="3336" max="3336" width="11.453125" style="6" customWidth="1"/>
    <col min="3337" max="3338" width="9" style="6"/>
    <col min="3339" max="3339" width="23" style="6" bestFit="1" customWidth="1"/>
    <col min="3340" max="3340" width="10" style="6" customWidth="1"/>
    <col min="3341" max="3341" width="6.26953125" style="6" bestFit="1" customWidth="1"/>
    <col min="3342" max="3342" width="7.26953125" style="6" bestFit="1" customWidth="1"/>
    <col min="3343" max="3343" width="16.6328125" style="6" customWidth="1"/>
    <col min="3344" max="3344" width="7.26953125" style="6" bestFit="1" customWidth="1"/>
    <col min="3345" max="3345" width="16.6328125" style="6" customWidth="1"/>
    <col min="3346" max="3589" width="9" style="6"/>
    <col min="3590" max="3590" width="16.26953125" style="6" customWidth="1"/>
    <col min="3591" max="3591" width="9" style="6"/>
    <col min="3592" max="3592" width="11.453125" style="6" customWidth="1"/>
    <col min="3593" max="3594" width="9" style="6"/>
    <col min="3595" max="3595" width="23" style="6" bestFit="1" customWidth="1"/>
    <col min="3596" max="3596" width="10" style="6" customWidth="1"/>
    <col min="3597" max="3597" width="6.26953125" style="6" bestFit="1" customWidth="1"/>
    <col min="3598" max="3598" width="7.26953125" style="6" bestFit="1" customWidth="1"/>
    <col min="3599" max="3599" width="16.6328125" style="6" customWidth="1"/>
    <col min="3600" max="3600" width="7.26953125" style="6" bestFit="1" customWidth="1"/>
    <col min="3601" max="3601" width="16.6328125" style="6" customWidth="1"/>
    <col min="3602" max="3845" width="9" style="6"/>
    <col min="3846" max="3846" width="16.26953125" style="6" customWidth="1"/>
    <col min="3847" max="3847" width="9" style="6"/>
    <col min="3848" max="3848" width="11.453125" style="6" customWidth="1"/>
    <col min="3849" max="3850" width="9" style="6"/>
    <col min="3851" max="3851" width="23" style="6" bestFit="1" customWidth="1"/>
    <col min="3852" max="3852" width="10" style="6" customWidth="1"/>
    <col min="3853" max="3853" width="6.26953125" style="6" bestFit="1" customWidth="1"/>
    <col min="3854" max="3854" width="7.26953125" style="6" bestFit="1" customWidth="1"/>
    <col min="3855" max="3855" width="16.6328125" style="6" customWidth="1"/>
    <col min="3856" max="3856" width="7.26953125" style="6" bestFit="1" customWidth="1"/>
    <col min="3857" max="3857" width="16.6328125" style="6" customWidth="1"/>
    <col min="3858" max="4101" width="9" style="6"/>
    <col min="4102" max="4102" width="16.26953125" style="6" customWidth="1"/>
    <col min="4103" max="4103" width="9" style="6"/>
    <col min="4104" max="4104" width="11.453125" style="6" customWidth="1"/>
    <col min="4105" max="4106" width="9" style="6"/>
    <col min="4107" max="4107" width="23" style="6" bestFit="1" customWidth="1"/>
    <col min="4108" max="4108" width="10" style="6" customWidth="1"/>
    <col min="4109" max="4109" width="6.26953125" style="6" bestFit="1" customWidth="1"/>
    <col min="4110" max="4110" width="7.26953125" style="6" bestFit="1" customWidth="1"/>
    <col min="4111" max="4111" width="16.6328125" style="6" customWidth="1"/>
    <col min="4112" max="4112" width="7.26953125" style="6" bestFit="1" customWidth="1"/>
    <col min="4113" max="4113" width="16.6328125" style="6" customWidth="1"/>
    <col min="4114" max="4357" width="9" style="6"/>
    <col min="4358" max="4358" width="16.26953125" style="6" customWidth="1"/>
    <col min="4359" max="4359" width="9" style="6"/>
    <col min="4360" max="4360" width="11.453125" style="6" customWidth="1"/>
    <col min="4361" max="4362" width="9" style="6"/>
    <col min="4363" max="4363" width="23" style="6" bestFit="1" customWidth="1"/>
    <col min="4364" max="4364" width="10" style="6" customWidth="1"/>
    <col min="4365" max="4365" width="6.26953125" style="6" bestFit="1" customWidth="1"/>
    <col min="4366" max="4366" width="7.26953125" style="6" bestFit="1" customWidth="1"/>
    <col min="4367" max="4367" width="16.6328125" style="6" customWidth="1"/>
    <col min="4368" max="4368" width="7.26953125" style="6" bestFit="1" customWidth="1"/>
    <col min="4369" max="4369" width="16.6328125" style="6" customWidth="1"/>
    <col min="4370" max="4613" width="9" style="6"/>
    <col min="4614" max="4614" width="16.26953125" style="6" customWidth="1"/>
    <col min="4615" max="4615" width="9" style="6"/>
    <col min="4616" max="4616" width="11.453125" style="6" customWidth="1"/>
    <col min="4617" max="4618" width="9" style="6"/>
    <col min="4619" max="4619" width="23" style="6" bestFit="1" customWidth="1"/>
    <col min="4620" max="4620" width="10" style="6" customWidth="1"/>
    <col min="4621" max="4621" width="6.26953125" style="6" bestFit="1" customWidth="1"/>
    <col min="4622" max="4622" width="7.26953125" style="6" bestFit="1" customWidth="1"/>
    <col min="4623" max="4623" width="16.6328125" style="6" customWidth="1"/>
    <col min="4624" max="4624" width="7.26953125" style="6" bestFit="1" customWidth="1"/>
    <col min="4625" max="4625" width="16.6328125" style="6" customWidth="1"/>
    <col min="4626" max="4869" width="9" style="6"/>
    <col min="4870" max="4870" width="16.26953125" style="6" customWidth="1"/>
    <col min="4871" max="4871" width="9" style="6"/>
    <col min="4872" max="4872" width="11.453125" style="6" customWidth="1"/>
    <col min="4873" max="4874" width="9" style="6"/>
    <col min="4875" max="4875" width="23" style="6" bestFit="1" customWidth="1"/>
    <col min="4876" max="4876" width="10" style="6" customWidth="1"/>
    <col min="4877" max="4877" width="6.26953125" style="6" bestFit="1" customWidth="1"/>
    <col min="4878" max="4878" width="7.26953125" style="6" bestFit="1" customWidth="1"/>
    <col min="4879" max="4879" width="16.6328125" style="6" customWidth="1"/>
    <col min="4880" max="4880" width="7.26953125" style="6" bestFit="1" customWidth="1"/>
    <col min="4881" max="4881" width="16.6328125" style="6" customWidth="1"/>
    <col min="4882" max="5125" width="9" style="6"/>
    <col min="5126" max="5126" width="16.26953125" style="6" customWidth="1"/>
    <col min="5127" max="5127" width="9" style="6"/>
    <col min="5128" max="5128" width="11.453125" style="6" customWidth="1"/>
    <col min="5129" max="5130" width="9" style="6"/>
    <col min="5131" max="5131" width="23" style="6" bestFit="1" customWidth="1"/>
    <col min="5132" max="5132" width="10" style="6" customWidth="1"/>
    <col min="5133" max="5133" width="6.26953125" style="6" bestFit="1" customWidth="1"/>
    <col min="5134" max="5134" width="7.26953125" style="6" bestFit="1" customWidth="1"/>
    <col min="5135" max="5135" width="16.6328125" style="6" customWidth="1"/>
    <col min="5136" max="5136" width="7.26953125" style="6" bestFit="1" customWidth="1"/>
    <col min="5137" max="5137" width="16.6328125" style="6" customWidth="1"/>
    <col min="5138" max="5381" width="9" style="6"/>
    <col min="5382" max="5382" width="16.26953125" style="6" customWidth="1"/>
    <col min="5383" max="5383" width="9" style="6"/>
    <col min="5384" max="5384" width="11.453125" style="6" customWidth="1"/>
    <col min="5385" max="5386" width="9" style="6"/>
    <col min="5387" max="5387" width="23" style="6" bestFit="1" customWidth="1"/>
    <col min="5388" max="5388" width="10" style="6" customWidth="1"/>
    <col min="5389" max="5389" width="6.26953125" style="6" bestFit="1" customWidth="1"/>
    <col min="5390" max="5390" width="7.26953125" style="6" bestFit="1" customWidth="1"/>
    <col min="5391" max="5391" width="16.6328125" style="6" customWidth="1"/>
    <col min="5392" max="5392" width="7.26953125" style="6" bestFit="1" customWidth="1"/>
    <col min="5393" max="5393" width="16.6328125" style="6" customWidth="1"/>
    <col min="5394" max="5637" width="9" style="6"/>
    <col min="5638" max="5638" width="16.26953125" style="6" customWidth="1"/>
    <col min="5639" max="5639" width="9" style="6"/>
    <col min="5640" max="5640" width="11.453125" style="6" customWidth="1"/>
    <col min="5641" max="5642" width="9" style="6"/>
    <col min="5643" max="5643" width="23" style="6" bestFit="1" customWidth="1"/>
    <col min="5644" max="5644" width="10" style="6" customWidth="1"/>
    <col min="5645" max="5645" width="6.26953125" style="6" bestFit="1" customWidth="1"/>
    <col min="5646" max="5646" width="7.26953125" style="6" bestFit="1" customWidth="1"/>
    <col min="5647" max="5647" width="16.6328125" style="6" customWidth="1"/>
    <col min="5648" max="5648" width="7.26953125" style="6" bestFit="1" customWidth="1"/>
    <col min="5649" max="5649" width="16.6328125" style="6" customWidth="1"/>
    <col min="5650" max="5893" width="9" style="6"/>
    <col min="5894" max="5894" width="16.26953125" style="6" customWidth="1"/>
    <col min="5895" max="5895" width="9" style="6"/>
    <col min="5896" max="5896" width="11.453125" style="6" customWidth="1"/>
    <col min="5897" max="5898" width="9" style="6"/>
    <col min="5899" max="5899" width="23" style="6" bestFit="1" customWidth="1"/>
    <col min="5900" max="5900" width="10" style="6" customWidth="1"/>
    <col min="5901" max="5901" width="6.26953125" style="6" bestFit="1" customWidth="1"/>
    <col min="5902" max="5902" width="7.26953125" style="6" bestFit="1" customWidth="1"/>
    <col min="5903" max="5903" width="16.6328125" style="6" customWidth="1"/>
    <col min="5904" max="5904" width="7.26953125" style="6" bestFit="1" customWidth="1"/>
    <col min="5905" max="5905" width="16.6328125" style="6" customWidth="1"/>
    <col min="5906" max="6149" width="9" style="6"/>
    <col min="6150" max="6150" width="16.26953125" style="6" customWidth="1"/>
    <col min="6151" max="6151" width="9" style="6"/>
    <col min="6152" max="6152" width="11.453125" style="6" customWidth="1"/>
    <col min="6153" max="6154" width="9" style="6"/>
    <col min="6155" max="6155" width="23" style="6" bestFit="1" customWidth="1"/>
    <col min="6156" max="6156" width="10" style="6" customWidth="1"/>
    <col min="6157" max="6157" width="6.26953125" style="6" bestFit="1" customWidth="1"/>
    <col min="6158" max="6158" width="7.26953125" style="6" bestFit="1" customWidth="1"/>
    <col min="6159" max="6159" width="16.6328125" style="6" customWidth="1"/>
    <col min="6160" max="6160" width="7.26953125" style="6" bestFit="1" customWidth="1"/>
    <col min="6161" max="6161" width="16.6328125" style="6" customWidth="1"/>
    <col min="6162" max="6405" width="9" style="6"/>
    <col min="6406" max="6406" width="16.26953125" style="6" customWidth="1"/>
    <col min="6407" max="6407" width="9" style="6"/>
    <col min="6408" max="6408" width="11.453125" style="6" customWidth="1"/>
    <col min="6409" max="6410" width="9" style="6"/>
    <col min="6411" max="6411" width="23" style="6" bestFit="1" customWidth="1"/>
    <col min="6412" max="6412" width="10" style="6" customWidth="1"/>
    <col min="6413" max="6413" width="6.26953125" style="6" bestFit="1" customWidth="1"/>
    <col min="6414" max="6414" width="7.26953125" style="6" bestFit="1" customWidth="1"/>
    <col min="6415" max="6415" width="16.6328125" style="6" customWidth="1"/>
    <col min="6416" max="6416" width="7.26953125" style="6" bestFit="1" customWidth="1"/>
    <col min="6417" max="6417" width="16.6328125" style="6" customWidth="1"/>
    <col min="6418" max="6661" width="9" style="6"/>
    <col min="6662" max="6662" width="16.26953125" style="6" customWidth="1"/>
    <col min="6663" max="6663" width="9" style="6"/>
    <col min="6664" max="6664" width="11.453125" style="6" customWidth="1"/>
    <col min="6665" max="6666" width="9" style="6"/>
    <col min="6667" max="6667" width="23" style="6" bestFit="1" customWidth="1"/>
    <col min="6668" max="6668" width="10" style="6" customWidth="1"/>
    <col min="6669" max="6669" width="6.26953125" style="6" bestFit="1" customWidth="1"/>
    <col min="6670" max="6670" width="7.26953125" style="6" bestFit="1" customWidth="1"/>
    <col min="6671" max="6671" width="16.6328125" style="6" customWidth="1"/>
    <col min="6672" max="6672" width="7.26953125" style="6" bestFit="1" customWidth="1"/>
    <col min="6673" max="6673" width="16.6328125" style="6" customWidth="1"/>
    <col min="6674" max="6917" width="9" style="6"/>
    <col min="6918" max="6918" width="16.26953125" style="6" customWidth="1"/>
    <col min="6919" max="6919" width="9" style="6"/>
    <col min="6920" max="6920" width="11.453125" style="6" customWidth="1"/>
    <col min="6921" max="6922" width="9" style="6"/>
    <col min="6923" max="6923" width="23" style="6" bestFit="1" customWidth="1"/>
    <col min="6924" max="6924" width="10" style="6" customWidth="1"/>
    <col min="6925" max="6925" width="6.26953125" style="6" bestFit="1" customWidth="1"/>
    <col min="6926" max="6926" width="7.26953125" style="6" bestFit="1" customWidth="1"/>
    <col min="6927" max="6927" width="16.6328125" style="6" customWidth="1"/>
    <col min="6928" max="6928" width="7.26953125" style="6" bestFit="1" customWidth="1"/>
    <col min="6929" max="6929" width="16.6328125" style="6" customWidth="1"/>
    <col min="6930" max="7173" width="9" style="6"/>
    <col min="7174" max="7174" width="16.26953125" style="6" customWidth="1"/>
    <col min="7175" max="7175" width="9" style="6"/>
    <col min="7176" max="7176" width="11.453125" style="6" customWidth="1"/>
    <col min="7177" max="7178" width="9" style="6"/>
    <col min="7179" max="7179" width="23" style="6" bestFit="1" customWidth="1"/>
    <col min="7180" max="7180" width="10" style="6" customWidth="1"/>
    <col min="7181" max="7181" width="6.26953125" style="6" bestFit="1" customWidth="1"/>
    <col min="7182" max="7182" width="7.26953125" style="6" bestFit="1" customWidth="1"/>
    <col min="7183" max="7183" width="16.6328125" style="6" customWidth="1"/>
    <col min="7184" max="7184" width="7.26953125" style="6" bestFit="1" customWidth="1"/>
    <col min="7185" max="7185" width="16.6328125" style="6" customWidth="1"/>
    <col min="7186" max="7429" width="9" style="6"/>
    <col min="7430" max="7430" width="16.26953125" style="6" customWidth="1"/>
    <col min="7431" max="7431" width="9" style="6"/>
    <col min="7432" max="7432" width="11.453125" style="6" customWidth="1"/>
    <col min="7433" max="7434" width="9" style="6"/>
    <col min="7435" max="7435" width="23" style="6" bestFit="1" customWidth="1"/>
    <col min="7436" max="7436" width="10" style="6" customWidth="1"/>
    <col min="7437" max="7437" width="6.26953125" style="6" bestFit="1" customWidth="1"/>
    <col min="7438" max="7438" width="7.26953125" style="6" bestFit="1" customWidth="1"/>
    <col min="7439" max="7439" width="16.6328125" style="6" customWidth="1"/>
    <col min="7440" max="7440" width="7.26953125" style="6" bestFit="1" customWidth="1"/>
    <col min="7441" max="7441" width="16.6328125" style="6" customWidth="1"/>
    <col min="7442" max="7685" width="9" style="6"/>
    <col min="7686" max="7686" width="16.26953125" style="6" customWidth="1"/>
    <col min="7687" max="7687" width="9" style="6"/>
    <col min="7688" max="7688" width="11.453125" style="6" customWidth="1"/>
    <col min="7689" max="7690" width="9" style="6"/>
    <col min="7691" max="7691" width="23" style="6" bestFit="1" customWidth="1"/>
    <col min="7692" max="7692" width="10" style="6" customWidth="1"/>
    <col min="7693" max="7693" width="6.26953125" style="6" bestFit="1" customWidth="1"/>
    <col min="7694" max="7694" width="7.26953125" style="6" bestFit="1" customWidth="1"/>
    <col min="7695" max="7695" width="16.6328125" style="6" customWidth="1"/>
    <col min="7696" max="7696" width="7.26953125" style="6" bestFit="1" customWidth="1"/>
    <col min="7697" max="7697" width="16.6328125" style="6" customWidth="1"/>
    <col min="7698" max="7941" width="9" style="6"/>
    <col min="7942" max="7942" width="16.26953125" style="6" customWidth="1"/>
    <col min="7943" max="7943" width="9" style="6"/>
    <col min="7944" max="7944" width="11.453125" style="6" customWidth="1"/>
    <col min="7945" max="7946" width="9" style="6"/>
    <col min="7947" max="7947" width="23" style="6" bestFit="1" customWidth="1"/>
    <col min="7948" max="7948" width="10" style="6" customWidth="1"/>
    <col min="7949" max="7949" width="6.26953125" style="6" bestFit="1" customWidth="1"/>
    <col min="7950" max="7950" width="7.26953125" style="6" bestFit="1" customWidth="1"/>
    <col min="7951" max="7951" width="16.6328125" style="6" customWidth="1"/>
    <col min="7952" max="7952" width="7.26953125" style="6" bestFit="1" customWidth="1"/>
    <col min="7953" max="7953" width="16.6328125" style="6" customWidth="1"/>
    <col min="7954" max="8197" width="9" style="6"/>
    <col min="8198" max="8198" width="16.26953125" style="6" customWidth="1"/>
    <col min="8199" max="8199" width="9" style="6"/>
    <col min="8200" max="8200" width="11.453125" style="6" customWidth="1"/>
    <col min="8201" max="8202" width="9" style="6"/>
    <col min="8203" max="8203" width="23" style="6" bestFit="1" customWidth="1"/>
    <col min="8204" max="8204" width="10" style="6" customWidth="1"/>
    <col min="8205" max="8205" width="6.26953125" style="6" bestFit="1" customWidth="1"/>
    <col min="8206" max="8206" width="7.26953125" style="6" bestFit="1" customWidth="1"/>
    <col min="8207" max="8207" width="16.6328125" style="6" customWidth="1"/>
    <col min="8208" max="8208" width="7.26953125" style="6" bestFit="1" customWidth="1"/>
    <col min="8209" max="8209" width="16.6328125" style="6" customWidth="1"/>
    <col min="8210" max="8453" width="9" style="6"/>
    <col min="8454" max="8454" width="16.26953125" style="6" customWidth="1"/>
    <col min="8455" max="8455" width="9" style="6"/>
    <col min="8456" max="8456" width="11.453125" style="6" customWidth="1"/>
    <col min="8457" max="8458" width="9" style="6"/>
    <col min="8459" max="8459" width="23" style="6" bestFit="1" customWidth="1"/>
    <col min="8460" max="8460" width="10" style="6" customWidth="1"/>
    <col min="8461" max="8461" width="6.26953125" style="6" bestFit="1" customWidth="1"/>
    <col min="8462" max="8462" width="7.26953125" style="6" bestFit="1" customWidth="1"/>
    <col min="8463" max="8463" width="16.6328125" style="6" customWidth="1"/>
    <col min="8464" max="8464" width="7.26953125" style="6" bestFit="1" customWidth="1"/>
    <col min="8465" max="8465" width="16.6328125" style="6" customWidth="1"/>
    <col min="8466" max="8709" width="9" style="6"/>
    <col min="8710" max="8710" width="16.26953125" style="6" customWidth="1"/>
    <col min="8711" max="8711" width="9" style="6"/>
    <col min="8712" max="8712" width="11.453125" style="6" customWidth="1"/>
    <col min="8713" max="8714" width="9" style="6"/>
    <col min="8715" max="8715" width="23" style="6" bestFit="1" customWidth="1"/>
    <col min="8716" max="8716" width="10" style="6" customWidth="1"/>
    <col min="8717" max="8717" width="6.26953125" style="6" bestFit="1" customWidth="1"/>
    <col min="8718" max="8718" width="7.26953125" style="6" bestFit="1" customWidth="1"/>
    <col min="8719" max="8719" width="16.6328125" style="6" customWidth="1"/>
    <col min="8720" max="8720" width="7.26953125" style="6" bestFit="1" customWidth="1"/>
    <col min="8721" max="8721" width="16.6328125" style="6" customWidth="1"/>
    <col min="8722" max="8965" width="9" style="6"/>
    <col min="8966" max="8966" width="16.26953125" style="6" customWidth="1"/>
    <col min="8967" max="8967" width="9" style="6"/>
    <col min="8968" max="8968" width="11.453125" style="6" customWidth="1"/>
    <col min="8969" max="8970" width="9" style="6"/>
    <col min="8971" max="8971" width="23" style="6" bestFit="1" customWidth="1"/>
    <col min="8972" max="8972" width="10" style="6" customWidth="1"/>
    <col min="8973" max="8973" width="6.26953125" style="6" bestFit="1" customWidth="1"/>
    <col min="8974" max="8974" width="7.26953125" style="6" bestFit="1" customWidth="1"/>
    <col min="8975" max="8975" width="16.6328125" style="6" customWidth="1"/>
    <col min="8976" max="8976" width="7.26953125" style="6" bestFit="1" customWidth="1"/>
    <col min="8977" max="8977" width="16.6328125" style="6" customWidth="1"/>
    <col min="8978" max="9221" width="9" style="6"/>
    <col min="9222" max="9222" width="16.26953125" style="6" customWidth="1"/>
    <col min="9223" max="9223" width="9" style="6"/>
    <col min="9224" max="9224" width="11.453125" style="6" customWidth="1"/>
    <col min="9225" max="9226" width="9" style="6"/>
    <col min="9227" max="9227" width="23" style="6" bestFit="1" customWidth="1"/>
    <col min="9228" max="9228" width="10" style="6" customWidth="1"/>
    <col min="9229" max="9229" width="6.26953125" style="6" bestFit="1" customWidth="1"/>
    <col min="9230" max="9230" width="7.26953125" style="6" bestFit="1" customWidth="1"/>
    <col min="9231" max="9231" width="16.6328125" style="6" customWidth="1"/>
    <col min="9232" max="9232" width="7.26953125" style="6" bestFit="1" customWidth="1"/>
    <col min="9233" max="9233" width="16.6328125" style="6" customWidth="1"/>
    <col min="9234" max="9477" width="9" style="6"/>
    <col min="9478" max="9478" width="16.26953125" style="6" customWidth="1"/>
    <col min="9479" max="9479" width="9" style="6"/>
    <col min="9480" max="9480" width="11.453125" style="6" customWidth="1"/>
    <col min="9481" max="9482" width="9" style="6"/>
    <col min="9483" max="9483" width="23" style="6" bestFit="1" customWidth="1"/>
    <col min="9484" max="9484" width="10" style="6" customWidth="1"/>
    <col min="9485" max="9485" width="6.26953125" style="6" bestFit="1" customWidth="1"/>
    <col min="9486" max="9486" width="7.26953125" style="6" bestFit="1" customWidth="1"/>
    <col min="9487" max="9487" width="16.6328125" style="6" customWidth="1"/>
    <col min="9488" max="9488" width="7.26953125" style="6" bestFit="1" customWidth="1"/>
    <col min="9489" max="9489" width="16.6328125" style="6" customWidth="1"/>
    <col min="9490" max="9733" width="9" style="6"/>
    <col min="9734" max="9734" width="16.26953125" style="6" customWidth="1"/>
    <col min="9735" max="9735" width="9" style="6"/>
    <col min="9736" max="9736" width="11.453125" style="6" customWidth="1"/>
    <col min="9737" max="9738" width="9" style="6"/>
    <col min="9739" max="9739" width="23" style="6" bestFit="1" customWidth="1"/>
    <col min="9740" max="9740" width="10" style="6" customWidth="1"/>
    <col min="9741" max="9741" width="6.26953125" style="6" bestFit="1" customWidth="1"/>
    <col min="9742" max="9742" width="7.26953125" style="6" bestFit="1" customWidth="1"/>
    <col min="9743" max="9743" width="16.6328125" style="6" customWidth="1"/>
    <col min="9744" max="9744" width="7.26953125" style="6" bestFit="1" customWidth="1"/>
    <col min="9745" max="9745" width="16.6328125" style="6" customWidth="1"/>
    <col min="9746" max="9989" width="9" style="6"/>
    <col min="9990" max="9990" width="16.26953125" style="6" customWidth="1"/>
    <col min="9991" max="9991" width="9" style="6"/>
    <col min="9992" max="9992" width="11.453125" style="6" customWidth="1"/>
    <col min="9993" max="9994" width="9" style="6"/>
    <col min="9995" max="9995" width="23" style="6" bestFit="1" customWidth="1"/>
    <col min="9996" max="9996" width="10" style="6" customWidth="1"/>
    <col min="9997" max="9997" width="6.26953125" style="6" bestFit="1" customWidth="1"/>
    <col min="9998" max="9998" width="7.26953125" style="6" bestFit="1" customWidth="1"/>
    <col min="9999" max="9999" width="16.6328125" style="6" customWidth="1"/>
    <col min="10000" max="10000" width="7.26953125" style="6" bestFit="1" customWidth="1"/>
    <col min="10001" max="10001" width="16.6328125" style="6" customWidth="1"/>
    <col min="10002" max="10245" width="9" style="6"/>
    <col min="10246" max="10246" width="16.26953125" style="6" customWidth="1"/>
    <col min="10247" max="10247" width="9" style="6"/>
    <col min="10248" max="10248" width="11.453125" style="6" customWidth="1"/>
    <col min="10249" max="10250" width="9" style="6"/>
    <col min="10251" max="10251" width="23" style="6" bestFit="1" customWidth="1"/>
    <col min="10252" max="10252" width="10" style="6" customWidth="1"/>
    <col min="10253" max="10253" width="6.26953125" style="6" bestFit="1" customWidth="1"/>
    <col min="10254" max="10254" width="7.26953125" style="6" bestFit="1" customWidth="1"/>
    <col min="10255" max="10255" width="16.6328125" style="6" customWidth="1"/>
    <col min="10256" max="10256" width="7.26953125" style="6" bestFit="1" customWidth="1"/>
    <col min="10257" max="10257" width="16.6328125" style="6" customWidth="1"/>
    <col min="10258" max="10501" width="9" style="6"/>
    <col min="10502" max="10502" width="16.26953125" style="6" customWidth="1"/>
    <col min="10503" max="10503" width="9" style="6"/>
    <col min="10504" max="10504" width="11.453125" style="6" customWidth="1"/>
    <col min="10505" max="10506" width="9" style="6"/>
    <col min="10507" max="10507" width="23" style="6" bestFit="1" customWidth="1"/>
    <col min="10508" max="10508" width="10" style="6" customWidth="1"/>
    <col min="10509" max="10509" width="6.26953125" style="6" bestFit="1" customWidth="1"/>
    <col min="10510" max="10510" width="7.26953125" style="6" bestFit="1" customWidth="1"/>
    <col min="10511" max="10511" width="16.6328125" style="6" customWidth="1"/>
    <col min="10512" max="10512" width="7.26953125" style="6" bestFit="1" customWidth="1"/>
    <col min="10513" max="10513" width="16.6328125" style="6" customWidth="1"/>
    <col min="10514" max="10757" width="9" style="6"/>
    <col min="10758" max="10758" width="16.26953125" style="6" customWidth="1"/>
    <col min="10759" max="10759" width="9" style="6"/>
    <col min="10760" max="10760" width="11.453125" style="6" customWidth="1"/>
    <col min="10761" max="10762" width="9" style="6"/>
    <col min="10763" max="10763" width="23" style="6" bestFit="1" customWidth="1"/>
    <col min="10764" max="10764" width="10" style="6" customWidth="1"/>
    <col min="10765" max="10765" width="6.26953125" style="6" bestFit="1" customWidth="1"/>
    <col min="10766" max="10766" width="7.26953125" style="6" bestFit="1" customWidth="1"/>
    <col min="10767" max="10767" width="16.6328125" style="6" customWidth="1"/>
    <col min="10768" max="10768" width="7.26953125" style="6" bestFit="1" customWidth="1"/>
    <col min="10769" max="10769" width="16.6328125" style="6" customWidth="1"/>
    <col min="10770" max="11013" width="9" style="6"/>
    <col min="11014" max="11014" width="16.26953125" style="6" customWidth="1"/>
    <col min="11015" max="11015" width="9" style="6"/>
    <col min="11016" max="11016" width="11.453125" style="6" customWidth="1"/>
    <col min="11017" max="11018" width="9" style="6"/>
    <col min="11019" max="11019" width="23" style="6" bestFit="1" customWidth="1"/>
    <col min="11020" max="11020" width="10" style="6" customWidth="1"/>
    <col min="11021" max="11021" width="6.26953125" style="6" bestFit="1" customWidth="1"/>
    <col min="11022" max="11022" width="7.26953125" style="6" bestFit="1" customWidth="1"/>
    <col min="11023" max="11023" width="16.6328125" style="6" customWidth="1"/>
    <col min="11024" max="11024" width="7.26953125" style="6" bestFit="1" customWidth="1"/>
    <col min="11025" max="11025" width="16.6328125" style="6" customWidth="1"/>
    <col min="11026" max="11269" width="9" style="6"/>
    <col min="11270" max="11270" width="16.26953125" style="6" customWidth="1"/>
    <col min="11271" max="11271" width="9" style="6"/>
    <col min="11272" max="11272" width="11.453125" style="6" customWidth="1"/>
    <col min="11273" max="11274" width="9" style="6"/>
    <col min="11275" max="11275" width="23" style="6" bestFit="1" customWidth="1"/>
    <col min="11276" max="11276" width="10" style="6" customWidth="1"/>
    <col min="11277" max="11277" width="6.26953125" style="6" bestFit="1" customWidth="1"/>
    <col min="11278" max="11278" width="7.26953125" style="6" bestFit="1" customWidth="1"/>
    <col min="11279" max="11279" width="16.6328125" style="6" customWidth="1"/>
    <col min="11280" max="11280" width="7.26953125" style="6" bestFit="1" customWidth="1"/>
    <col min="11281" max="11281" width="16.6328125" style="6" customWidth="1"/>
    <col min="11282" max="11525" width="9" style="6"/>
    <col min="11526" max="11526" width="16.26953125" style="6" customWidth="1"/>
    <col min="11527" max="11527" width="9" style="6"/>
    <col min="11528" max="11528" width="11.453125" style="6" customWidth="1"/>
    <col min="11529" max="11530" width="9" style="6"/>
    <col min="11531" max="11531" width="23" style="6" bestFit="1" customWidth="1"/>
    <col min="11532" max="11532" width="10" style="6" customWidth="1"/>
    <col min="11533" max="11533" width="6.26953125" style="6" bestFit="1" customWidth="1"/>
    <col min="11534" max="11534" width="7.26953125" style="6" bestFit="1" customWidth="1"/>
    <col min="11535" max="11535" width="16.6328125" style="6" customWidth="1"/>
    <col min="11536" max="11536" width="7.26953125" style="6" bestFit="1" customWidth="1"/>
    <col min="11537" max="11537" width="16.6328125" style="6" customWidth="1"/>
    <col min="11538" max="11781" width="9" style="6"/>
    <col min="11782" max="11782" width="16.26953125" style="6" customWidth="1"/>
    <col min="11783" max="11783" width="9" style="6"/>
    <col min="11784" max="11784" width="11.453125" style="6" customWidth="1"/>
    <col min="11785" max="11786" width="9" style="6"/>
    <col min="11787" max="11787" width="23" style="6" bestFit="1" customWidth="1"/>
    <col min="11788" max="11788" width="10" style="6" customWidth="1"/>
    <col min="11789" max="11789" width="6.26953125" style="6" bestFit="1" customWidth="1"/>
    <col min="11790" max="11790" width="7.26953125" style="6" bestFit="1" customWidth="1"/>
    <col min="11791" max="11791" width="16.6328125" style="6" customWidth="1"/>
    <col min="11792" max="11792" width="7.26953125" style="6" bestFit="1" customWidth="1"/>
    <col min="11793" max="11793" width="16.6328125" style="6" customWidth="1"/>
    <col min="11794" max="12037" width="9" style="6"/>
    <col min="12038" max="12038" width="16.26953125" style="6" customWidth="1"/>
    <col min="12039" max="12039" width="9" style="6"/>
    <col min="12040" max="12040" width="11.453125" style="6" customWidth="1"/>
    <col min="12041" max="12042" width="9" style="6"/>
    <col min="12043" max="12043" width="23" style="6" bestFit="1" customWidth="1"/>
    <col min="12044" max="12044" width="10" style="6" customWidth="1"/>
    <col min="12045" max="12045" width="6.26953125" style="6" bestFit="1" customWidth="1"/>
    <col min="12046" max="12046" width="7.26953125" style="6" bestFit="1" customWidth="1"/>
    <col min="12047" max="12047" width="16.6328125" style="6" customWidth="1"/>
    <col min="12048" max="12048" width="7.26953125" style="6" bestFit="1" customWidth="1"/>
    <col min="12049" max="12049" width="16.6328125" style="6" customWidth="1"/>
    <col min="12050" max="12293" width="9" style="6"/>
    <col min="12294" max="12294" width="16.26953125" style="6" customWidth="1"/>
    <col min="12295" max="12295" width="9" style="6"/>
    <col min="12296" max="12296" width="11.453125" style="6" customWidth="1"/>
    <col min="12297" max="12298" width="9" style="6"/>
    <col min="12299" max="12299" width="23" style="6" bestFit="1" customWidth="1"/>
    <col min="12300" max="12300" width="10" style="6" customWidth="1"/>
    <col min="12301" max="12301" width="6.26953125" style="6" bestFit="1" customWidth="1"/>
    <col min="12302" max="12302" width="7.26953125" style="6" bestFit="1" customWidth="1"/>
    <col min="12303" max="12303" width="16.6328125" style="6" customWidth="1"/>
    <col min="12304" max="12304" width="7.26953125" style="6" bestFit="1" customWidth="1"/>
    <col min="12305" max="12305" width="16.6328125" style="6" customWidth="1"/>
    <col min="12306" max="12549" width="9" style="6"/>
    <col min="12550" max="12550" width="16.26953125" style="6" customWidth="1"/>
    <col min="12551" max="12551" width="9" style="6"/>
    <col min="12552" max="12552" width="11.453125" style="6" customWidth="1"/>
    <col min="12553" max="12554" width="9" style="6"/>
    <col min="12555" max="12555" width="23" style="6" bestFit="1" customWidth="1"/>
    <col min="12556" max="12556" width="10" style="6" customWidth="1"/>
    <col min="12557" max="12557" width="6.26953125" style="6" bestFit="1" customWidth="1"/>
    <col min="12558" max="12558" width="7.26953125" style="6" bestFit="1" customWidth="1"/>
    <col min="12559" max="12559" width="16.6328125" style="6" customWidth="1"/>
    <col min="12560" max="12560" width="7.26953125" style="6" bestFit="1" customWidth="1"/>
    <col min="12561" max="12561" width="16.6328125" style="6" customWidth="1"/>
    <col min="12562" max="12805" width="9" style="6"/>
    <col min="12806" max="12806" width="16.26953125" style="6" customWidth="1"/>
    <col min="12807" max="12807" width="9" style="6"/>
    <col min="12808" max="12808" width="11.453125" style="6" customWidth="1"/>
    <col min="12809" max="12810" width="9" style="6"/>
    <col min="12811" max="12811" width="23" style="6" bestFit="1" customWidth="1"/>
    <col min="12812" max="12812" width="10" style="6" customWidth="1"/>
    <col min="12813" max="12813" width="6.26953125" style="6" bestFit="1" customWidth="1"/>
    <col min="12814" max="12814" width="7.26953125" style="6" bestFit="1" customWidth="1"/>
    <col min="12815" max="12815" width="16.6328125" style="6" customWidth="1"/>
    <col min="12816" max="12816" width="7.26953125" style="6" bestFit="1" customWidth="1"/>
    <col min="12817" max="12817" width="16.6328125" style="6" customWidth="1"/>
    <col min="12818" max="13061" width="9" style="6"/>
    <col min="13062" max="13062" width="16.26953125" style="6" customWidth="1"/>
    <col min="13063" max="13063" width="9" style="6"/>
    <col min="13064" max="13064" width="11.453125" style="6" customWidth="1"/>
    <col min="13065" max="13066" width="9" style="6"/>
    <col min="13067" max="13067" width="23" style="6" bestFit="1" customWidth="1"/>
    <col min="13068" max="13068" width="10" style="6" customWidth="1"/>
    <col min="13069" max="13069" width="6.26953125" style="6" bestFit="1" customWidth="1"/>
    <col min="13070" max="13070" width="7.26953125" style="6" bestFit="1" customWidth="1"/>
    <col min="13071" max="13071" width="16.6328125" style="6" customWidth="1"/>
    <col min="13072" max="13072" width="7.26953125" style="6" bestFit="1" customWidth="1"/>
    <col min="13073" max="13073" width="16.6328125" style="6" customWidth="1"/>
    <col min="13074" max="13317" width="9" style="6"/>
    <col min="13318" max="13318" width="16.26953125" style="6" customWidth="1"/>
    <col min="13319" max="13319" width="9" style="6"/>
    <col min="13320" max="13320" width="11.453125" style="6" customWidth="1"/>
    <col min="13321" max="13322" width="9" style="6"/>
    <col min="13323" max="13323" width="23" style="6" bestFit="1" customWidth="1"/>
    <col min="13324" max="13324" width="10" style="6" customWidth="1"/>
    <col min="13325" max="13325" width="6.26953125" style="6" bestFit="1" customWidth="1"/>
    <col min="13326" max="13326" width="7.26953125" style="6" bestFit="1" customWidth="1"/>
    <col min="13327" max="13327" width="16.6328125" style="6" customWidth="1"/>
    <col min="13328" max="13328" width="7.26953125" style="6" bestFit="1" customWidth="1"/>
    <col min="13329" max="13329" width="16.6328125" style="6" customWidth="1"/>
    <col min="13330" max="13573" width="9" style="6"/>
    <col min="13574" max="13574" width="16.26953125" style="6" customWidth="1"/>
    <col min="13575" max="13575" width="9" style="6"/>
    <col min="13576" max="13576" width="11.453125" style="6" customWidth="1"/>
    <col min="13577" max="13578" width="9" style="6"/>
    <col min="13579" max="13579" width="23" style="6" bestFit="1" customWidth="1"/>
    <col min="13580" max="13580" width="10" style="6" customWidth="1"/>
    <col min="13581" max="13581" width="6.26953125" style="6" bestFit="1" customWidth="1"/>
    <col min="13582" max="13582" width="7.26953125" style="6" bestFit="1" customWidth="1"/>
    <col min="13583" max="13583" width="16.6328125" style="6" customWidth="1"/>
    <col min="13584" max="13584" width="7.26953125" style="6" bestFit="1" customWidth="1"/>
    <col min="13585" max="13585" width="16.6328125" style="6" customWidth="1"/>
    <col min="13586" max="13829" width="9" style="6"/>
    <col min="13830" max="13830" width="16.26953125" style="6" customWidth="1"/>
    <col min="13831" max="13831" width="9" style="6"/>
    <col min="13832" max="13832" width="11.453125" style="6" customWidth="1"/>
    <col min="13833" max="13834" width="9" style="6"/>
    <col min="13835" max="13835" width="23" style="6" bestFit="1" customWidth="1"/>
    <col min="13836" max="13836" width="10" style="6" customWidth="1"/>
    <col min="13837" max="13837" width="6.26953125" style="6" bestFit="1" customWidth="1"/>
    <col min="13838" max="13838" width="7.26953125" style="6" bestFit="1" customWidth="1"/>
    <col min="13839" max="13839" width="16.6328125" style="6" customWidth="1"/>
    <col min="13840" max="13840" width="7.26953125" style="6" bestFit="1" customWidth="1"/>
    <col min="13841" max="13841" width="16.6328125" style="6" customWidth="1"/>
    <col min="13842" max="14085" width="9" style="6"/>
    <col min="14086" max="14086" width="16.26953125" style="6" customWidth="1"/>
    <col min="14087" max="14087" width="9" style="6"/>
    <col min="14088" max="14088" width="11.453125" style="6" customWidth="1"/>
    <col min="14089" max="14090" width="9" style="6"/>
    <col min="14091" max="14091" width="23" style="6" bestFit="1" customWidth="1"/>
    <col min="14092" max="14092" width="10" style="6" customWidth="1"/>
    <col min="14093" max="14093" width="6.26953125" style="6" bestFit="1" customWidth="1"/>
    <col min="14094" max="14094" width="7.26953125" style="6" bestFit="1" customWidth="1"/>
    <col min="14095" max="14095" width="16.6328125" style="6" customWidth="1"/>
    <col min="14096" max="14096" width="7.26953125" style="6" bestFit="1" customWidth="1"/>
    <col min="14097" max="14097" width="16.6328125" style="6" customWidth="1"/>
    <col min="14098" max="14341" width="9" style="6"/>
    <col min="14342" max="14342" width="16.26953125" style="6" customWidth="1"/>
    <col min="14343" max="14343" width="9" style="6"/>
    <col min="14344" max="14344" width="11.453125" style="6" customWidth="1"/>
    <col min="14345" max="14346" width="9" style="6"/>
    <col min="14347" max="14347" width="23" style="6" bestFit="1" customWidth="1"/>
    <col min="14348" max="14348" width="10" style="6" customWidth="1"/>
    <col min="14349" max="14349" width="6.26953125" style="6" bestFit="1" customWidth="1"/>
    <col min="14350" max="14350" width="7.26953125" style="6" bestFit="1" customWidth="1"/>
    <col min="14351" max="14351" width="16.6328125" style="6" customWidth="1"/>
    <col min="14352" max="14352" width="7.26953125" style="6" bestFit="1" customWidth="1"/>
    <col min="14353" max="14353" width="16.6328125" style="6" customWidth="1"/>
    <col min="14354" max="14597" width="9" style="6"/>
    <col min="14598" max="14598" width="16.26953125" style="6" customWidth="1"/>
    <col min="14599" max="14599" width="9" style="6"/>
    <col min="14600" max="14600" width="11.453125" style="6" customWidth="1"/>
    <col min="14601" max="14602" width="9" style="6"/>
    <col min="14603" max="14603" width="23" style="6" bestFit="1" customWidth="1"/>
    <col min="14604" max="14604" width="10" style="6" customWidth="1"/>
    <col min="14605" max="14605" width="6.26953125" style="6" bestFit="1" customWidth="1"/>
    <col min="14606" max="14606" width="7.26953125" style="6" bestFit="1" customWidth="1"/>
    <col min="14607" max="14607" width="16.6328125" style="6" customWidth="1"/>
    <col min="14608" max="14608" width="7.26953125" style="6" bestFit="1" customWidth="1"/>
    <col min="14609" max="14609" width="16.6328125" style="6" customWidth="1"/>
    <col min="14610" max="14853" width="9" style="6"/>
    <col min="14854" max="14854" width="16.26953125" style="6" customWidth="1"/>
    <col min="14855" max="14855" width="9" style="6"/>
    <col min="14856" max="14856" width="11.453125" style="6" customWidth="1"/>
    <col min="14857" max="14858" width="9" style="6"/>
    <col min="14859" max="14859" width="23" style="6" bestFit="1" customWidth="1"/>
    <col min="14860" max="14860" width="10" style="6" customWidth="1"/>
    <col min="14861" max="14861" width="6.26953125" style="6" bestFit="1" customWidth="1"/>
    <col min="14862" max="14862" width="7.26953125" style="6" bestFit="1" customWidth="1"/>
    <col min="14863" max="14863" width="16.6328125" style="6" customWidth="1"/>
    <col min="14864" max="14864" width="7.26953125" style="6" bestFit="1" customWidth="1"/>
    <col min="14865" max="14865" width="16.6328125" style="6" customWidth="1"/>
    <col min="14866" max="15109" width="9" style="6"/>
    <col min="15110" max="15110" width="16.26953125" style="6" customWidth="1"/>
    <col min="15111" max="15111" width="9" style="6"/>
    <col min="15112" max="15112" width="11.453125" style="6" customWidth="1"/>
    <col min="15113" max="15114" width="9" style="6"/>
    <col min="15115" max="15115" width="23" style="6" bestFit="1" customWidth="1"/>
    <col min="15116" max="15116" width="10" style="6" customWidth="1"/>
    <col min="15117" max="15117" width="6.26953125" style="6" bestFit="1" customWidth="1"/>
    <col min="15118" max="15118" width="7.26953125" style="6" bestFit="1" customWidth="1"/>
    <col min="15119" max="15119" width="16.6328125" style="6" customWidth="1"/>
    <col min="15120" max="15120" width="7.26953125" style="6" bestFit="1" customWidth="1"/>
    <col min="15121" max="15121" width="16.6328125" style="6" customWidth="1"/>
    <col min="15122" max="15365" width="9" style="6"/>
    <col min="15366" max="15366" width="16.26953125" style="6" customWidth="1"/>
    <col min="15367" max="15367" width="9" style="6"/>
    <col min="15368" max="15368" width="11.453125" style="6" customWidth="1"/>
    <col min="15369" max="15370" width="9" style="6"/>
    <col min="15371" max="15371" width="23" style="6" bestFit="1" customWidth="1"/>
    <col min="15372" max="15372" width="10" style="6" customWidth="1"/>
    <col min="15373" max="15373" width="6.26953125" style="6" bestFit="1" customWidth="1"/>
    <col min="15374" max="15374" width="7.26953125" style="6" bestFit="1" customWidth="1"/>
    <col min="15375" max="15375" width="16.6328125" style="6" customWidth="1"/>
    <col min="15376" max="15376" width="7.26953125" style="6" bestFit="1" customWidth="1"/>
    <col min="15377" max="15377" width="16.6328125" style="6" customWidth="1"/>
    <col min="15378" max="15621" width="9" style="6"/>
    <col min="15622" max="15622" width="16.26953125" style="6" customWidth="1"/>
    <col min="15623" max="15623" width="9" style="6"/>
    <col min="15624" max="15624" width="11.453125" style="6" customWidth="1"/>
    <col min="15625" max="15626" width="9" style="6"/>
    <col min="15627" max="15627" width="23" style="6" bestFit="1" customWidth="1"/>
    <col min="15628" max="15628" width="10" style="6" customWidth="1"/>
    <col min="15629" max="15629" width="6.26953125" style="6" bestFit="1" customWidth="1"/>
    <col min="15630" max="15630" width="7.26953125" style="6" bestFit="1" customWidth="1"/>
    <col min="15631" max="15631" width="16.6328125" style="6" customWidth="1"/>
    <col min="15632" max="15632" width="7.26953125" style="6" bestFit="1" customWidth="1"/>
    <col min="15633" max="15633" width="16.6328125" style="6" customWidth="1"/>
    <col min="15634" max="15877" width="9" style="6"/>
    <col min="15878" max="15878" width="16.26953125" style="6" customWidth="1"/>
    <col min="15879" max="15879" width="9" style="6"/>
    <col min="15880" max="15880" width="11.453125" style="6" customWidth="1"/>
    <col min="15881" max="15882" width="9" style="6"/>
    <col min="15883" max="15883" width="23" style="6" bestFit="1" customWidth="1"/>
    <col min="15884" max="15884" width="10" style="6" customWidth="1"/>
    <col min="15885" max="15885" width="6.26953125" style="6" bestFit="1" customWidth="1"/>
    <col min="15886" max="15886" width="7.26953125" style="6" bestFit="1" customWidth="1"/>
    <col min="15887" max="15887" width="16.6328125" style="6" customWidth="1"/>
    <col min="15888" max="15888" width="7.26953125" style="6" bestFit="1" customWidth="1"/>
    <col min="15889" max="15889" width="16.6328125" style="6" customWidth="1"/>
    <col min="15890" max="16133" width="9" style="6"/>
    <col min="16134" max="16134" width="16.26953125" style="6" customWidth="1"/>
    <col min="16135" max="16135" width="9" style="6"/>
    <col min="16136" max="16136" width="11.453125" style="6" customWidth="1"/>
    <col min="16137" max="16138" width="9" style="6"/>
    <col min="16139" max="16139" width="23" style="6" bestFit="1" customWidth="1"/>
    <col min="16140" max="16140" width="10" style="6" customWidth="1"/>
    <col min="16141" max="16141" width="6.26953125" style="6" bestFit="1" customWidth="1"/>
    <col min="16142" max="16142" width="7.26953125" style="6" bestFit="1" customWidth="1"/>
    <col min="16143" max="16143" width="16.6328125" style="6" customWidth="1"/>
    <col min="16144" max="16144" width="7.26953125" style="6" bestFit="1" customWidth="1"/>
    <col min="16145" max="16145" width="16.6328125" style="6" customWidth="1"/>
    <col min="16146" max="16384" width="9" style="6"/>
  </cols>
  <sheetData>
    <row r="1" spans="1:26" s="21" customFormat="1" ht="2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163" t="str">
        <f>資訊清單資訊!B3 &amp;資訊清單資訊!B7 &amp;資訊清單資訊!B5</f>
        <v>石油與天然氣輸儲查核與檢測雲端平台人員類(PE)資訊資產風險評鑑</v>
      </c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</row>
    <row r="2" spans="1:26">
      <c r="M2" s="42" t="s">
        <v>9</v>
      </c>
      <c r="N2" s="143" t="str">
        <f>資訊清單資訊!B7</f>
        <v>人員類(PE)</v>
      </c>
      <c r="O2" s="144"/>
      <c r="P2" s="145"/>
      <c r="Q2" s="46"/>
      <c r="R2" s="34" t="s">
        <v>11</v>
      </c>
      <c r="S2" s="19">
        <f>IF(ISNA(VLOOKUP($N$3,ALL_LIST,16,FALSE)), "",VLOOKUP($N$3,ALL_LIST,16,FALSE))</f>
        <v>3</v>
      </c>
    </row>
    <row r="3" spans="1:26">
      <c r="M3" s="45" t="s">
        <v>5</v>
      </c>
      <c r="N3" s="146" t="s">
        <v>186</v>
      </c>
      <c r="O3" s="147"/>
      <c r="P3" s="148"/>
      <c r="R3" s="33" t="s">
        <v>75</v>
      </c>
      <c r="S3" s="20">
        <f>IF(ISNA(VLOOKUP($N$3,ALL_LIST,8,FALSE)), "",VLOOKUP($N$3,ALL_LIST,8,FALSE))</f>
        <v>2</v>
      </c>
    </row>
    <row r="4" spans="1:26">
      <c r="M4" s="43" t="s">
        <v>10</v>
      </c>
      <c r="N4" s="149" t="str">
        <f>IF(ISNA(VLOOKUP($N$3,ALL_LIST,3,FALSE)), "",VLOOKUP($N$3,ALL_LIST,3,FALSE))</f>
        <v>計畫主持人</v>
      </c>
      <c r="O4" s="150"/>
      <c r="P4" s="151"/>
      <c r="Q4" s="46"/>
      <c r="R4" s="33" t="s">
        <v>76</v>
      </c>
      <c r="S4" s="20">
        <f>IF(ISNA(VLOOKUP($N$3,ALL_LIST,10,FALSE)), "",VLOOKUP($N$3,ALL_LIST,10,FALSE))</f>
        <v>3</v>
      </c>
    </row>
    <row r="5" spans="1:26">
      <c r="M5" s="42" t="s">
        <v>6</v>
      </c>
      <c r="N5" s="152" t="str">
        <f>IF(ISNA(VLOOKUP($N$3,ALL_LIST,17,FALSE)), "",VLOOKUP($N$3,ALL_LIST,17,FALSE))</f>
        <v>賴斐瓔 </v>
      </c>
      <c r="O5" s="153"/>
      <c r="P5" s="154"/>
      <c r="Q5" s="46"/>
      <c r="R5" s="33" t="s">
        <v>77</v>
      </c>
      <c r="S5" s="20">
        <f>IF(ISNA(VLOOKUP($N$3,ALL_LIST,12,FALSE)), " ",VLOOKUP($N$3,ALL_LIST,12,FALSE))</f>
        <v>2</v>
      </c>
    </row>
    <row r="6" spans="1:26">
      <c r="M6" s="44" t="s">
        <v>7</v>
      </c>
      <c r="N6" s="155" t="s">
        <v>206</v>
      </c>
      <c r="O6" s="156"/>
      <c r="P6" s="157"/>
      <c r="R6" s="33" t="s">
        <v>78</v>
      </c>
      <c r="S6" s="20">
        <f>IF(ISNA(VLOOKUP($N$3,ALL_LIST,14,FALSE)), "",VLOOKUP($N$3,ALL_LIST,14,FALSE))</f>
        <v>3</v>
      </c>
    </row>
    <row r="7" spans="1:26">
      <c r="M7" s="44" t="s">
        <v>8</v>
      </c>
      <c r="N7" s="158" t="s">
        <v>185</v>
      </c>
      <c r="O7" s="159"/>
      <c r="P7" s="160"/>
      <c r="Q7" s="46"/>
      <c r="R7" s="35" t="s">
        <v>12</v>
      </c>
      <c r="S7" s="27">
        <f>MAX(Y11:Y37)</f>
        <v>9</v>
      </c>
    </row>
    <row r="10" spans="1:26" s="22" customFormat="1" ht="16">
      <c r="A10" s="36" t="s">
        <v>13</v>
      </c>
      <c r="B10" s="36" t="s">
        <v>14</v>
      </c>
      <c r="C10" s="36" t="s">
        <v>15</v>
      </c>
      <c r="D10" s="36" t="s">
        <v>16</v>
      </c>
      <c r="E10" s="36" t="s">
        <v>3</v>
      </c>
      <c r="F10" s="36" t="s">
        <v>17</v>
      </c>
      <c r="G10" s="37" t="s">
        <v>18</v>
      </c>
      <c r="H10" s="37" t="s">
        <v>19</v>
      </c>
      <c r="I10" s="37" t="s">
        <v>20</v>
      </c>
      <c r="J10" s="37" t="s">
        <v>21</v>
      </c>
      <c r="K10" s="38" t="s">
        <v>22</v>
      </c>
      <c r="L10" s="39" t="s">
        <v>34</v>
      </c>
      <c r="M10" s="164" t="s">
        <v>23</v>
      </c>
      <c r="N10" s="165"/>
      <c r="O10" s="166"/>
      <c r="P10" s="164" t="s">
        <v>4</v>
      </c>
      <c r="Q10" s="165"/>
      <c r="R10" s="165"/>
      <c r="S10" s="166"/>
      <c r="T10" s="32" t="s">
        <v>24</v>
      </c>
      <c r="U10" s="32" t="s">
        <v>25</v>
      </c>
      <c r="V10" s="32" t="s">
        <v>26</v>
      </c>
      <c r="W10" s="32" t="s">
        <v>27</v>
      </c>
      <c r="X10" s="32" t="s">
        <v>26</v>
      </c>
      <c r="Y10" s="32" t="s">
        <v>28</v>
      </c>
      <c r="Z10" s="32" t="s">
        <v>29</v>
      </c>
    </row>
    <row r="11" spans="1:26" ht="46.5">
      <c r="A11" s="47" t="str">
        <f>$N$3</f>
        <v>材1-1-PE-01</v>
      </c>
      <c r="B11" s="48">
        <f t="shared" ref="B11:B37" si="0">VLOOKUP($N$3,ALL_LIST,2,FALSE)</f>
        <v>0</v>
      </c>
      <c r="C11" s="48" t="str">
        <f t="shared" ref="C11:C37" si="1">VLOOKUP($N$3,ALL_LIST,3,FALSE)</f>
        <v>計畫主持人</v>
      </c>
      <c r="D11" s="48" t="str">
        <f t="shared" ref="D11:D37" si="2">VLOOKUP($N$3,ALL_LIST,4,FALSE)</f>
        <v>計畫主持人:吳榮正</v>
      </c>
      <c r="E11" s="48" t="str">
        <f t="shared" ref="E11:E37" si="3">VLOOKUP($N$3,ALL_LIST,6,FALSE)</f>
        <v>1</v>
      </c>
      <c r="F11" s="48" t="str">
        <f t="shared" ref="F11:F37" si="4">VLOOKUP($N$3,ALL_LIST,7,FALSE)</f>
        <v>吳榮正</v>
      </c>
      <c r="G11" s="48">
        <f t="shared" ref="G11:G37" si="5">VLOOKUP($N$3,ALL_LIST,8,FALSE)</f>
        <v>2</v>
      </c>
      <c r="H11" s="48">
        <f t="shared" ref="H11:H37" si="6">VLOOKUP($N$3,ALL_LIST,10,FALSE)</f>
        <v>3</v>
      </c>
      <c r="I11" s="48">
        <f t="shared" ref="I11:I37" si="7">VLOOKUP($N$3,ALL_LIST,12,FALSE)</f>
        <v>2</v>
      </c>
      <c r="J11" s="48">
        <f t="shared" ref="J11:J37" si="8">VLOOKUP($N$3,ALL_LIST,14,FALSE)</f>
        <v>3</v>
      </c>
      <c r="K11" s="49">
        <f t="shared" ref="K11:K37" si="9">VLOOKUP($N$3,ALL_LIST,16,FALSE)</f>
        <v>3</v>
      </c>
      <c r="L11" s="49">
        <f t="shared" ref="L11:L37" si="10">$S$7</f>
        <v>9</v>
      </c>
      <c r="M11" s="124" t="s">
        <v>151</v>
      </c>
      <c r="N11" s="125" t="s">
        <v>30</v>
      </c>
      <c r="O11" s="126" t="s">
        <v>30</v>
      </c>
      <c r="P11" s="122" t="s">
        <v>79</v>
      </c>
      <c r="Q11" s="123" t="s">
        <v>31</v>
      </c>
      <c r="R11" s="123" t="s">
        <v>31</v>
      </c>
      <c r="S11" s="123" t="s">
        <v>31</v>
      </c>
      <c r="T11" s="9" t="s">
        <v>80</v>
      </c>
      <c r="U11" s="9">
        <v>1</v>
      </c>
      <c r="V11" s="8" t="s">
        <v>154</v>
      </c>
      <c r="W11" s="9">
        <v>2</v>
      </c>
      <c r="X11" s="8" t="s">
        <v>189</v>
      </c>
      <c r="Y11" s="23">
        <f t="shared" ref="Y11:Y36" si="11">IF((T11="N"),"不適用",IF(COUNTA(U11,W11)&lt;2,"評鑑中",$S$2*U11*W11))</f>
        <v>6</v>
      </c>
      <c r="Z11" s="66"/>
    </row>
    <row r="12" spans="1:26" ht="62">
      <c r="A12" s="47" t="str">
        <f t="shared" ref="A12:A37" si="12">$N$3</f>
        <v>材1-1-PE-01</v>
      </c>
      <c r="B12" s="48">
        <f t="shared" si="0"/>
        <v>0</v>
      </c>
      <c r="C12" s="48" t="str">
        <f t="shared" si="1"/>
        <v>計畫主持人</v>
      </c>
      <c r="D12" s="48" t="str">
        <f t="shared" si="2"/>
        <v>計畫主持人:吳榮正</v>
      </c>
      <c r="E12" s="48" t="str">
        <f t="shared" si="3"/>
        <v>1</v>
      </c>
      <c r="F12" s="48" t="str">
        <f t="shared" si="4"/>
        <v>吳榮正</v>
      </c>
      <c r="G12" s="48">
        <f t="shared" si="5"/>
        <v>2</v>
      </c>
      <c r="H12" s="48">
        <f t="shared" si="6"/>
        <v>3</v>
      </c>
      <c r="I12" s="48">
        <f t="shared" si="7"/>
        <v>2</v>
      </c>
      <c r="J12" s="48">
        <f t="shared" si="8"/>
        <v>3</v>
      </c>
      <c r="K12" s="49">
        <f t="shared" si="9"/>
        <v>3</v>
      </c>
      <c r="L12" s="49">
        <f t="shared" si="10"/>
        <v>9</v>
      </c>
      <c r="M12" s="124" t="s">
        <v>150</v>
      </c>
      <c r="N12" s="125" t="s">
        <v>81</v>
      </c>
      <c r="O12" s="126" t="s">
        <v>81</v>
      </c>
      <c r="P12" s="161" t="s">
        <v>82</v>
      </c>
      <c r="Q12" s="162" t="s">
        <v>82</v>
      </c>
      <c r="R12" s="162" t="s">
        <v>82</v>
      </c>
      <c r="S12" s="162" t="s">
        <v>82</v>
      </c>
      <c r="T12" s="9" t="s">
        <v>155</v>
      </c>
      <c r="U12" s="9">
        <v>1</v>
      </c>
      <c r="V12" s="172" t="s">
        <v>198</v>
      </c>
      <c r="W12" s="9">
        <v>3</v>
      </c>
      <c r="X12" s="8" t="s">
        <v>156</v>
      </c>
      <c r="Y12" s="23">
        <f>IF((T12="N"),"不適用",IF(COUNTA(U12,W12)&lt;2,"評鑑中",$S$2*U12*W12))</f>
        <v>9</v>
      </c>
      <c r="Z12" s="66"/>
    </row>
    <row r="13" spans="1:26" ht="62">
      <c r="A13" s="47" t="str">
        <f t="shared" si="12"/>
        <v>材1-1-PE-01</v>
      </c>
      <c r="B13" s="48">
        <f t="shared" si="0"/>
        <v>0</v>
      </c>
      <c r="C13" s="48" t="str">
        <f t="shared" si="1"/>
        <v>計畫主持人</v>
      </c>
      <c r="D13" s="48" t="str">
        <f t="shared" si="2"/>
        <v>計畫主持人:吳榮正</v>
      </c>
      <c r="E13" s="48" t="str">
        <f t="shared" si="3"/>
        <v>1</v>
      </c>
      <c r="F13" s="48" t="str">
        <f t="shared" si="4"/>
        <v>吳榮正</v>
      </c>
      <c r="G13" s="48">
        <f t="shared" si="5"/>
        <v>2</v>
      </c>
      <c r="H13" s="48">
        <f t="shared" si="6"/>
        <v>3</v>
      </c>
      <c r="I13" s="48">
        <f t="shared" si="7"/>
        <v>2</v>
      </c>
      <c r="J13" s="48">
        <f t="shared" si="8"/>
        <v>3</v>
      </c>
      <c r="K13" s="49">
        <f t="shared" si="9"/>
        <v>3</v>
      </c>
      <c r="L13" s="49">
        <f t="shared" si="10"/>
        <v>9</v>
      </c>
      <c r="M13" s="119" t="s">
        <v>81</v>
      </c>
      <c r="N13" s="120" t="s">
        <v>81</v>
      </c>
      <c r="O13" s="121" t="s">
        <v>81</v>
      </c>
      <c r="P13" s="161" t="s">
        <v>83</v>
      </c>
      <c r="Q13" s="162" t="s">
        <v>83</v>
      </c>
      <c r="R13" s="162" t="s">
        <v>83</v>
      </c>
      <c r="S13" s="162" t="s">
        <v>83</v>
      </c>
      <c r="T13" s="9" t="s">
        <v>80</v>
      </c>
      <c r="U13" s="9">
        <v>1</v>
      </c>
      <c r="V13" s="8" t="s">
        <v>157</v>
      </c>
      <c r="W13" s="9">
        <v>3</v>
      </c>
      <c r="X13" s="8" t="s">
        <v>156</v>
      </c>
      <c r="Y13" s="23">
        <f t="shared" si="11"/>
        <v>9</v>
      </c>
      <c r="Z13" s="66"/>
    </row>
    <row r="14" spans="1:26" ht="62">
      <c r="A14" s="47" t="str">
        <f t="shared" si="12"/>
        <v>材1-1-PE-01</v>
      </c>
      <c r="B14" s="48">
        <f t="shared" si="0"/>
        <v>0</v>
      </c>
      <c r="C14" s="48" t="str">
        <f t="shared" si="1"/>
        <v>計畫主持人</v>
      </c>
      <c r="D14" s="48" t="str">
        <f t="shared" si="2"/>
        <v>計畫主持人:吳榮正</v>
      </c>
      <c r="E14" s="48" t="str">
        <f t="shared" si="3"/>
        <v>1</v>
      </c>
      <c r="F14" s="48" t="str">
        <f t="shared" si="4"/>
        <v>吳榮正</v>
      </c>
      <c r="G14" s="48">
        <f t="shared" si="5"/>
        <v>2</v>
      </c>
      <c r="H14" s="48">
        <f t="shared" si="6"/>
        <v>3</v>
      </c>
      <c r="I14" s="48">
        <f t="shared" si="7"/>
        <v>2</v>
      </c>
      <c r="J14" s="48">
        <f t="shared" si="8"/>
        <v>3</v>
      </c>
      <c r="K14" s="49">
        <f t="shared" si="9"/>
        <v>3</v>
      </c>
      <c r="L14" s="49">
        <f t="shared" si="10"/>
        <v>9</v>
      </c>
      <c r="M14" s="119" t="s">
        <v>81</v>
      </c>
      <c r="N14" s="120" t="s">
        <v>81</v>
      </c>
      <c r="O14" s="121" t="s">
        <v>81</v>
      </c>
      <c r="P14" s="122" t="s">
        <v>84</v>
      </c>
      <c r="Q14" s="123" t="s">
        <v>84</v>
      </c>
      <c r="R14" s="123" t="s">
        <v>84</v>
      </c>
      <c r="S14" s="123" t="s">
        <v>84</v>
      </c>
      <c r="T14" s="9" t="s">
        <v>155</v>
      </c>
      <c r="U14" s="9">
        <v>1</v>
      </c>
      <c r="V14" s="8" t="s">
        <v>167</v>
      </c>
      <c r="W14" s="9">
        <v>3</v>
      </c>
      <c r="X14" s="8" t="s">
        <v>156</v>
      </c>
      <c r="Y14" s="23">
        <f t="shared" si="11"/>
        <v>9</v>
      </c>
      <c r="Z14" s="66"/>
    </row>
    <row r="15" spans="1:26" ht="62">
      <c r="A15" s="47" t="str">
        <f t="shared" si="12"/>
        <v>材1-1-PE-01</v>
      </c>
      <c r="B15" s="48">
        <f t="shared" si="0"/>
        <v>0</v>
      </c>
      <c r="C15" s="48" t="str">
        <f t="shared" si="1"/>
        <v>計畫主持人</v>
      </c>
      <c r="D15" s="48" t="str">
        <f t="shared" si="2"/>
        <v>計畫主持人:吳榮正</v>
      </c>
      <c r="E15" s="48" t="str">
        <f t="shared" si="3"/>
        <v>1</v>
      </c>
      <c r="F15" s="48" t="str">
        <f t="shared" si="4"/>
        <v>吳榮正</v>
      </c>
      <c r="G15" s="48">
        <f t="shared" si="5"/>
        <v>2</v>
      </c>
      <c r="H15" s="48">
        <f t="shared" si="6"/>
        <v>3</v>
      </c>
      <c r="I15" s="48">
        <f t="shared" si="7"/>
        <v>2</v>
      </c>
      <c r="J15" s="48">
        <f t="shared" si="8"/>
        <v>3</v>
      </c>
      <c r="K15" s="49">
        <f t="shared" si="9"/>
        <v>3</v>
      </c>
      <c r="L15" s="49">
        <f t="shared" si="10"/>
        <v>9</v>
      </c>
      <c r="M15" s="119" t="s">
        <v>81</v>
      </c>
      <c r="N15" s="120" t="s">
        <v>81</v>
      </c>
      <c r="O15" s="121" t="s">
        <v>81</v>
      </c>
      <c r="P15" s="122" t="s">
        <v>85</v>
      </c>
      <c r="Q15" s="123" t="s">
        <v>85</v>
      </c>
      <c r="R15" s="123" t="s">
        <v>85</v>
      </c>
      <c r="S15" s="123" t="s">
        <v>85</v>
      </c>
      <c r="T15" s="9" t="s">
        <v>155</v>
      </c>
      <c r="U15" s="9">
        <v>1</v>
      </c>
      <c r="V15" s="8" t="s">
        <v>158</v>
      </c>
      <c r="W15" s="9">
        <v>3</v>
      </c>
      <c r="X15" s="8" t="s">
        <v>156</v>
      </c>
      <c r="Y15" s="23">
        <f t="shared" si="11"/>
        <v>9</v>
      </c>
      <c r="Z15" s="66"/>
    </row>
    <row r="16" spans="1:26" ht="62">
      <c r="A16" s="47" t="str">
        <f t="shared" si="12"/>
        <v>材1-1-PE-01</v>
      </c>
      <c r="B16" s="48">
        <f t="shared" si="0"/>
        <v>0</v>
      </c>
      <c r="C16" s="48" t="str">
        <f t="shared" si="1"/>
        <v>計畫主持人</v>
      </c>
      <c r="D16" s="48" t="str">
        <f t="shared" si="2"/>
        <v>計畫主持人:吳榮正</v>
      </c>
      <c r="E16" s="48" t="str">
        <f t="shared" si="3"/>
        <v>1</v>
      </c>
      <c r="F16" s="48" t="str">
        <f t="shared" si="4"/>
        <v>吳榮正</v>
      </c>
      <c r="G16" s="48">
        <f t="shared" si="5"/>
        <v>2</v>
      </c>
      <c r="H16" s="48">
        <f t="shared" si="6"/>
        <v>3</v>
      </c>
      <c r="I16" s="48">
        <f t="shared" si="7"/>
        <v>2</v>
      </c>
      <c r="J16" s="48">
        <f t="shared" si="8"/>
        <v>3</v>
      </c>
      <c r="K16" s="49">
        <f t="shared" si="9"/>
        <v>3</v>
      </c>
      <c r="L16" s="49">
        <f t="shared" si="10"/>
        <v>9</v>
      </c>
      <c r="M16" s="119" t="s">
        <v>81</v>
      </c>
      <c r="N16" s="120" t="s">
        <v>81</v>
      </c>
      <c r="O16" s="121" t="s">
        <v>81</v>
      </c>
      <c r="P16" s="161" t="s">
        <v>86</v>
      </c>
      <c r="Q16" s="162" t="s">
        <v>86</v>
      </c>
      <c r="R16" s="162" t="s">
        <v>86</v>
      </c>
      <c r="S16" s="162" t="s">
        <v>86</v>
      </c>
      <c r="T16" s="9" t="s">
        <v>155</v>
      </c>
      <c r="U16" s="9">
        <v>1</v>
      </c>
      <c r="V16" s="8" t="s">
        <v>158</v>
      </c>
      <c r="W16" s="9">
        <v>3</v>
      </c>
      <c r="X16" s="8" t="s">
        <v>156</v>
      </c>
      <c r="Y16" s="23">
        <f t="shared" si="11"/>
        <v>9</v>
      </c>
      <c r="Z16" s="66"/>
    </row>
    <row r="17" spans="1:28" ht="62">
      <c r="A17" s="47" t="str">
        <f t="shared" si="12"/>
        <v>材1-1-PE-01</v>
      </c>
      <c r="B17" s="48">
        <f t="shared" si="0"/>
        <v>0</v>
      </c>
      <c r="C17" s="48" t="str">
        <f t="shared" si="1"/>
        <v>計畫主持人</v>
      </c>
      <c r="D17" s="48" t="str">
        <f t="shared" si="2"/>
        <v>計畫主持人:吳榮正</v>
      </c>
      <c r="E17" s="48" t="str">
        <f t="shared" si="3"/>
        <v>1</v>
      </c>
      <c r="F17" s="48" t="str">
        <f t="shared" si="4"/>
        <v>吳榮正</v>
      </c>
      <c r="G17" s="48">
        <f t="shared" si="5"/>
        <v>2</v>
      </c>
      <c r="H17" s="48">
        <f t="shared" si="6"/>
        <v>3</v>
      </c>
      <c r="I17" s="48">
        <f t="shared" si="7"/>
        <v>2</v>
      </c>
      <c r="J17" s="48">
        <f t="shared" si="8"/>
        <v>3</v>
      </c>
      <c r="K17" s="49">
        <f t="shared" si="9"/>
        <v>3</v>
      </c>
      <c r="L17" s="49">
        <f t="shared" si="10"/>
        <v>9</v>
      </c>
      <c r="M17" s="119" t="s">
        <v>81</v>
      </c>
      <c r="N17" s="120" t="s">
        <v>81</v>
      </c>
      <c r="O17" s="121" t="s">
        <v>81</v>
      </c>
      <c r="P17" s="122" t="s">
        <v>87</v>
      </c>
      <c r="Q17" s="123" t="s">
        <v>87</v>
      </c>
      <c r="R17" s="123" t="s">
        <v>87</v>
      </c>
      <c r="S17" s="123" t="s">
        <v>87</v>
      </c>
      <c r="T17" s="9" t="s">
        <v>155</v>
      </c>
      <c r="U17" s="9">
        <v>1</v>
      </c>
      <c r="V17" s="8" t="s">
        <v>158</v>
      </c>
      <c r="W17" s="9">
        <v>3</v>
      </c>
      <c r="X17" s="8" t="s">
        <v>156</v>
      </c>
      <c r="Y17" s="23">
        <f t="shared" si="11"/>
        <v>9</v>
      </c>
      <c r="Z17" s="66"/>
    </row>
    <row r="18" spans="1:28" ht="59.5" customHeight="1">
      <c r="A18" s="47" t="str">
        <f t="shared" si="12"/>
        <v>材1-1-PE-01</v>
      </c>
      <c r="B18" s="48">
        <f t="shared" si="0"/>
        <v>0</v>
      </c>
      <c r="C18" s="48" t="str">
        <f t="shared" si="1"/>
        <v>計畫主持人</v>
      </c>
      <c r="D18" s="48" t="str">
        <f t="shared" si="2"/>
        <v>計畫主持人:吳榮正</v>
      </c>
      <c r="E18" s="48" t="str">
        <f t="shared" si="3"/>
        <v>1</v>
      </c>
      <c r="F18" s="48" t="str">
        <f t="shared" si="4"/>
        <v>吳榮正</v>
      </c>
      <c r="G18" s="48">
        <f t="shared" si="5"/>
        <v>2</v>
      </c>
      <c r="H18" s="48">
        <f t="shared" si="6"/>
        <v>3</v>
      </c>
      <c r="I18" s="48">
        <f t="shared" si="7"/>
        <v>2</v>
      </c>
      <c r="J18" s="48">
        <f t="shared" si="8"/>
        <v>3</v>
      </c>
      <c r="K18" s="49">
        <f t="shared" si="9"/>
        <v>3</v>
      </c>
      <c r="L18" s="49">
        <f t="shared" si="10"/>
        <v>9</v>
      </c>
      <c r="M18" s="119" t="s">
        <v>81</v>
      </c>
      <c r="N18" s="120" t="s">
        <v>81</v>
      </c>
      <c r="O18" s="121" t="s">
        <v>81</v>
      </c>
      <c r="P18" s="122" t="s">
        <v>88</v>
      </c>
      <c r="Q18" s="123" t="s">
        <v>88</v>
      </c>
      <c r="R18" s="123" t="s">
        <v>88</v>
      </c>
      <c r="S18" s="123" t="s">
        <v>88</v>
      </c>
      <c r="T18" s="9" t="s">
        <v>155</v>
      </c>
      <c r="U18" s="9">
        <v>1</v>
      </c>
      <c r="V18" s="8" t="s">
        <v>158</v>
      </c>
      <c r="W18" s="9">
        <v>3</v>
      </c>
      <c r="X18" s="8" t="s">
        <v>156</v>
      </c>
      <c r="Y18" s="23">
        <f t="shared" si="11"/>
        <v>9</v>
      </c>
      <c r="Z18" s="66"/>
      <c r="AB18" s="51" t="s">
        <v>89</v>
      </c>
    </row>
    <row r="19" spans="1:28" ht="62">
      <c r="A19" s="47" t="str">
        <f t="shared" si="12"/>
        <v>材1-1-PE-01</v>
      </c>
      <c r="B19" s="48">
        <f t="shared" si="0"/>
        <v>0</v>
      </c>
      <c r="C19" s="48" t="str">
        <f t="shared" si="1"/>
        <v>計畫主持人</v>
      </c>
      <c r="D19" s="48" t="str">
        <f t="shared" si="2"/>
        <v>計畫主持人:吳榮正</v>
      </c>
      <c r="E19" s="48" t="str">
        <f t="shared" si="3"/>
        <v>1</v>
      </c>
      <c r="F19" s="48" t="str">
        <f t="shared" si="4"/>
        <v>吳榮正</v>
      </c>
      <c r="G19" s="48">
        <f t="shared" si="5"/>
        <v>2</v>
      </c>
      <c r="H19" s="48">
        <f t="shared" si="6"/>
        <v>3</v>
      </c>
      <c r="I19" s="48">
        <f t="shared" si="7"/>
        <v>2</v>
      </c>
      <c r="J19" s="48">
        <f t="shared" si="8"/>
        <v>3</v>
      </c>
      <c r="K19" s="49">
        <f t="shared" si="9"/>
        <v>3</v>
      </c>
      <c r="L19" s="49">
        <f t="shared" si="10"/>
        <v>9</v>
      </c>
      <c r="M19" s="124" t="s">
        <v>145</v>
      </c>
      <c r="N19" s="125" t="s">
        <v>90</v>
      </c>
      <c r="O19" s="126" t="s">
        <v>90</v>
      </c>
      <c r="P19" s="122" t="s">
        <v>91</v>
      </c>
      <c r="Q19" s="123" t="s">
        <v>91</v>
      </c>
      <c r="R19" s="123" t="s">
        <v>91</v>
      </c>
      <c r="S19" s="123" t="s">
        <v>91</v>
      </c>
      <c r="T19" s="9" t="s">
        <v>155</v>
      </c>
      <c r="U19" s="9">
        <v>1</v>
      </c>
      <c r="V19" s="8" t="s">
        <v>159</v>
      </c>
      <c r="W19" s="9">
        <v>3</v>
      </c>
      <c r="X19" s="8" t="s">
        <v>156</v>
      </c>
      <c r="Y19" s="23">
        <f t="shared" si="11"/>
        <v>9</v>
      </c>
      <c r="Z19" s="66"/>
    </row>
    <row r="20" spans="1:28" ht="62">
      <c r="A20" s="47" t="str">
        <f t="shared" si="12"/>
        <v>材1-1-PE-01</v>
      </c>
      <c r="B20" s="48">
        <f t="shared" si="0"/>
        <v>0</v>
      </c>
      <c r="C20" s="48" t="str">
        <f t="shared" si="1"/>
        <v>計畫主持人</v>
      </c>
      <c r="D20" s="48" t="str">
        <f t="shared" si="2"/>
        <v>計畫主持人:吳榮正</v>
      </c>
      <c r="E20" s="48" t="str">
        <f t="shared" si="3"/>
        <v>1</v>
      </c>
      <c r="F20" s="48" t="str">
        <f t="shared" si="4"/>
        <v>吳榮正</v>
      </c>
      <c r="G20" s="48">
        <f t="shared" si="5"/>
        <v>2</v>
      </c>
      <c r="H20" s="48">
        <f t="shared" si="6"/>
        <v>3</v>
      </c>
      <c r="I20" s="48">
        <f t="shared" si="7"/>
        <v>2</v>
      </c>
      <c r="J20" s="48">
        <f t="shared" si="8"/>
        <v>3</v>
      </c>
      <c r="K20" s="49">
        <f t="shared" si="9"/>
        <v>3</v>
      </c>
      <c r="L20" s="49">
        <f t="shared" si="10"/>
        <v>9</v>
      </c>
      <c r="M20" s="119" t="s">
        <v>90</v>
      </c>
      <c r="N20" s="120" t="s">
        <v>90</v>
      </c>
      <c r="O20" s="121" t="s">
        <v>90</v>
      </c>
      <c r="P20" s="138" t="s">
        <v>92</v>
      </c>
      <c r="Q20" s="139" t="s">
        <v>92</v>
      </c>
      <c r="R20" s="139" t="s">
        <v>92</v>
      </c>
      <c r="S20" s="139" t="s">
        <v>92</v>
      </c>
      <c r="T20" s="9" t="s">
        <v>155</v>
      </c>
      <c r="U20" s="9">
        <v>1</v>
      </c>
      <c r="V20" s="172" t="s">
        <v>160</v>
      </c>
      <c r="W20" s="9">
        <v>3</v>
      </c>
      <c r="X20" s="8" t="s">
        <v>156</v>
      </c>
      <c r="Y20" s="23">
        <f t="shared" si="11"/>
        <v>9</v>
      </c>
      <c r="Z20" s="66"/>
    </row>
    <row r="21" spans="1:28" ht="62">
      <c r="A21" s="47" t="str">
        <f t="shared" si="12"/>
        <v>材1-1-PE-01</v>
      </c>
      <c r="B21" s="48">
        <f t="shared" si="0"/>
        <v>0</v>
      </c>
      <c r="C21" s="48" t="str">
        <f t="shared" si="1"/>
        <v>計畫主持人</v>
      </c>
      <c r="D21" s="48" t="str">
        <f t="shared" si="2"/>
        <v>計畫主持人:吳榮正</v>
      </c>
      <c r="E21" s="48" t="str">
        <f t="shared" si="3"/>
        <v>1</v>
      </c>
      <c r="F21" s="48" t="str">
        <f t="shared" si="4"/>
        <v>吳榮正</v>
      </c>
      <c r="G21" s="48">
        <f t="shared" si="5"/>
        <v>2</v>
      </c>
      <c r="H21" s="48">
        <f t="shared" si="6"/>
        <v>3</v>
      </c>
      <c r="I21" s="48">
        <f t="shared" si="7"/>
        <v>2</v>
      </c>
      <c r="J21" s="48">
        <f t="shared" si="8"/>
        <v>3</v>
      </c>
      <c r="K21" s="49">
        <f t="shared" si="9"/>
        <v>3</v>
      </c>
      <c r="L21" s="49">
        <f t="shared" si="10"/>
        <v>9</v>
      </c>
      <c r="M21" s="119" t="s">
        <v>90</v>
      </c>
      <c r="N21" s="120" t="s">
        <v>90</v>
      </c>
      <c r="O21" s="121" t="s">
        <v>90</v>
      </c>
      <c r="P21" s="138" t="s">
        <v>82</v>
      </c>
      <c r="Q21" s="139" t="s">
        <v>82</v>
      </c>
      <c r="R21" s="139" t="s">
        <v>82</v>
      </c>
      <c r="S21" s="139" t="s">
        <v>82</v>
      </c>
      <c r="T21" s="9" t="s">
        <v>155</v>
      </c>
      <c r="U21" s="9">
        <v>1</v>
      </c>
      <c r="V21" s="172" t="s">
        <v>207</v>
      </c>
      <c r="W21" s="9">
        <v>3</v>
      </c>
      <c r="X21" s="8" t="s">
        <v>156</v>
      </c>
      <c r="Y21" s="23">
        <f t="shared" si="11"/>
        <v>9</v>
      </c>
      <c r="Z21" s="66"/>
    </row>
    <row r="22" spans="1:28" ht="62">
      <c r="A22" s="47" t="str">
        <f t="shared" si="12"/>
        <v>材1-1-PE-01</v>
      </c>
      <c r="B22" s="48">
        <f t="shared" si="0"/>
        <v>0</v>
      </c>
      <c r="C22" s="48" t="str">
        <f t="shared" si="1"/>
        <v>計畫主持人</v>
      </c>
      <c r="D22" s="48" t="str">
        <f t="shared" si="2"/>
        <v>計畫主持人:吳榮正</v>
      </c>
      <c r="E22" s="48" t="str">
        <f t="shared" si="3"/>
        <v>1</v>
      </c>
      <c r="F22" s="48" t="str">
        <f t="shared" si="4"/>
        <v>吳榮正</v>
      </c>
      <c r="G22" s="48">
        <f t="shared" si="5"/>
        <v>2</v>
      </c>
      <c r="H22" s="48">
        <f t="shared" si="6"/>
        <v>3</v>
      </c>
      <c r="I22" s="48">
        <f t="shared" si="7"/>
        <v>2</v>
      </c>
      <c r="J22" s="48">
        <f t="shared" si="8"/>
        <v>3</v>
      </c>
      <c r="K22" s="49">
        <f t="shared" si="9"/>
        <v>3</v>
      </c>
      <c r="L22" s="49">
        <f t="shared" si="10"/>
        <v>9</v>
      </c>
      <c r="M22" s="119" t="s">
        <v>90</v>
      </c>
      <c r="N22" s="120" t="s">
        <v>90</v>
      </c>
      <c r="O22" s="121" t="s">
        <v>90</v>
      </c>
      <c r="P22" s="138" t="s">
        <v>93</v>
      </c>
      <c r="Q22" s="139" t="s">
        <v>93</v>
      </c>
      <c r="R22" s="139" t="s">
        <v>93</v>
      </c>
      <c r="S22" s="139" t="s">
        <v>93</v>
      </c>
      <c r="T22" s="9" t="s">
        <v>155</v>
      </c>
      <c r="U22" s="9">
        <v>1</v>
      </c>
      <c r="V22" s="172" t="s">
        <v>161</v>
      </c>
      <c r="W22" s="9">
        <v>3</v>
      </c>
      <c r="X22" s="8" t="s">
        <v>156</v>
      </c>
      <c r="Y22" s="23">
        <f t="shared" si="11"/>
        <v>9</v>
      </c>
      <c r="Z22" s="66"/>
    </row>
    <row r="23" spans="1:28" ht="62">
      <c r="A23" s="47" t="str">
        <f t="shared" si="12"/>
        <v>材1-1-PE-01</v>
      </c>
      <c r="B23" s="48">
        <f t="shared" si="0"/>
        <v>0</v>
      </c>
      <c r="C23" s="48" t="str">
        <f t="shared" si="1"/>
        <v>計畫主持人</v>
      </c>
      <c r="D23" s="48" t="str">
        <f t="shared" si="2"/>
        <v>計畫主持人:吳榮正</v>
      </c>
      <c r="E23" s="48" t="str">
        <f t="shared" si="3"/>
        <v>1</v>
      </c>
      <c r="F23" s="48" t="str">
        <f t="shared" si="4"/>
        <v>吳榮正</v>
      </c>
      <c r="G23" s="48">
        <f t="shared" si="5"/>
        <v>2</v>
      </c>
      <c r="H23" s="48">
        <f t="shared" si="6"/>
        <v>3</v>
      </c>
      <c r="I23" s="48">
        <f t="shared" si="7"/>
        <v>2</v>
      </c>
      <c r="J23" s="48">
        <f t="shared" si="8"/>
        <v>3</v>
      </c>
      <c r="K23" s="49">
        <f t="shared" si="9"/>
        <v>3</v>
      </c>
      <c r="L23" s="49">
        <f t="shared" si="10"/>
        <v>9</v>
      </c>
      <c r="M23" s="124" t="s">
        <v>146</v>
      </c>
      <c r="N23" s="125" t="s">
        <v>94</v>
      </c>
      <c r="O23" s="126" t="s">
        <v>94</v>
      </c>
      <c r="P23" s="122" t="s">
        <v>82</v>
      </c>
      <c r="Q23" s="123" t="s">
        <v>82</v>
      </c>
      <c r="R23" s="123" t="s">
        <v>82</v>
      </c>
      <c r="S23" s="123" t="s">
        <v>82</v>
      </c>
      <c r="T23" s="9" t="s">
        <v>155</v>
      </c>
      <c r="U23" s="9">
        <v>1</v>
      </c>
      <c r="V23" s="172" t="s">
        <v>207</v>
      </c>
      <c r="W23" s="9">
        <v>3</v>
      </c>
      <c r="X23" s="8" t="s">
        <v>156</v>
      </c>
      <c r="Y23" s="23">
        <f t="shared" si="11"/>
        <v>9</v>
      </c>
      <c r="Z23" s="66"/>
    </row>
    <row r="24" spans="1:28" ht="62">
      <c r="A24" s="47" t="str">
        <f t="shared" si="12"/>
        <v>材1-1-PE-01</v>
      </c>
      <c r="B24" s="48">
        <f t="shared" si="0"/>
        <v>0</v>
      </c>
      <c r="C24" s="48" t="str">
        <f t="shared" si="1"/>
        <v>計畫主持人</v>
      </c>
      <c r="D24" s="48" t="str">
        <f t="shared" si="2"/>
        <v>計畫主持人:吳榮正</v>
      </c>
      <c r="E24" s="48" t="str">
        <f t="shared" si="3"/>
        <v>1</v>
      </c>
      <c r="F24" s="48" t="str">
        <f t="shared" si="4"/>
        <v>吳榮正</v>
      </c>
      <c r="G24" s="48">
        <f t="shared" si="5"/>
        <v>2</v>
      </c>
      <c r="H24" s="48">
        <f t="shared" si="6"/>
        <v>3</v>
      </c>
      <c r="I24" s="48">
        <f t="shared" si="7"/>
        <v>2</v>
      </c>
      <c r="J24" s="48">
        <f t="shared" si="8"/>
        <v>3</v>
      </c>
      <c r="K24" s="49">
        <f t="shared" si="9"/>
        <v>3</v>
      </c>
      <c r="L24" s="49">
        <f t="shared" si="10"/>
        <v>9</v>
      </c>
      <c r="M24" s="119" t="s">
        <v>94</v>
      </c>
      <c r="N24" s="120" t="s">
        <v>94</v>
      </c>
      <c r="O24" s="121" t="s">
        <v>94</v>
      </c>
      <c r="P24" s="122" t="s">
        <v>95</v>
      </c>
      <c r="Q24" s="123" t="s">
        <v>95</v>
      </c>
      <c r="R24" s="123" t="s">
        <v>95</v>
      </c>
      <c r="S24" s="123" t="s">
        <v>95</v>
      </c>
      <c r="T24" s="9" t="s">
        <v>155</v>
      </c>
      <c r="U24" s="9">
        <v>1</v>
      </c>
      <c r="V24" s="8" t="s">
        <v>167</v>
      </c>
      <c r="W24" s="9">
        <v>3</v>
      </c>
      <c r="X24" s="8" t="s">
        <v>156</v>
      </c>
      <c r="Y24" s="23">
        <f t="shared" si="11"/>
        <v>9</v>
      </c>
      <c r="Z24" s="66"/>
    </row>
    <row r="25" spans="1:28" ht="62">
      <c r="A25" s="47" t="str">
        <f t="shared" si="12"/>
        <v>材1-1-PE-01</v>
      </c>
      <c r="B25" s="48">
        <f t="shared" si="0"/>
        <v>0</v>
      </c>
      <c r="C25" s="48" t="str">
        <f t="shared" si="1"/>
        <v>計畫主持人</v>
      </c>
      <c r="D25" s="48" t="str">
        <f t="shared" si="2"/>
        <v>計畫主持人:吳榮正</v>
      </c>
      <c r="E25" s="48" t="str">
        <f t="shared" si="3"/>
        <v>1</v>
      </c>
      <c r="F25" s="48" t="str">
        <f t="shared" si="4"/>
        <v>吳榮正</v>
      </c>
      <c r="G25" s="48">
        <f t="shared" si="5"/>
        <v>2</v>
      </c>
      <c r="H25" s="48">
        <f t="shared" si="6"/>
        <v>3</v>
      </c>
      <c r="I25" s="48">
        <f t="shared" si="7"/>
        <v>2</v>
      </c>
      <c r="J25" s="48">
        <f t="shared" si="8"/>
        <v>3</v>
      </c>
      <c r="K25" s="49">
        <f t="shared" si="9"/>
        <v>3</v>
      </c>
      <c r="L25" s="49">
        <f t="shared" si="10"/>
        <v>9</v>
      </c>
      <c r="M25" s="140" t="s">
        <v>94</v>
      </c>
      <c r="N25" s="141" t="s">
        <v>94</v>
      </c>
      <c r="O25" s="142" t="s">
        <v>94</v>
      </c>
      <c r="P25" s="122" t="s">
        <v>96</v>
      </c>
      <c r="Q25" s="123" t="s">
        <v>96</v>
      </c>
      <c r="R25" s="123" t="s">
        <v>96</v>
      </c>
      <c r="S25" s="123" t="s">
        <v>96</v>
      </c>
      <c r="T25" s="9" t="s">
        <v>155</v>
      </c>
      <c r="U25" s="9">
        <v>1</v>
      </c>
      <c r="V25" s="8" t="s">
        <v>162</v>
      </c>
      <c r="W25" s="9">
        <v>3</v>
      </c>
      <c r="X25" s="8" t="s">
        <v>156</v>
      </c>
      <c r="Y25" s="23">
        <f t="shared" si="11"/>
        <v>9</v>
      </c>
      <c r="Z25" s="66"/>
    </row>
    <row r="26" spans="1:28" ht="46.5">
      <c r="A26" s="47" t="str">
        <f t="shared" si="12"/>
        <v>材1-1-PE-01</v>
      </c>
      <c r="B26" s="48">
        <f t="shared" si="0"/>
        <v>0</v>
      </c>
      <c r="C26" s="48" t="str">
        <f t="shared" si="1"/>
        <v>計畫主持人</v>
      </c>
      <c r="D26" s="48" t="str">
        <f t="shared" si="2"/>
        <v>計畫主持人:吳榮正</v>
      </c>
      <c r="E26" s="48" t="str">
        <f t="shared" si="3"/>
        <v>1</v>
      </c>
      <c r="F26" s="48" t="str">
        <f t="shared" si="4"/>
        <v>吳榮正</v>
      </c>
      <c r="G26" s="48">
        <f t="shared" si="5"/>
        <v>2</v>
      </c>
      <c r="H26" s="48">
        <f t="shared" si="6"/>
        <v>3</v>
      </c>
      <c r="I26" s="48">
        <f t="shared" si="7"/>
        <v>2</v>
      </c>
      <c r="J26" s="48">
        <f t="shared" si="8"/>
        <v>3</v>
      </c>
      <c r="K26" s="49">
        <f t="shared" si="9"/>
        <v>3</v>
      </c>
      <c r="L26" s="49">
        <f t="shared" si="10"/>
        <v>9</v>
      </c>
      <c r="M26" s="124" t="s">
        <v>147</v>
      </c>
      <c r="N26" s="125" t="s">
        <v>97</v>
      </c>
      <c r="O26" s="126" t="s">
        <v>97</v>
      </c>
      <c r="P26" s="122" t="s">
        <v>98</v>
      </c>
      <c r="Q26" s="123" t="s">
        <v>98</v>
      </c>
      <c r="R26" s="123" t="s">
        <v>98</v>
      </c>
      <c r="S26" s="123" t="s">
        <v>98</v>
      </c>
      <c r="T26" s="9" t="s">
        <v>155</v>
      </c>
      <c r="U26" s="9">
        <v>1</v>
      </c>
      <c r="V26" s="8" t="s">
        <v>157</v>
      </c>
      <c r="W26" s="9">
        <v>2</v>
      </c>
      <c r="X26" s="8" t="s">
        <v>163</v>
      </c>
      <c r="Y26" s="23">
        <f t="shared" si="11"/>
        <v>6</v>
      </c>
      <c r="Z26" s="66"/>
    </row>
    <row r="27" spans="1:28" ht="46.5">
      <c r="A27" s="47" t="str">
        <f t="shared" si="12"/>
        <v>材1-1-PE-01</v>
      </c>
      <c r="B27" s="48">
        <f t="shared" si="0"/>
        <v>0</v>
      </c>
      <c r="C27" s="48" t="str">
        <f t="shared" si="1"/>
        <v>計畫主持人</v>
      </c>
      <c r="D27" s="48" t="str">
        <f t="shared" si="2"/>
        <v>計畫主持人:吳榮正</v>
      </c>
      <c r="E27" s="48" t="str">
        <f t="shared" si="3"/>
        <v>1</v>
      </c>
      <c r="F27" s="48" t="str">
        <f t="shared" si="4"/>
        <v>吳榮正</v>
      </c>
      <c r="G27" s="48">
        <f t="shared" si="5"/>
        <v>2</v>
      </c>
      <c r="H27" s="48">
        <f t="shared" si="6"/>
        <v>3</v>
      </c>
      <c r="I27" s="48">
        <f t="shared" si="7"/>
        <v>2</v>
      </c>
      <c r="J27" s="48">
        <f t="shared" si="8"/>
        <v>3</v>
      </c>
      <c r="K27" s="49">
        <f t="shared" si="9"/>
        <v>3</v>
      </c>
      <c r="L27" s="49">
        <f t="shared" si="10"/>
        <v>9</v>
      </c>
      <c r="M27" s="119" t="s">
        <v>97</v>
      </c>
      <c r="N27" s="120" t="s">
        <v>97</v>
      </c>
      <c r="O27" s="121" t="s">
        <v>97</v>
      </c>
      <c r="P27" s="138" t="s">
        <v>99</v>
      </c>
      <c r="Q27" s="139" t="s">
        <v>99</v>
      </c>
      <c r="R27" s="139" t="s">
        <v>99</v>
      </c>
      <c r="S27" s="139" t="s">
        <v>99</v>
      </c>
      <c r="T27" s="9" t="s">
        <v>155</v>
      </c>
      <c r="U27" s="9">
        <v>1</v>
      </c>
      <c r="V27" s="8" t="s">
        <v>199</v>
      </c>
      <c r="W27" s="9">
        <v>2</v>
      </c>
      <c r="X27" s="8" t="s">
        <v>163</v>
      </c>
      <c r="Y27" s="23">
        <f t="shared" si="11"/>
        <v>6</v>
      </c>
      <c r="Z27" s="66"/>
    </row>
    <row r="28" spans="1:28" ht="62">
      <c r="A28" s="47" t="str">
        <f t="shared" si="12"/>
        <v>材1-1-PE-01</v>
      </c>
      <c r="B28" s="48">
        <f t="shared" si="0"/>
        <v>0</v>
      </c>
      <c r="C28" s="48" t="str">
        <f t="shared" si="1"/>
        <v>計畫主持人</v>
      </c>
      <c r="D28" s="48" t="str">
        <f t="shared" si="2"/>
        <v>計畫主持人:吳榮正</v>
      </c>
      <c r="E28" s="48" t="str">
        <f t="shared" si="3"/>
        <v>1</v>
      </c>
      <c r="F28" s="48" t="str">
        <f t="shared" si="4"/>
        <v>吳榮正</v>
      </c>
      <c r="G28" s="48">
        <f t="shared" si="5"/>
        <v>2</v>
      </c>
      <c r="H28" s="48">
        <f t="shared" si="6"/>
        <v>3</v>
      </c>
      <c r="I28" s="48">
        <f t="shared" si="7"/>
        <v>2</v>
      </c>
      <c r="J28" s="48">
        <f t="shared" si="8"/>
        <v>3</v>
      </c>
      <c r="K28" s="49">
        <f t="shared" si="9"/>
        <v>3</v>
      </c>
      <c r="L28" s="49">
        <f t="shared" si="10"/>
        <v>9</v>
      </c>
      <c r="M28" s="124" t="s">
        <v>148</v>
      </c>
      <c r="N28" s="125" t="s">
        <v>100</v>
      </c>
      <c r="O28" s="126" t="s">
        <v>100</v>
      </c>
      <c r="P28" s="122" t="s">
        <v>82</v>
      </c>
      <c r="Q28" s="123" t="s">
        <v>82</v>
      </c>
      <c r="R28" s="123" t="s">
        <v>82</v>
      </c>
      <c r="S28" s="123" t="s">
        <v>82</v>
      </c>
      <c r="T28" s="9" t="s">
        <v>155</v>
      </c>
      <c r="U28" s="9">
        <v>1</v>
      </c>
      <c r="V28" s="172" t="s">
        <v>207</v>
      </c>
      <c r="W28" s="9">
        <v>3</v>
      </c>
      <c r="X28" s="8" t="s">
        <v>156</v>
      </c>
      <c r="Y28" s="23">
        <f t="shared" si="11"/>
        <v>9</v>
      </c>
      <c r="Z28" s="66"/>
    </row>
    <row r="29" spans="1:28" ht="62">
      <c r="A29" s="47" t="str">
        <f t="shared" si="12"/>
        <v>材1-1-PE-01</v>
      </c>
      <c r="B29" s="48">
        <f t="shared" si="0"/>
        <v>0</v>
      </c>
      <c r="C29" s="48" t="str">
        <f t="shared" si="1"/>
        <v>計畫主持人</v>
      </c>
      <c r="D29" s="48" t="str">
        <f t="shared" si="2"/>
        <v>計畫主持人:吳榮正</v>
      </c>
      <c r="E29" s="48" t="str">
        <f t="shared" si="3"/>
        <v>1</v>
      </c>
      <c r="F29" s="48" t="str">
        <f t="shared" si="4"/>
        <v>吳榮正</v>
      </c>
      <c r="G29" s="48">
        <f t="shared" si="5"/>
        <v>2</v>
      </c>
      <c r="H29" s="48">
        <f t="shared" si="6"/>
        <v>3</v>
      </c>
      <c r="I29" s="48">
        <f t="shared" si="7"/>
        <v>2</v>
      </c>
      <c r="J29" s="48">
        <f t="shared" si="8"/>
        <v>3</v>
      </c>
      <c r="K29" s="49">
        <f t="shared" si="9"/>
        <v>3</v>
      </c>
      <c r="L29" s="49">
        <f t="shared" si="10"/>
        <v>9</v>
      </c>
      <c r="M29" s="119" t="s">
        <v>100</v>
      </c>
      <c r="N29" s="120" t="s">
        <v>100</v>
      </c>
      <c r="O29" s="121" t="s">
        <v>100</v>
      </c>
      <c r="P29" s="122" t="s">
        <v>101</v>
      </c>
      <c r="Q29" s="123" t="s">
        <v>101</v>
      </c>
      <c r="R29" s="123" t="s">
        <v>101</v>
      </c>
      <c r="S29" s="123" t="s">
        <v>101</v>
      </c>
      <c r="T29" s="9" t="s">
        <v>155</v>
      </c>
      <c r="U29" s="9">
        <v>1</v>
      </c>
      <c r="V29" s="8" t="s">
        <v>164</v>
      </c>
      <c r="W29" s="9">
        <v>3</v>
      </c>
      <c r="X29" s="8" t="s">
        <v>156</v>
      </c>
      <c r="Y29" s="23">
        <f t="shared" si="11"/>
        <v>9</v>
      </c>
      <c r="Z29" s="66"/>
    </row>
    <row r="30" spans="1:28" ht="62">
      <c r="A30" s="47" t="str">
        <f t="shared" si="12"/>
        <v>材1-1-PE-01</v>
      </c>
      <c r="B30" s="48">
        <f t="shared" si="0"/>
        <v>0</v>
      </c>
      <c r="C30" s="48" t="str">
        <f t="shared" si="1"/>
        <v>計畫主持人</v>
      </c>
      <c r="D30" s="48" t="str">
        <f t="shared" si="2"/>
        <v>計畫主持人:吳榮正</v>
      </c>
      <c r="E30" s="48" t="str">
        <f t="shared" si="3"/>
        <v>1</v>
      </c>
      <c r="F30" s="48" t="str">
        <f t="shared" si="4"/>
        <v>吳榮正</v>
      </c>
      <c r="G30" s="48">
        <f t="shared" si="5"/>
        <v>2</v>
      </c>
      <c r="H30" s="48">
        <f t="shared" si="6"/>
        <v>3</v>
      </c>
      <c r="I30" s="48">
        <f t="shared" si="7"/>
        <v>2</v>
      </c>
      <c r="J30" s="48">
        <f t="shared" si="8"/>
        <v>3</v>
      </c>
      <c r="K30" s="49">
        <f t="shared" si="9"/>
        <v>3</v>
      </c>
      <c r="L30" s="49">
        <f t="shared" si="10"/>
        <v>9</v>
      </c>
      <c r="M30" s="124" t="s">
        <v>149</v>
      </c>
      <c r="N30" s="125" t="s">
        <v>102</v>
      </c>
      <c r="O30" s="126" t="s">
        <v>102</v>
      </c>
      <c r="P30" s="122" t="s">
        <v>103</v>
      </c>
      <c r="Q30" s="123" t="s">
        <v>103</v>
      </c>
      <c r="R30" s="123" t="s">
        <v>103</v>
      </c>
      <c r="S30" s="123" t="s">
        <v>103</v>
      </c>
      <c r="T30" s="9" t="s">
        <v>80</v>
      </c>
      <c r="U30" s="9">
        <v>1</v>
      </c>
      <c r="V30" s="8" t="s">
        <v>165</v>
      </c>
      <c r="W30" s="9">
        <v>3</v>
      </c>
      <c r="X30" s="8" t="s">
        <v>156</v>
      </c>
      <c r="Y30" s="23">
        <f t="shared" si="11"/>
        <v>9</v>
      </c>
      <c r="Z30" s="66"/>
    </row>
    <row r="31" spans="1:28" ht="62">
      <c r="A31" s="47" t="str">
        <f t="shared" si="12"/>
        <v>材1-1-PE-01</v>
      </c>
      <c r="B31" s="48">
        <f t="shared" si="0"/>
        <v>0</v>
      </c>
      <c r="C31" s="48" t="str">
        <f t="shared" si="1"/>
        <v>計畫主持人</v>
      </c>
      <c r="D31" s="48" t="str">
        <f t="shared" si="2"/>
        <v>計畫主持人:吳榮正</v>
      </c>
      <c r="E31" s="48" t="str">
        <f t="shared" si="3"/>
        <v>1</v>
      </c>
      <c r="F31" s="48" t="str">
        <f t="shared" si="4"/>
        <v>吳榮正</v>
      </c>
      <c r="G31" s="48">
        <f t="shared" si="5"/>
        <v>2</v>
      </c>
      <c r="H31" s="48">
        <f t="shared" si="6"/>
        <v>3</v>
      </c>
      <c r="I31" s="48">
        <f t="shared" si="7"/>
        <v>2</v>
      </c>
      <c r="J31" s="48">
        <f t="shared" si="8"/>
        <v>3</v>
      </c>
      <c r="K31" s="49">
        <f t="shared" si="9"/>
        <v>3</v>
      </c>
      <c r="L31" s="49">
        <f t="shared" si="10"/>
        <v>9</v>
      </c>
      <c r="M31" s="119" t="s">
        <v>102</v>
      </c>
      <c r="N31" s="120" t="s">
        <v>102</v>
      </c>
      <c r="O31" s="121" t="s">
        <v>102</v>
      </c>
      <c r="P31" s="122" t="s">
        <v>91</v>
      </c>
      <c r="Q31" s="123" t="s">
        <v>91</v>
      </c>
      <c r="R31" s="123" t="s">
        <v>91</v>
      </c>
      <c r="S31" s="123" t="s">
        <v>91</v>
      </c>
      <c r="T31" s="9" t="s">
        <v>155</v>
      </c>
      <c r="U31" s="9">
        <v>1</v>
      </c>
      <c r="V31" s="8" t="s">
        <v>166</v>
      </c>
      <c r="W31" s="9">
        <v>3</v>
      </c>
      <c r="X31" s="8" t="s">
        <v>156</v>
      </c>
      <c r="Y31" s="23">
        <f t="shared" si="11"/>
        <v>9</v>
      </c>
      <c r="Z31" s="66"/>
    </row>
    <row r="32" spans="1:28" ht="62">
      <c r="A32" s="47" t="str">
        <f t="shared" si="12"/>
        <v>材1-1-PE-01</v>
      </c>
      <c r="B32" s="48">
        <f t="shared" si="0"/>
        <v>0</v>
      </c>
      <c r="C32" s="48" t="str">
        <f t="shared" si="1"/>
        <v>計畫主持人</v>
      </c>
      <c r="D32" s="48" t="str">
        <f t="shared" si="2"/>
        <v>計畫主持人:吳榮正</v>
      </c>
      <c r="E32" s="48" t="str">
        <f t="shared" si="3"/>
        <v>1</v>
      </c>
      <c r="F32" s="48" t="str">
        <f t="shared" si="4"/>
        <v>吳榮正</v>
      </c>
      <c r="G32" s="48">
        <f t="shared" si="5"/>
        <v>2</v>
      </c>
      <c r="H32" s="48">
        <f t="shared" si="6"/>
        <v>3</v>
      </c>
      <c r="I32" s="48">
        <f t="shared" si="7"/>
        <v>2</v>
      </c>
      <c r="J32" s="48">
        <f t="shared" si="8"/>
        <v>3</v>
      </c>
      <c r="K32" s="49">
        <f t="shared" si="9"/>
        <v>3</v>
      </c>
      <c r="L32" s="49">
        <f t="shared" si="10"/>
        <v>9</v>
      </c>
      <c r="M32" s="119" t="s">
        <v>102</v>
      </c>
      <c r="N32" s="120" t="s">
        <v>102</v>
      </c>
      <c r="O32" s="121" t="s">
        <v>102</v>
      </c>
      <c r="P32" s="122" t="s">
        <v>82</v>
      </c>
      <c r="Q32" s="123" t="s">
        <v>82</v>
      </c>
      <c r="R32" s="123" t="s">
        <v>82</v>
      </c>
      <c r="S32" s="123" t="s">
        <v>82</v>
      </c>
      <c r="T32" s="9" t="s">
        <v>155</v>
      </c>
      <c r="U32" s="9">
        <v>1</v>
      </c>
      <c r="V32" s="172" t="s">
        <v>207</v>
      </c>
      <c r="W32" s="9">
        <v>3</v>
      </c>
      <c r="X32" s="8" t="s">
        <v>156</v>
      </c>
      <c r="Y32" s="23">
        <f t="shared" si="11"/>
        <v>9</v>
      </c>
      <c r="Z32" s="66"/>
    </row>
    <row r="33" spans="1:26">
      <c r="A33" s="47" t="str">
        <f t="shared" si="12"/>
        <v>材1-1-PE-01</v>
      </c>
      <c r="B33" s="48">
        <f t="shared" si="0"/>
        <v>0</v>
      </c>
      <c r="C33" s="48" t="str">
        <f t="shared" si="1"/>
        <v>計畫主持人</v>
      </c>
      <c r="D33" s="48" t="str">
        <f t="shared" si="2"/>
        <v>計畫主持人:吳榮正</v>
      </c>
      <c r="E33" s="48" t="str">
        <f t="shared" si="3"/>
        <v>1</v>
      </c>
      <c r="F33" s="48" t="str">
        <f t="shared" si="4"/>
        <v>吳榮正</v>
      </c>
      <c r="G33" s="48">
        <f t="shared" si="5"/>
        <v>2</v>
      </c>
      <c r="H33" s="48">
        <f t="shared" si="6"/>
        <v>3</v>
      </c>
      <c r="I33" s="48">
        <f t="shared" si="7"/>
        <v>2</v>
      </c>
      <c r="J33" s="48">
        <f t="shared" si="8"/>
        <v>3</v>
      </c>
      <c r="K33" s="49">
        <f t="shared" si="9"/>
        <v>3</v>
      </c>
      <c r="L33" s="49">
        <f t="shared" si="10"/>
        <v>9</v>
      </c>
      <c r="M33" s="124" t="s">
        <v>105</v>
      </c>
      <c r="N33" s="125"/>
      <c r="O33" s="126"/>
      <c r="P33" s="122" t="s">
        <v>104</v>
      </c>
      <c r="Q33" s="123"/>
      <c r="R33" s="123"/>
      <c r="S33" s="123"/>
      <c r="T33" s="9" t="s">
        <v>190</v>
      </c>
      <c r="U33" s="9"/>
      <c r="V33" s="8"/>
      <c r="W33" s="9"/>
      <c r="X33" s="8"/>
      <c r="Y33" s="23" t="str">
        <f t="shared" si="11"/>
        <v>不適用</v>
      </c>
      <c r="Z33" s="66"/>
    </row>
    <row r="34" spans="1:26">
      <c r="A34" s="47" t="str">
        <f t="shared" si="12"/>
        <v>材1-1-PE-01</v>
      </c>
      <c r="B34" s="48">
        <f t="shared" si="0"/>
        <v>0</v>
      </c>
      <c r="C34" s="48" t="str">
        <f t="shared" si="1"/>
        <v>計畫主持人</v>
      </c>
      <c r="D34" s="48" t="str">
        <f t="shared" si="2"/>
        <v>計畫主持人:吳榮正</v>
      </c>
      <c r="E34" s="48" t="str">
        <f t="shared" si="3"/>
        <v>1</v>
      </c>
      <c r="F34" s="48" t="str">
        <f t="shared" si="4"/>
        <v>吳榮正</v>
      </c>
      <c r="G34" s="48">
        <f t="shared" si="5"/>
        <v>2</v>
      </c>
      <c r="H34" s="48">
        <f t="shared" si="6"/>
        <v>3</v>
      </c>
      <c r="I34" s="48">
        <f t="shared" si="7"/>
        <v>2</v>
      </c>
      <c r="J34" s="48">
        <f t="shared" si="8"/>
        <v>3</v>
      </c>
      <c r="K34" s="49">
        <f t="shared" si="9"/>
        <v>3</v>
      </c>
      <c r="L34" s="49">
        <f t="shared" si="10"/>
        <v>9</v>
      </c>
      <c r="M34" s="127" t="s">
        <v>105</v>
      </c>
      <c r="N34" s="128"/>
      <c r="O34" s="129"/>
      <c r="P34" s="122" t="s">
        <v>106</v>
      </c>
      <c r="Q34" s="123"/>
      <c r="R34" s="123"/>
      <c r="S34" s="123"/>
      <c r="T34" s="9" t="s">
        <v>109</v>
      </c>
      <c r="U34" s="9"/>
      <c r="V34" s="8"/>
      <c r="W34" s="9"/>
      <c r="X34" s="8"/>
      <c r="Y34" s="23" t="str">
        <f t="shared" si="11"/>
        <v>不適用</v>
      </c>
      <c r="Z34" s="66"/>
    </row>
    <row r="35" spans="1:26" ht="31">
      <c r="A35" s="47" t="str">
        <f>$N$3</f>
        <v>材1-1-PE-01</v>
      </c>
      <c r="B35" s="48">
        <f t="shared" si="0"/>
        <v>0</v>
      </c>
      <c r="C35" s="48" t="str">
        <f t="shared" si="1"/>
        <v>計畫主持人</v>
      </c>
      <c r="D35" s="48" t="str">
        <f t="shared" si="2"/>
        <v>計畫主持人:吳榮正</v>
      </c>
      <c r="E35" s="48" t="str">
        <f t="shared" si="3"/>
        <v>1</v>
      </c>
      <c r="F35" s="48" t="str">
        <f t="shared" si="4"/>
        <v>吳榮正</v>
      </c>
      <c r="G35" s="48">
        <f t="shared" si="5"/>
        <v>2</v>
      </c>
      <c r="H35" s="48">
        <f t="shared" si="6"/>
        <v>3</v>
      </c>
      <c r="I35" s="48">
        <f t="shared" si="7"/>
        <v>2</v>
      </c>
      <c r="J35" s="48">
        <f t="shared" si="8"/>
        <v>3</v>
      </c>
      <c r="K35" s="49">
        <f t="shared" si="9"/>
        <v>3</v>
      </c>
      <c r="L35" s="49">
        <f t="shared" si="10"/>
        <v>9</v>
      </c>
      <c r="M35" s="130" t="s">
        <v>192</v>
      </c>
      <c r="N35" s="131"/>
      <c r="O35" s="132"/>
      <c r="P35" s="133" t="s">
        <v>193</v>
      </c>
      <c r="Q35" s="134"/>
      <c r="R35" s="134"/>
      <c r="S35" s="122"/>
      <c r="T35" s="9" t="s">
        <v>80</v>
      </c>
      <c r="U35" s="9">
        <v>1</v>
      </c>
      <c r="V35" s="8" t="s">
        <v>194</v>
      </c>
      <c r="W35" s="9">
        <v>2</v>
      </c>
      <c r="X35" s="8" t="s">
        <v>195</v>
      </c>
      <c r="Y35" s="23">
        <f t="shared" si="11"/>
        <v>6</v>
      </c>
      <c r="Z35" s="66"/>
    </row>
    <row r="36" spans="1:26" ht="46.5">
      <c r="A36" s="47" t="str">
        <f>$N$3</f>
        <v>材1-1-PE-01</v>
      </c>
      <c r="B36" s="48">
        <f t="shared" si="0"/>
        <v>0</v>
      </c>
      <c r="C36" s="48" t="str">
        <f t="shared" si="1"/>
        <v>計畫主持人</v>
      </c>
      <c r="D36" s="48" t="str">
        <f t="shared" si="2"/>
        <v>計畫主持人:吳榮正</v>
      </c>
      <c r="E36" s="48" t="str">
        <f t="shared" si="3"/>
        <v>1</v>
      </c>
      <c r="F36" s="48" t="str">
        <f t="shared" si="4"/>
        <v>吳榮正</v>
      </c>
      <c r="G36" s="48">
        <f t="shared" si="5"/>
        <v>2</v>
      </c>
      <c r="H36" s="48">
        <f t="shared" si="6"/>
        <v>3</v>
      </c>
      <c r="I36" s="48">
        <f t="shared" si="7"/>
        <v>2</v>
      </c>
      <c r="J36" s="48">
        <f t="shared" si="8"/>
        <v>3</v>
      </c>
      <c r="K36" s="49">
        <f t="shared" si="9"/>
        <v>3</v>
      </c>
      <c r="L36" s="49">
        <f t="shared" si="10"/>
        <v>9</v>
      </c>
      <c r="M36" s="135"/>
      <c r="N36" s="136"/>
      <c r="O36" s="137"/>
      <c r="P36" s="133" t="s">
        <v>196</v>
      </c>
      <c r="Q36" s="134"/>
      <c r="R36" s="134"/>
      <c r="S36" s="122"/>
      <c r="T36" s="9" t="s">
        <v>80</v>
      </c>
      <c r="U36" s="9">
        <v>1</v>
      </c>
      <c r="V36" s="8" t="s">
        <v>194</v>
      </c>
      <c r="W36" s="9">
        <v>2</v>
      </c>
      <c r="X36" s="8" t="s">
        <v>197</v>
      </c>
      <c r="Y36" s="23">
        <f t="shared" si="11"/>
        <v>6</v>
      </c>
      <c r="Z36" s="66"/>
    </row>
    <row r="37" spans="1:26" ht="16" thickBot="1">
      <c r="A37" s="52" t="str">
        <f t="shared" si="12"/>
        <v>材1-1-PE-01</v>
      </c>
      <c r="B37" s="53">
        <f t="shared" si="0"/>
        <v>0</v>
      </c>
      <c r="C37" s="53" t="str">
        <f t="shared" si="1"/>
        <v>計畫主持人</v>
      </c>
      <c r="D37" s="53" t="str">
        <f t="shared" si="2"/>
        <v>計畫主持人:吳榮正</v>
      </c>
      <c r="E37" s="53" t="str">
        <f t="shared" si="3"/>
        <v>1</v>
      </c>
      <c r="F37" s="53" t="str">
        <f t="shared" si="4"/>
        <v>吳榮正</v>
      </c>
      <c r="G37" s="53">
        <f t="shared" si="5"/>
        <v>2</v>
      </c>
      <c r="H37" s="53">
        <f t="shared" si="6"/>
        <v>3</v>
      </c>
      <c r="I37" s="53">
        <f t="shared" si="7"/>
        <v>2</v>
      </c>
      <c r="J37" s="53">
        <f t="shared" si="8"/>
        <v>3</v>
      </c>
      <c r="K37" s="54">
        <f t="shared" si="9"/>
        <v>3</v>
      </c>
      <c r="L37" s="54">
        <f t="shared" si="10"/>
        <v>9</v>
      </c>
      <c r="M37" s="113" t="s">
        <v>107</v>
      </c>
      <c r="N37" s="114"/>
      <c r="O37" s="115"/>
      <c r="P37" s="116" t="s">
        <v>108</v>
      </c>
      <c r="Q37" s="117"/>
      <c r="R37" s="117"/>
      <c r="S37" s="118"/>
      <c r="T37" s="67" t="s">
        <v>109</v>
      </c>
      <c r="U37" s="67"/>
      <c r="V37" s="67"/>
      <c r="W37" s="67"/>
      <c r="X37" s="72"/>
      <c r="Y37" s="68" t="str">
        <f t="shared" ref="Y37" si="13">IF((T37="N"),"不適用",IF(COUNTA(U37,W37)&lt;2,"評鑑中",$S$2*U37*W37))</f>
        <v>不適用</v>
      </c>
      <c r="Z37" s="69"/>
    </row>
    <row r="42" spans="1:26">
      <c r="M42" s="7"/>
    </row>
  </sheetData>
  <sheetProtection formatCells="0" formatColumns="0" formatRows="0" insertColumns="0" insertRows="0" insertHyperlinks="0" deleteColumns="0" deleteRows="0" sort="0" autoFilter="0" pivotTables="0"/>
  <autoFilter ref="M10:Z10" xr:uid="{00000000-0009-0000-0000-000003000000}">
    <filterColumn colId="0" showButton="0"/>
    <filterColumn colId="1" showButton="0"/>
    <filterColumn colId="3" showButton="0"/>
    <filterColumn colId="4" showButton="0"/>
    <filterColumn colId="5" showButton="0"/>
  </autoFilter>
  <mergeCells count="63">
    <mergeCell ref="M15:O15"/>
    <mergeCell ref="P15:S15"/>
    <mergeCell ref="M16:O16"/>
    <mergeCell ref="P16:S16"/>
    <mergeCell ref="M1:Z1"/>
    <mergeCell ref="M11:O11"/>
    <mergeCell ref="P11:S11"/>
    <mergeCell ref="M12:O12"/>
    <mergeCell ref="M10:O10"/>
    <mergeCell ref="P10:S10"/>
    <mergeCell ref="N7:P7"/>
    <mergeCell ref="P12:S12"/>
    <mergeCell ref="M13:O13"/>
    <mergeCell ref="P13:S13"/>
    <mergeCell ref="M14:O14"/>
    <mergeCell ref="P14:S14"/>
    <mergeCell ref="N2:P2"/>
    <mergeCell ref="N3:P3"/>
    <mergeCell ref="N4:P4"/>
    <mergeCell ref="N5:P5"/>
    <mergeCell ref="N6:P6"/>
    <mergeCell ref="M17:O17"/>
    <mergeCell ref="P17:S17"/>
    <mergeCell ref="M18:O18"/>
    <mergeCell ref="P18:S18"/>
    <mergeCell ref="M19:O19"/>
    <mergeCell ref="P19:S19"/>
    <mergeCell ref="M20:O20"/>
    <mergeCell ref="P20:S20"/>
    <mergeCell ref="M21:O21"/>
    <mergeCell ref="P21:S21"/>
    <mergeCell ref="M22:O22"/>
    <mergeCell ref="P22:S22"/>
    <mergeCell ref="M23:O23"/>
    <mergeCell ref="P23:S23"/>
    <mergeCell ref="M24:O24"/>
    <mergeCell ref="P24:S24"/>
    <mergeCell ref="M25:O25"/>
    <mergeCell ref="P25:S25"/>
    <mergeCell ref="M26:O26"/>
    <mergeCell ref="P26:S26"/>
    <mergeCell ref="M27:O27"/>
    <mergeCell ref="P27:S27"/>
    <mergeCell ref="M28:O28"/>
    <mergeCell ref="P28:S28"/>
    <mergeCell ref="M29:O29"/>
    <mergeCell ref="P29:S29"/>
    <mergeCell ref="M30:O30"/>
    <mergeCell ref="P30:S30"/>
    <mergeCell ref="M31:O31"/>
    <mergeCell ref="P31:S31"/>
    <mergeCell ref="M37:O37"/>
    <mergeCell ref="P37:S37"/>
    <mergeCell ref="M32:O32"/>
    <mergeCell ref="P32:S32"/>
    <mergeCell ref="M33:O33"/>
    <mergeCell ref="P33:S33"/>
    <mergeCell ref="M34:O34"/>
    <mergeCell ref="P34:S34"/>
    <mergeCell ref="M35:O35"/>
    <mergeCell ref="P35:S35"/>
    <mergeCell ref="M36:O36"/>
    <mergeCell ref="P36:S36"/>
  </mergeCells>
  <phoneticPr fontId="1" type="noConversion"/>
  <dataValidations count="2">
    <dataValidation type="list" allowBlank="1" showInputMessage="1" showErrorMessage="1" sqref="WVX983053:WVX983076 JH5:JH7 TD5:TD7 ACZ5:ACZ7 AMV5:AMV7 AWR5:AWR7 BGN5:BGN7 BQJ5:BQJ7 CAF5:CAF7 CKB5:CKB7 CTX5:CTX7 DDT5:DDT7 DNP5:DNP7 DXL5:DXL7 EHH5:EHH7 ERD5:ERD7 FAZ5:FAZ7 FKV5:FKV7 FUR5:FUR7 GEN5:GEN7 GOJ5:GOJ7 GYF5:GYF7 HIB5:HIB7 HRX5:HRX7 IBT5:IBT7 ILP5:ILP7 IVL5:IVL7 JFH5:JFH7 JPD5:JPD7 JYZ5:JYZ7 KIV5:KIV7 KSR5:KSR7 LCN5:LCN7 LMJ5:LMJ7 LWF5:LWF7 MGB5:MGB7 MPX5:MPX7 MZT5:MZT7 NJP5:NJP7 NTL5:NTL7 ODH5:ODH7 OND5:OND7 OWZ5:OWZ7 PGV5:PGV7 PQR5:PQR7 QAN5:QAN7 QKJ5:QKJ7 QUF5:QUF7 REB5:REB7 RNX5:RNX7 RXT5:RXT7 SHP5:SHP7 SRL5:SRL7 TBH5:TBH7 TLD5:TLD7 TUZ5:TUZ7 UEV5:UEV7 UOR5:UOR7 UYN5:UYN7 VIJ5:VIJ7 VSF5:VSF7 WCB5:WCB7 WLX5:WLX7 WVT5:WVT7 S65543:S65545 JH65543:JH65545 TD65543:TD65545 ACZ65543:ACZ65545 AMV65543:AMV65545 AWR65543:AWR65545 BGN65543:BGN65545 BQJ65543:BQJ65545 CAF65543:CAF65545 CKB65543:CKB65545 CTX65543:CTX65545 DDT65543:DDT65545 DNP65543:DNP65545 DXL65543:DXL65545 EHH65543:EHH65545 ERD65543:ERD65545 FAZ65543:FAZ65545 FKV65543:FKV65545 FUR65543:FUR65545 GEN65543:GEN65545 GOJ65543:GOJ65545 GYF65543:GYF65545 HIB65543:HIB65545 HRX65543:HRX65545 IBT65543:IBT65545 ILP65543:ILP65545 IVL65543:IVL65545 JFH65543:JFH65545 JPD65543:JPD65545 JYZ65543:JYZ65545 KIV65543:KIV65545 KSR65543:KSR65545 LCN65543:LCN65545 LMJ65543:LMJ65545 LWF65543:LWF65545 MGB65543:MGB65545 MPX65543:MPX65545 MZT65543:MZT65545 NJP65543:NJP65545 NTL65543:NTL65545 ODH65543:ODH65545 OND65543:OND65545 OWZ65543:OWZ65545 PGV65543:PGV65545 PQR65543:PQR65545 QAN65543:QAN65545 QKJ65543:QKJ65545 QUF65543:QUF65545 REB65543:REB65545 RNX65543:RNX65545 RXT65543:RXT65545 SHP65543:SHP65545 SRL65543:SRL65545 TBH65543:TBH65545 TLD65543:TLD65545 TUZ65543:TUZ65545 UEV65543:UEV65545 UOR65543:UOR65545 UYN65543:UYN65545 VIJ65543:VIJ65545 VSF65543:VSF65545 WCB65543:WCB65545 WLX65543:WLX65545 WVT65543:WVT65545 S131079:S131081 JH131079:JH131081 TD131079:TD131081 ACZ131079:ACZ131081 AMV131079:AMV131081 AWR131079:AWR131081 BGN131079:BGN131081 BQJ131079:BQJ131081 CAF131079:CAF131081 CKB131079:CKB131081 CTX131079:CTX131081 DDT131079:DDT131081 DNP131079:DNP131081 DXL131079:DXL131081 EHH131079:EHH131081 ERD131079:ERD131081 FAZ131079:FAZ131081 FKV131079:FKV131081 FUR131079:FUR131081 GEN131079:GEN131081 GOJ131079:GOJ131081 GYF131079:GYF131081 HIB131079:HIB131081 HRX131079:HRX131081 IBT131079:IBT131081 ILP131079:ILP131081 IVL131079:IVL131081 JFH131079:JFH131081 JPD131079:JPD131081 JYZ131079:JYZ131081 KIV131079:KIV131081 KSR131079:KSR131081 LCN131079:LCN131081 LMJ131079:LMJ131081 LWF131079:LWF131081 MGB131079:MGB131081 MPX131079:MPX131081 MZT131079:MZT131081 NJP131079:NJP131081 NTL131079:NTL131081 ODH131079:ODH131081 OND131079:OND131081 OWZ131079:OWZ131081 PGV131079:PGV131081 PQR131079:PQR131081 QAN131079:QAN131081 QKJ131079:QKJ131081 QUF131079:QUF131081 REB131079:REB131081 RNX131079:RNX131081 RXT131079:RXT131081 SHP131079:SHP131081 SRL131079:SRL131081 TBH131079:TBH131081 TLD131079:TLD131081 TUZ131079:TUZ131081 UEV131079:UEV131081 UOR131079:UOR131081 UYN131079:UYN131081 VIJ131079:VIJ131081 VSF131079:VSF131081 WCB131079:WCB131081 WLX131079:WLX131081 WVT131079:WVT131081 S196615:S196617 JH196615:JH196617 TD196615:TD196617 ACZ196615:ACZ196617 AMV196615:AMV196617 AWR196615:AWR196617 BGN196615:BGN196617 BQJ196615:BQJ196617 CAF196615:CAF196617 CKB196615:CKB196617 CTX196615:CTX196617 DDT196615:DDT196617 DNP196615:DNP196617 DXL196615:DXL196617 EHH196615:EHH196617 ERD196615:ERD196617 FAZ196615:FAZ196617 FKV196615:FKV196617 FUR196615:FUR196617 GEN196615:GEN196617 GOJ196615:GOJ196617 GYF196615:GYF196617 HIB196615:HIB196617 HRX196615:HRX196617 IBT196615:IBT196617 ILP196615:ILP196617 IVL196615:IVL196617 JFH196615:JFH196617 JPD196615:JPD196617 JYZ196615:JYZ196617 KIV196615:KIV196617 KSR196615:KSR196617 LCN196615:LCN196617 LMJ196615:LMJ196617 LWF196615:LWF196617 MGB196615:MGB196617 MPX196615:MPX196617 MZT196615:MZT196617 NJP196615:NJP196617 NTL196615:NTL196617 ODH196615:ODH196617 OND196615:OND196617 OWZ196615:OWZ196617 PGV196615:PGV196617 PQR196615:PQR196617 QAN196615:QAN196617 QKJ196615:QKJ196617 QUF196615:QUF196617 REB196615:REB196617 RNX196615:RNX196617 RXT196615:RXT196617 SHP196615:SHP196617 SRL196615:SRL196617 TBH196615:TBH196617 TLD196615:TLD196617 TUZ196615:TUZ196617 UEV196615:UEV196617 UOR196615:UOR196617 UYN196615:UYN196617 VIJ196615:VIJ196617 VSF196615:VSF196617 WCB196615:WCB196617 WLX196615:WLX196617 WVT196615:WVT196617 S262151:S262153 JH262151:JH262153 TD262151:TD262153 ACZ262151:ACZ262153 AMV262151:AMV262153 AWR262151:AWR262153 BGN262151:BGN262153 BQJ262151:BQJ262153 CAF262151:CAF262153 CKB262151:CKB262153 CTX262151:CTX262153 DDT262151:DDT262153 DNP262151:DNP262153 DXL262151:DXL262153 EHH262151:EHH262153 ERD262151:ERD262153 FAZ262151:FAZ262153 FKV262151:FKV262153 FUR262151:FUR262153 GEN262151:GEN262153 GOJ262151:GOJ262153 GYF262151:GYF262153 HIB262151:HIB262153 HRX262151:HRX262153 IBT262151:IBT262153 ILP262151:ILP262153 IVL262151:IVL262153 JFH262151:JFH262153 JPD262151:JPD262153 JYZ262151:JYZ262153 KIV262151:KIV262153 KSR262151:KSR262153 LCN262151:LCN262153 LMJ262151:LMJ262153 LWF262151:LWF262153 MGB262151:MGB262153 MPX262151:MPX262153 MZT262151:MZT262153 NJP262151:NJP262153 NTL262151:NTL262153 ODH262151:ODH262153 OND262151:OND262153 OWZ262151:OWZ262153 PGV262151:PGV262153 PQR262151:PQR262153 QAN262151:QAN262153 QKJ262151:QKJ262153 QUF262151:QUF262153 REB262151:REB262153 RNX262151:RNX262153 RXT262151:RXT262153 SHP262151:SHP262153 SRL262151:SRL262153 TBH262151:TBH262153 TLD262151:TLD262153 TUZ262151:TUZ262153 UEV262151:UEV262153 UOR262151:UOR262153 UYN262151:UYN262153 VIJ262151:VIJ262153 VSF262151:VSF262153 WCB262151:WCB262153 WLX262151:WLX262153 WVT262151:WVT262153 S327687:S327689 JH327687:JH327689 TD327687:TD327689 ACZ327687:ACZ327689 AMV327687:AMV327689 AWR327687:AWR327689 BGN327687:BGN327689 BQJ327687:BQJ327689 CAF327687:CAF327689 CKB327687:CKB327689 CTX327687:CTX327689 DDT327687:DDT327689 DNP327687:DNP327689 DXL327687:DXL327689 EHH327687:EHH327689 ERD327687:ERD327689 FAZ327687:FAZ327689 FKV327687:FKV327689 FUR327687:FUR327689 GEN327687:GEN327689 GOJ327687:GOJ327689 GYF327687:GYF327689 HIB327687:HIB327689 HRX327687:HRX327689 IBT327687:IBT327689 ILP327687:ILP327689 IVL327687:IVL327689 JFH327687:JFH327689 JPD327687:JPD327689 JYZ327687:JYZ327689 KIV327687:KIV327689 KSR327687:KSR327689 LCN327687:LCN327689 LMJ327687:LMJ327689 LWF327687:LWF327689 MGB327687:MGB327689 MPX327687:MPX327689 MZT327687:MZT327689 NJP327687:NJP327689 NTL327687:NTL327689 ODH327687:ODH327689 OND327687:OND327689 OWZ327687:OWZ327689 PGV327687:PGV327689 PQR327687:PQR327689 QAN327687:QAN327689 QKJ327687:QKJ327689 QUF327687:QUF327689 REB327687:REB327689 RNX327687:RNX327689 RXT327687:RXT327689 SHP327687:SHP327689 SRL327687:SRL327689 TBH327687:TBH327689 TLD327687:TLD327689 TUZ327687:TUZ327689 UEV327687:UEV327689 UOR327687:UOR327689 UYN327687:UYN327689 VIJ327687:VIJ327689 VSF327687:VSF327689 WCB327687:WCB327689 WLX327687:WLX327689 WVT327687:WVT327689 S393223:S393225 JH393223:JH393225 TD393223:TD393225 ACZ393223:ACZ393225 AMV393223:AMV393225 AWR393223:AWR393225 BGN393223:BGN393225 BQJ393223:BQJ393225 CAF393223:CAF393225 CKB393223:CKB393225 CTX393223:CTX393225 DDT393223:DDT393225 DNP393223:DNP393225 DXL393223:DXL393225 EHH393223:EHH393225 ERD393223:ERD393225 FAZ393223:FAZ393225 FKV393223:FKV393225 FUR393223:FUR393225 GEN393223:GEN393225 GOJ393223:GOJ393225 GYF393223:GYF393225 HIB393223:HIB393225 HRX393223:HRX393225 IBT393223:IBT393225 ILP393223:ILP393225 IVL393223:IVL393225 JFH393223:JFH393225 JPD393223:JPD393225 JYZ393223:JYZ393225 KIV393223:KIV393225 KSR393223:KSR393225 LCN393223:LCN393225 LMJ393223:LMJ393225 LWF393223:LWF393225 MGB393223:MGB393225 MPX393223:MPX393225 MZT393223:MZT393225 NJP393223:NJP393225 NTL393223:NTL393225 ODH393223:ODH393225 OND393223:OND393225 OWZ393223:OWZ393225 PGV393223:PGV393225 PQR393223:PQR393225 QAN393223:QAN393225 QKJ393223:QKJ393225 QUF393223:QUF393225 REB393223:REB393225 RNX393223:RNX393225 RXT393223:RXT393225 SHP393223:SHP393225 SRL393223:SRL393225 TBH393223:TBH393225 TLD393223:TLD393225 TUZ393223:TUZ393225 UEV393223:UEV393225 UOR393223:UOR393225 UYN393223:UYN393225 VIJ393223:VIJ393225 VSF393223:VSF393225 WCB393223:WCB393225 WLX393223:WLX393225 WVT393223:WVT393225 S458759:S458761 JH458759:JH458761 TD458759:TD458761 ACZ458759:ACZ458761 AMV458759:AMV458761 AWR458759:AWR458761 BGN458759:BGN458761 BQJ458759:BQJ458761 CAF458759:CAF458761 CKB458759:CKB458761 CTX458759:CTX458761 DDT458759:DDT458761 DNP458759:DNP458761 DXL458759:DXL458761 EHH458759:EHH458761 ERD458759:ERD458761 FAZ458759:FAZ458761 FKV458759:FKV458761 FUR458759:FUR458761 GEN458759:GEN458761 GOJ458759:GOJ458761 GYF458759:GYF458761 HIB458759:HIB458761 HRX458759:HRX458761 IBT458759:IBT458761 ILP458759:ILP458761 IVL458759:IVL458761 JFH458759:JFH458761 JPD458759:JPD458761 JYZ458759:JYZ458761 KIV458759:KIV458761 KSR458759:KSR458761 LCN458759:LCN458761 LMJ458759:LMJ458761 LWF458759:LWF458761 MGB458759:MGB458761 MPX458759:MPX458761 MZT458759:MZT458761 NJP458759:NJP458761 NTL458759:NTL458761 ODH458759:ODH458761 OND458759:OND458761 OWZ458759:OWZ458761 PGV458759:PGV458761 PQR458759:PQR458761 QAN458759:QAN458761 QKJ458759:QKJ458761 QUF458759:QUF458761 REB458759:REB458761 RNX458759:RNX458761 RXT458759:RXT458761 SHP458759:SHP458761 SRL458759:SRL458761 TBH458759:TBH458761 TLD458759:TLD458761 TUZ458759:TUZ458761 UEV458759:UEV458761 UOR458759:UOR458761 UYN458759:UYN458761 VIJ458759:VIJ458761 VSF458759:VSF458761 WCB458759:WCB458761 WLX458759:WLX458761 WVT458759:WVT458761 S524295:S524297 JH524295:JH524297 TD524295:TD524297 ACZ524295:ACZ524297 AMV524295:AMV524297 AWR524295:AWR524297 BGN524295:BGN524297 BQJ524295:BQJ524297 CAF524295:CAF524297 CKB524295:CKB524297 CTX524295:CTX524297 DDT524295:DDT524297 DNP524295:DNP524297 DXL524295:DXL524297 EHH524295:EHH524297 ERD524295:ERD524297 FAZ524295:FAZ524297 FKV524295:FKV524297 FUR524295:FUR524297 GEN524295:GEN524297 GOJ524295:GOJ524297 GYF524295:GYF524297 HIB524295:HIB524297 HRX524295:HRX524297 IBT524295:IBT524297 ILP524295:ILP524297 IVL524295:IVL524297 JFH524295:JFH524297 JPD524295:JPD524297 JYZ524295:JYZ524297 KIV524295:KIV524297 KSR524295:KSR524297 LCN524295:LCN524297 LMJ524295:LMJ524297 LWF524295:LWF524297 MGB524295:MGB524297 MPX524295:MPX524297 MZT524295:MZT524297 NJP524295:NJP524297 NTL524295:NTL524297 ODH524295:ODH524297 OND524295:OND524297 OWZ524295:OWZ524297 PGV524295:PGV524297 PQR524295:PQR524297 QAN524295:QAN524297 QKJ524295:QKJ524297 QUF524295:QUF524297 REB524295:REB524297 RNX524295:RNX524297 RXT524295:RXT524297 SHP524295:SHP524297 SRL524295:SRL524297 TBH524295:TBH524297 TLD524295:TLD524297 TUZ524295:TUZ524297 UEV524295:UEV524297 UOR524295:UOR524297 UYN524295:UYN524297 VIJ524295:VIJ524297 VSF524295:VSF524297 WCB524295:WCB524297 WLX524295:WLX524297 WVT524295:WVT524297 S589831:S589833 JH589831:JH589833 TD589831:TD589833 ACZ589831:ACZ589833 AMV589831:AMV589833 AWR589831:AWR589833 BGN589831:BGN589833 BQJ589831:BQJ589833 CAF589831:CAF589833 CKB589831:CKB589833 CTX589831:CTX589833 DDT589831:DDT589833 DNP589831:DNP589833 DXL589831:DXL589833 EHH589831:EHH589833 ERD589831:ERD589833 FAZ589831:FAZ589833 FKV589831:FKV589833 FUR589831:FUR589833 GEN589831:GEN589833 GOJ589831:GOJ589833 GYF589831:GYF589833 HIB589831:HIB589833 HRX589831:HRX589833 IBT589831:IBT589833 ILP589831:ILP589833 IVL589831:IVL589833 JFH589831:JFH589833 JPD589831:JPD589833 JYZ589831:JYZ589833 KIV589831:KIV589833 KSR589831:KSR589833 LCN589831:LCN589833 LMJ589831:LMJ589833 LWF589831:LWF589833 MGB589831:MGB589833 MPX589831:MPX589833 MZT589831:MZT589833 NJP589831:NJP589833 NTL589831:NTL589833 ODH589831:ODH589833 OND589831:OND589833 OWZ589831:OWZ589833 PGV589831:PGV589833 PQR589831:PQR589833 QAN589831:QAN589833 QKJ589831:QKJ589833 QUF589831:QUF589833 REB589831:REB589833 RNX589831:RNX589833 RXT589831:RXT589833 SHP589831:SHP589833 SRL589831:SRL589833 TBH589831:TBH589833 TLD589831:TLD589833 TUZ589831:TUZ589833 UEV589831:UEV589833 UOR589831:UOR589833 UYN589831:UYN589833 VIJ589831:VIJ589833 VSF589831:VSF589833 WCB589831:WCB589833 WLX589831:WLX589833 WVT589831:WVT589833 S655367:S655369 JH655367:JH655369 TD655367:TD655369 ACZ655367:ACZ655369 AMV655367:AMV655369 AWR655367:AWR655369 BGN655367:BGN655369 BQJ655367:BQJ655369 CAF655367:CAF655369 CKB655367:CKB655369 CTX655367:CTX655369 DDT655367:DDT655369 DNP655367:DNP655369 DXL655367:DXL655369 EHH655367:EHH655369 ERD655367:ERD655369 FAZ655367:FAZ655369 FKV655367:FKV655369 FUR655367:FUR655369 GEN655367:GEN655369 GOJ655367:GOJ655369 GYF655367:GYF655369 HIB655367:HIB655369 HRX655367:HRX655369 IBT655367:IBT655369 ILP655367:ILP655369 IVL655367:IVL655369 JFH655367:JFH655369 JPD655367:JPD655369 JYZ655367:JYZ655369 KIV655367:KIV655369 KSR655367:KSR655369 LCN655367:LCN655369 LMJ655367:LMJ655369 LWF655367:LWF655369 MGB655367:MGB655369 MPX655367:MPX655369 MZT655367:MZT655369 NJP655367:NJP655369 NTL655367:NTL655369 ODH655367:ODH655369 OND655367:OND655369 OWZ655367:OWZ655369 PGV655367:PGV655369 PQR655367:PQR655369 QAN655367:QAN655369 QKJ655367:QKJ655369 QUF655367:QUF655369 REB655367:REB655369 RNX655367:RNX655369 RXT655367:RXT655369 SHP655367:SHP655369 SRL655367:SRL655369 TBH655367:TBH655369 TLD655367:TLD655369 TUZ655367:TUZ655369 UEV655367:UEV655369 UOR655367:UOR655369 UYN655367:UYN655369 VIJ655367:VIJ655369 VSF655367:VSF655369 WCB655367:WCB655369 WLX655367:WLX655369 WVT655367:WVT655369 S720903:S720905 JH720903:JH720905 TD720903:TD720905 ACZ720903:ACZ720905 AMV720903:AMV720905 AWR720903:AWR720905 BGN720903:BGN720905 BQJ720903:BQJ720905 CAF720903:CAF720905 CKB720903:CKB720905 CTX720903:CTX720905 DDT720903:DDT720905 DNP720903:DNP720905 DXL720903:DXL720905 EHH720903:EHH720905 ERD720903:ERD720905 FAZ720903:FAZ720905 FKV720903:FKV720905 FUR720903:FUR720905 GEN720903:GEN720905 GOJ720903:GOJ720905 GYF720903:GYF720905 HIB720903:HIB720905 HRX720903:HRX720905 IBT720903:IBT720905 ILP720903:ILP720905 IVL720903:IVL720905 JFH720903:JFH720905 JPD720903:JPD720905 JYZ720903:JYZ720905 KIV720903:KIV720905 KSR720903:KSR720905 LCN720903:LCN720905 LMJ720903:LMJ720905 LWF720903:LWF720905 MGB720903:MGB720905 MPX720903:MPX720905 MZT720903:MZT720905 NJP720903:NJP720905 NTL720903:NTL720905 ODH720903:ODH720905 OND720903:OND720905 OWZ720903:OWZ720905 PGV720903:PGV720905 PQR720903:PQR720905 QAN720903:QAN720905 QKJ720903:QKJ720905 QUF720903:QUF720905 REB720903:REB720905 RNX720903:RNX720905 RXT720903:RXT720905 SHP720903:SHP720905 SRL720903:SRL720905 TBH720903:TBH720905 TLD720903:TLD720905 TUZ720903:TUZ720905 UEV720903:UEV720905 UOR720903:UOR720905 UYN720903:UYN720905 VIJ720903:VIJ720905 VSF720903:VSF720905 WCB720903:WCB720905 WLX720903:WLX720905 WVT720903:WVT720905 S786439:S786441 JH786439:JH786441 TD786439:TD786441 ACZ786439:ACZ786441 AMV786439:AMV786441 AWR786439:AWR786441 BGN786439:BGN786441 BQJ786439:BQJ786441 CAF786439:CAF786441 CKB786439:CKB786441 CTX786439:CTX786441 DDT786439:DDT786441 DNP786439:DNP786441 DXL786439:DXL786441 EHH786439:EHH786441 ERD786439:ERD786441 FAZ786439:FAZ786441 FKV786439:FKV786441 FUR786439:FUR786441 GEN786439:GEN786441 GOJ786439:GOJ786441 GYF786439:GYF786441 HIB786439:HIB786441 HRX786439:HRX786441 IBT786439:IBT786441 ILP786439:ILP786441 IVL786439:IVL786441 JFH786439:JFH786441 JPD786439:JPD786441 JYZ786439:JYZ786441 KIV786439:KIV786441 KSR786439:KSR786441 LCN786439:LCN786441 LMJ786439:LMJ786441 LWF786439:LWF786441 MGB786439:MGB786441 MPX786439:MPX786441 MZT786439:MZT786441 NJP786439:NJP786441 NTL786439:NTL786441 ODH786439:ODH786441 OND786439:OND786441 OWZ786439:OWZ786441 PGV786439:PGV786441 PQR786439:PQR786441 QAN786439:QAN786441 QKJ786439:QKJ786441 QUF786439:QUF786441 REB786439:REB786441 RNX786439:RNX786441 RXT786439:RXT786441 SHP786439:SHP786441 SRL786439:SRL786441 TBH786439:TBH786441 TLD786439:TLD786441 TUZ786439:TUZ786441 UEV786439:UEV786441 UOR786439:UOR786441 UYN786439:UYN786441 VIJ786439:VIJ786441 VSF786439:VSF786441 WCB786439:WCB786441 WLX786439:WLX786441 WVT786439:WVT786441 S851975:S851977 JH851975:JH851977 TD851975:TD851977 ACZ851975:ACZ851977 AMV851975:AMV851977 AWR851975:AWR851977 BGN851975:BGN851977 BQJ851975:BQJ851977 CAF851975:CAF851977 CKB851975:CKB851977 CTX851975:CTX851977 DDT851975:DDT851977 DNP851975:DNP851977 DXL851975:DXL851977 EHH851975:EHH851977 ERD851975:ERD851977 FAZ851975:FAZ851977 FKV851975:FKV851977 FUR851975:FUR851977 GEN851975:GEN851977 GOJ851975:GOJ851977 GYF851975:GYF851977 HIB851975:HIB851977 HRX851975:HRX851977 IBT851975:IBT851977 ILP851975:ILP851977 IVL851975:IVL851977 JFH851975:JFH851977 JPD851975:JPD851977 JYZ851975:JYZ851977 KIV851975:KIV851977 KSR851975:KSR851977 LCN851975:LCN851977 LMJ851975:LMJ851977 LWF851975:LWF851977 MGB851975:MGB851977 MPX851975:MPX851977 MZT851975:MZT851977 NJP851975:NJP851977 NTL851975:NTL851977 ODH851975:ODH851977 OND851975:OND851977 OWZ851975:OWZ851977 PGV851975:PGV851977 PQR851975:PQR851977 QAN851975:QAN851977 QKJ851975:QKJ851977 QUF851975:QUF851977 REB851975:REB851977 RNX851975:RNX851977 RXT851975:RXT851977 SHP851975:SHP851977 SRL851975:SRL851977 TBH851975:TBH851977 TLD851975:TLD851977 TUZ851975:TUZ851977 UEV851975:UEV851977 UOR851975:UOR851977 UYN851975:UYN851977 VIJ851975:VIJ851977 VSF851975:VSF851977 WCB851975:WCB851977 WLX851975:WLX851977 WVT851975:WVT851977 S917511:S917513 JH917511:JH917513 TD917511:TD917513 ACZ917511:ACZ917513 AMV917511:AMV917513 AWR917511:AWR917513 BGN917511:BGN917513 BQJ917511:BQJ917513 CAF917511:CAF917513 CKB917511:CKB917513 CTX917511:CTX917513 DDT917511:DDT917513 DNP917511:DNP917513 DXL917511:DXL917513 EHH917511:EHH917513 ERD917511:ERD917513 FAZ917511:FAZ917513 FKV917511:FKV917513 FUR917511:FUR917513 GEN917511:GEN917513 GOJ917511:GOJ917513 GYF917511:GYF917513 HIB917511:HIB917513 HRX917511:HRX917513 IBT917511:IBT917513 ILP917511:ILP917513 IVL917511:IVL917513 JFH917511:JFH917513 JPD917511:JPD917513 JYZ917511:JYZ917513 KIV917511:KIV917513 KSR917511:KSR917513 LCN917511:LCN917513 LMJ917511:LMJ917513 LWF917511:LWF917513 MGB917511:MGB917513 MPX917511:MPX917513 MZT917511:MZT917513 NJP917511:NJP917513 NTL917511:NTL917513 ODH917511:ODH917513 OND917511:OND917513 OWZ917511:OWZ917513 PGV917511:PGV917513 PQR917511:PQR917513 QAN917511:QAN917513 QKJ917511:QKJ917513 QUF917511:QUF917513 REB917511:REB917513 RNX917511:RNX917513 RXT917511:RXT917513 SHP917511:SHP917513 SRL917511:SRL917513 TBH917511:TBH917513 TLD917511:TLD917513 TUZ917511:TUZ917513 UEV917511:UEV917513 UOR917511:UOR917513 UYN917511:UYN917513 VIJ917511:VIJ917513 VSF917511:VSF917513 WCB917511:WCB917513 WLX917511:WLX917513 WVT917511:WVT917513 S983047:S983049 JH983047:JH983049 TD983047:TD983049 ACZ983047:ACZ983049 AMV983047:AMV983049 AWR983047:AWR983049 BGN983047:BGN983049 BQJ983047:BQJ983049 CAF983047:CAF983049 CKB983047:CKB983049 CTX983047:CTX983049 DDT983047:DDT983049 DNP983047:DNP983049 DXL983047:DXL983049 EHH983047:EHH983049 ERD983047:ERD983049 FAZ983047:FAZ983049 FKV983047:FKV983049 FUR983047:FUR983049 GEN983047:GEN983049 GOJ983047:GOJ983049 GYF983047:GYF983049 HIB983047:HIB983049 HRX983047:HRX983049 IBT983047:IBT983049 ILP983047:ILP983049 IVL983047:IVL983049 JFH983047:JFH983049 JPD983047:JPD983049 JYZ983047:JYZ983049 KIV983047:KIV983049 KSR983047:KSR983049 LCN983047:LCN983049 LMJ983047:LMJ983049 LWF983047:LWF983049 MGB983047:MGB983049 MPX983047:MPX983049 MZT983047:MZT983049 NJP983047:NJP983049 NTL983047:NTL983049 ODH983047:ODH983049 OND983047:OND983049 OWZ983047:OWZ983049 PGV983047:PGV983049 PQR983047:PQR983049 QAN983047:QAN983049 QKJ983047:QKJ983049 QUF983047:QUF983049 REB983047:REB983049 RNX983047:RNX983049 RXT983047:RXT983049 SHP983047:SHP983049 SRL983047:SRL983049 TBH983047:TBH983049 TLD983047:TLD983049 TUZ983047:TUZ983049 UEV983047:UEV983049 UOR983047:UOR983049 UYN983047:UYN983049 VIJ983047:VIJ983049 VSF983047:VSF983049 WCB983047:WCB983049 WLX983047:WLX983049 WVT983047:WVT983049 U65549:U65572 JJ65549:JJ65572 TF65549:TF65572 ADB65549:ADB65572 AMX65549:AMX65572 AWT65549:AWT65572 BGP65549:BGP65572 BQL65549:BQL65572 CAH65549:CAH65572 CKD65549:CKD65572 CTZ65549:CTZ65572 DDV65549:DDV65572 DNR65549:DNR65572 DXN65549:DXN65572 EHJ65549:EHJ65572 ERF65549:ERF65572 FBB65549:FBB65572 FKX65549:FKX65572 FUT65549:FUT65572 GEP65549:GEP65572 GOL65549:GOL65572 GYH65549:GYH65572 HID65549:HID65572 HRZ65549:HRZ65572 IBV65549:IBV65572 ILR65549:ILR65572 IVN65549:IVN65572 JFJ65549:JFJ65572 JPF65549:JPF65572 JZB65549:JZB65572 KIX65549:KIX65572 KST65549:KST65572 LCP65549:LCP65572 LML65549:LML65572 LWH65549:LWH65572 MGD65549:MGD65572 MPZ65549:MPZ65572 MZV65549:MZV65572 NJR65549:NJR65572 NTN65549:NTN65572 ODJ65549:ODJ65572 ONF65549:ONF65572 OXB65549:OXB65572 PGX65549:PGX65572 PQT65549:PQT65572 QAP65549:QAP65572 QKL65549:QKL65572 QUH65549:QUH65572 RED65549:RED65572 RNZ65549:RNZ65572 RXV65549:RXV65572 SHR65549:SHR65572 SRN65549:SRN65572 TBJ65549:TBJ65572 TLF65549:TLF65572 TVB65549:TVB65572 UEX65549:UEX65572 UOT65549:UOT65572 UYP65549:UYP65572 VIL65549:VIL65572 VSH65549:VSH65572 WCD65549:WCD65572 WLZ65549:WLZ65572 WVV65549:WVV65572 U131085:U131108 JJ131085:JJ131108 TF131085:TF131108 ADB131085:ADB131108 AMX131085:AMX131108 AWT131085:AWT131108 BGP131085:BGP131108 BQL131085:BQL131108 CAH131085:CAH131108 CKD131085:CKD131108 CTZ131085:CTZ131108 DDV131085:DDV131108 DNR131085:DNR131108 DXN131085:DXN131108 EHJ131085:EHJ131108 ERF131085:ERF131108 FBB131085:FBB131108 FKX131085:FKX131108 FUT131085:FUT131108 GEP131085:GEP131108 GOL131085:GOL131108 GYH131085:GYH131108 HID131085:HID131108 HRZ131085:HRZ131108 IBV131085:IBV131108 ILR131085:ILR131108 IVN131085:IVN131108 JFJ131085:JFJ131108 JPF131085:JPF131108 JZB131085:JZB131108 KIX131085:KIX131108 KST131085:KST131108 LCP131085:LCP131108 LML131085:LML131108 LWH131085:LWH131108 MGD131085:MGD131108 MPZ131085:MPZ131108 MZV131085:MZV131108 NJR131085:NJR131108 NTN131085:NTN131108 ODJ131085:ODJ131108 ONF131085:ONF131108 OXB131085:OXB131108 PGX131085:PGX131108 PQT131085:PQT131108 QAP131085:QAP131108 QKL131085:QKL131108 QUH131085:QUH131108 RED131085:RED131108 RNZ131085:RNZ131108 RXV131085:RXV131108 SHR131085:SHR131108 SRN131085:SRN131108 TBJ131085:TBJ131108 TLF131085:TLF131108 TVB131085:TVB131108 UEX131085:UEX131108 UOT131085:UOT131108 UYP131085:UYP131108 VIL131085:VIL131108 VSH131085:VSH131108 WCD131085:WCD131108 WLZ131085:WLZ131108 WVV131085:WVV131108 U196621:U196644 JJ196621:JJ196644 TF196621:TF196644 ADB196621:ADB196644 AMX196621:AMX196644 AWT196621:AWT196644 BGP196621:BGP196644 BQL196621:BQL196644 CAH196621:CAH196644 CKD196621:CKD196644 CTZ196621:CTZ196644 DDV196621:DDV196644 DNR196621:DNR196644 DXN196621:DXN196644 EHJ196621:EHJ196644 ERF196621:ERF196644 FBB196621:FBB196644 FKX196621:FKX196644 FUT196621:FUT196644 GEP196621:GEP196644 GOL196621:GOL196644 GYH196621:GYH196644 HID196621:HID196644 HRZ196621:HRZ196644 IBV196621:IBV196644 ILR196621:ILR196644 IVN196621:IVN196644 JFJ196621:JFJ196644 JPF196621:JPF196644 JZB196621:JZB196644 KIX196621:KIX196644 KST196621:KST196644 LCP196621:LCP196644 LML196621:LML196644 LWH196621:LWH196644 MGD196621:MGD196644 MPZ196621:MPZ196644 MZV196621:MZV196644 NJR196621:NJR196644 NTN196621:NTN196644 ODJ196621:ODJ196644 ONF196621:ONF196644 OXB196621:OXB196644 PGX196621:PGX196644 PQT196621:PQT196644 QAP196621:QAP196644 QKL196621:QKL196644 QUH196621:QUH196644 RED196621:RED196644 RNZ196621:RNZ196644 RXV196621:RXV196644 SHR196621:SHR196644 SRN196621:SRN196644 TBJ196621:TBJ196644 TLF196621:TLF196644 TVB196621:TVB196644 UEX196621:UEX196644 UOT196621:UOT196644 UYP196621:UYP196644 VIL196621:VIL196644 VSH196621:VSH196644 WCD196621:WCD196644 WLZ196621:WLZ196644 WVV196621:WVV196644 U262157:U262180 JJ262157:JJ262180 TF262157:TF262180 ADB262157:ADB262180 AMX262157:AMX262180 AWT262157:AWT262180 BGP262157:BGP262180 BQL262157:BQL262180 CAH262157:CAH262180 CKD262157:CKD262180 CTZ262157:CTZ262180 DDV262157:DDV262180 DNR262157:DNR262180 DXN262157:DXN262180 EHJ262157:EHJ262180 ERF262157:ERF262180 FBB262157:FBB262180 FKX262157:FKX262180 FUT262157:FUT262180 GEP262157:GEP262180 GOL262157:GOL262180 GYH262157:GYH262180 HID262157:HID262180 HRZ262157:HRZ262180 IBV262157:IBV262180 ILR262157:ILR262180 IVN262157:IVN262180 JFJ262157:JFJ262180 JPF262157:JPF262180 JZB262157:JZB262180 KIX262157:KIX262180 KST262157:KST262180 LCP262157:LCP262180 LML262157:LML262180 LWH262157:LWH262180 MGD262157:MGD262180 MPZ262157:MPZ262180 MZV262157:MZV262180 NJR262157:NJR262180 NTN262157:NTN262180 ODJ262157:ODJ262180 ONF262157:ONF262180 OXB262157:OXB262180 PGX262157:PGX262180 PQT262157:PQT262180 QAP262157:QAP262180 QKL262157:QKL262180 QUH262157:QUH262180 RED262157:RED262180 RNZ262157:RNZ262180 RXV262157:RXV262180 SHR262157:SHR262180 SRN262157:SRN262180 TBJ262157:TBJ262180 TLF262157:TLF262180 TVB262157:TVB262180 UEX262157:UEX262180 UOT262157:UOT262180 UYP262157:UYP262180 VIL262157:VIL262180 VSH262157:VSH262180 WCD262157:WCD262180 WLZ262157:WLZ262180 WVV262157:WVV262180 U327693:U327716 JJ327693:JJ327716 TF327693:TF327716 ADB327693:ADB327716 AMX327693:AMX327716 AWT327693:AWT327716 BGP327693:BGP327716 BQL327693:BQL327716 CAH327693:CAH327716 CKD327693:CKD327716 CTZ327693:CTZ327716 DDV327693:DDV327716 DNR327693:DNR327716 DXN327693:DXN327716 EHJ327693:EHJ327716 ERF327693:ERF327716 FBB327693:FBB327716 FKX327693:FKX327716 FUT327693:FUT327716 GEP327693:GEP327716 GOL327693:GOL327716 GYH327693:GYH327716 HID327693:HID327716 HRZ327693:HRZ327716 IBV327693:IBV327716 ILR327693:ILR327716 IVN327693:IVN327716 JFJ327693:JFJ327716 JPF327693:JPF327716 JZB327693:JZB327716 KIX327693:KIX327716 KST327693:KST327716 LCP327693:LCP327716 LML327693:LML327716 LWH327693:LWH327716 MGD327693:MGD327716 MPZ327693:MPZ327716 MZV327693:MZV327716 NJR327693:NJR327716 NTN327693:NTN327716 ODJ327693:ODJ327716 ONF327693:ONF327716 OXB327693:OXB327716 PGX327693:PGX327716 PQT327693:PQT327716 QAP327693:QAP327716 QKL327693:QKL327716 QUH327693:QUH327716 RED327693:RED327716 RNZ327693:RNZ327716 RXV327693:RXV327716 SHR327693:SHR327716 SRN327693:SRN327716 TBJ327693:TBJ327716 TLF327693:TLF327716 TVB327693:TVB327716 UEX327693:UEX327716 UOT327693:UOT327716 UYP327693:UYP327716 VIL327693:VIL327716 VSH327693:VSH327716 WCD327693:WCD327716 WLZ327693:WLZ327716 WVV327693:WVV327716 U393229:U393252 JJ393229:JJ393252 TF393229:TF393252 ADB393229:ADB393252 AMX393229:AMX393252 AWT393229:AWT393252 BGP393229:BGP393252 BQL393229:BQL393252 CAH393229:CAH393252 CKD393229:CKD393252 CTZ393229:CTZ393252 DDV393229:DDV393252 DNR393229:DNR393252 DXN393229:DXN393252 EHJ393229:EHJ393252 ERF393229:ERF393252 FBB393229:FBB393252 FKX393229:FKX393252 FUT393229:FUT393252 GEP393229:GEP393252 GOL393229:GOL393252 GYH393229:GYH393252 HID393229:HID393252 HRZ393229:HRZ393252 IBV393229:IBV393252 ILR393229:ILR393252 IVN393229:IVN393252 JFJ393229:JFJ393252 JPF393229:JPF393252 JZB393229:JZB393252 KIX393229:KIX393252 KST393229:KST393252 LCP393229:LCP393252 LML393229:LML393252 LWH393229:LWH393252 MGD393229:MGD393252 MPZ393229:MPZ393252 MZV393229:MZV393252 NJR393229:NJR393252 NTN393229:NTN393252 ODJ393229:ODJ393252 ONF393229:ONF393252 OXB393229:OXB393252 PGX393229:PGX393252 PQT393229:PQT393252 QAP393229:QAP393252 QKL393229:QKL393252 QUH393229:QUH393252 RED393229:RED393252 RNZ393229:RNZ393252 RXV393229:RXV393252 SHR393229:SHR393252 SRN393229:SRN393252 TBJ393229:TBJ393252 TLF393229:TLF393252 TVB393229:TVB393252 UEX393229:UEX393252 UOT393229:UOT393252 UYP393229:UYP393252 VIL393229:VIL393252 VSH393229:VSH393252 WCD393229:WCD393252 WLZ393229:WLZ393252 WVV393229:WVV393252 U458765:U458788 JJ458765:JJ458788 TF458765:TF458788 ADB458765:ADB458788 AMX458765:AMX458788 AWT458765:AWT458788 BGP458765:BGP458788 BQL458765:BQL458788 CAH458765:CAH458788 CKD458765:CKD458788 CTZ458765:CTZ458788 DDV458765:DDV458788 DNR458765:DNR458788 DXN458765:DXN458788 EHJ458765:EHJ458788 ERF458765:ERF458788 FBB458765:FBB458788 FKX458765:FKX458788 FUT458765:FUT458788 GEP458765:GEP458788 GOL458765:GOL458788 GYH458765:GYH458788 HID458765:HID458788 HRZ458765:HRZ458788 IBV458765:IBV458788 ILR458765:ILR458788 IVN458765:IVN458788 JFJ458765:JFJ458788 JPF458765:JPF458788 JZB458765:JZB458788 KIX458765:KIX458788 KST458765:KST458788 LCP458765:LCP458788 LML458765:LML458788 LWH458765:LWH458788 MGD458765:MGD458788 MPZ458765:MPZ458788 MZV458765:MZV458788 NJR458765:NJR458788 NTN458765:NTN458788 ODJ458765:ODJ458788 ONF458765:ONF458788 OXB458765:OXB458788 PGX458765:PGX458788 PQT458765:PQT458788 QAP458765:QAP458788 QKL458765:QKL458788 QUH458765:QUH458788 RED458765:RED458788 RNZ458765:RNZ458788 RXV458765:RXV458788 SHR458765:SHR458788 SRN458765:SRN458788 TBJ458765:TBJ458788 TLF458765:TLF458788 TVB458765:TVB458788 UEX458765:UEX458788 UOT458765:UOT458788 UYP458765:UYP458788 VIL458765:VIL458788 VSH458765:VSH458788 WCD458765:WCD458788 WLZ458765:WLZ458788 WVV458765:WVV458788 U524301:U524324 JJ524301:JJ524324 TF524301:TF524324 ADB524301:ADB524324 AMX524301:AMX524324 AWT524301:AWT524324 BGP524301:BGP524324 BQL524301:BQL524324 CAH524301:CAH524324 CKD524301:CKD524324 CTZ524301:CTZ524324 DDV524301:DDV524324 DNR524301:DNR524324 DXN524301:DXN524324 EHJ524301:EHJ524324 ERF524301:ERF524324 FBB524301:FBB524324 FKX524301:FKX524324 FUT524301:FUT524324 GEP524301:GEP524324 GOL524301:GOL524324 GYH524301:GYH524324 HID524301:HID524324 HRZ524301:HRZ524324 IBV524301:IBV524324 ILR524301:ILR524324 IVN524301:IVN524324 JFJ524301:JFJ524324 JPF524301:JPF524324 JZB524301:JZB524324 KIX524301:KIX524324 KST524301:KST524324 LCP524301:LCP524324 LML524301:LML524324 LWH524301:LWH524324 MGD524301:MGD524324 MPZ524301:MPZ524324 MZV524301:MZV524324 NJR524301:NJR524324 NTN524301:NTN524324 ODJ524301:ODJ524324 ONF524301:ONF524324 OXB524301:OXB524324 PGX524301:PGX524324 PQT524301:PQT524324 QAP524301:QAP524324 QKL524301:QKL524324 QUH524301:QUH524324 RED524301:RED524324 RNZ524301:RNZ524324 RXV524301:RXV524324 SHR524301:SHR524324 SRN524301:SRN524324 TBJ524301:TBJ524324 TLF524301:TLF524324 TVB524301:TVB524324 UEX524301:UEX524324 UOT524301:UOT524324 UYP524301:UYP524324 VIL524301:VIL524324 VSH524301:VSH524324 WCD524301:WCD524324 WLZ524301:WLZ524324 WVV524301:WVV524324 U589837:U589860 JJ589837:JJ589860 TF589837:TF589860 ADB589837:ADB589860 AMX589837:AMX589860 AWT589837:AWT589860 BGP589837:BGP589860 BQL589837:BQL589860 CAH589837:CAH589860 CKD589837:CKD589860 CTZ589837:CTZ589860 DDV589837:DDV589860 DNR589837:DNR589860 DXN589837:DXN589860 EHJ589837:EHJ589860 ERF589837:ERF589860 FBB589837:FBB589860 FKX589837:FKX589860 FUT589837:FUT589860 GEP589837:GEP589860 GOL589837:GOL589860 GYH589837:GYH589860 HID589837:HID589860 HRZ589837:HRZ589860 IBV589837:IBV589860 ILR589837:ILR589860 IVN589837:IVN589860 JFJ589837:JFJ589860 JPF589837:JPF589860 JZB589837:JZB589860 KIX589837:KIX589860 KST589837:KST589860 LCP589837:LCP589860 LML589837:LML589860 LWH589837:LWH589860 MGD589837:MGD589860 MPZ589837:MPZ589860 MZV589837:MZV589860 NJR589837:NJR589860 NTN589837:NTN589860 ODJ589837:ODJ589860 ONF589837:ONF589860 OXB589837:OXB589860 PGX589837:PGX589860 PQT589837:PQT589860 QAP589837:QAP589860 QKL589837:QKL589860 QUH589837:QUH589860 RED589837:RED589860 RNZ589837:RNZ589860 RXV589837:RXV589860 SHR589837:SHR589860 SRN589837:SRN589860 TBJ589837:TBJ589860 TLF589837:TLF589860 TVB589837:TVB589860 UEX589837:UEX589860 UOT589837:UOT589860 UYP589837:UYP589860 VIL589837:VIL589860 VSH589837:VSH589860 WCD589837:WCD589860 WLZ589837:WLZ589860 WVV589837:WVV589860 U655373:U655396 JJ655373:JJ655396 TF655373:TF655396 ADB655373:ADB655396 AMX655373:AMX655396 AWT655373:AWT655396 BGP655373:BGP655396 BQL655373:BQL655396 CAH655373:CAH655396 CKD655373:CKD655396 CTZ655373:CTZ655396 DDV655373:DDV655396 DNR655373:DNR655396 DXN655373:DXN655396 EHJ655373:EHJ655396 ERF655373:ERF655396 FBB655373:FBB655396 FKX655373:FKX655396 FUT655373:FUT655396 GEP655373:GEP655396 GOL655373:GOL655396 GYH655373:GYH655396 HID655373:HID655396 HRZ655373:HRZ655396 IBV655373:IBV655396 ILR655373:ILR655396 IVN655373:IVN655396 JFJ655373:JFJ655396 JPF655373:JPF655396 JZB655373:JZB655396 KIX655373:KIX655396 KST655373:KST655396 LCP655373:LCP655396 LML655373:LML655396 LWH655373:LWH655396 MGD655373:MGD655396 MPZ655373:MPZ655396 MZV655373:MZV655396 NJR655373:NJR655396 NTN655373:NTN655396 ODJ655373:ODJ655396 ONF655373:ONF655396 OXB655373:OXB655396 PGX655373:PGX655396 PQT655373:PQT655396 QAP655373:QAP655396 QKL655373:QKL655396 QUH655373:QUH655396 RED655373:RED655396 RNZ655373:RNZ655396 RXV655373:RXV655396 SHR655373:SHR655396 SRN655373:SRN655396 TBJ655373:TBJ655396 TLF655373:TLF655396 TVB655373:TVB655396 UEX655373:UEX655396 UOT655373:UOT655396 UYP655373:UYP655396 VIL655373:VIL655396 VSH655373:VSH655396 WCD655373:WCD655396 WLZ655373:WLZ655396 WVV655373:WVV655396 U720909:U720932 JJ720909:JJ720932 TF720909:TF720932 ADB720909:ADB720932 AMX720909:AMX720932 AWT720909:AWT720932 BGP720909:BGP720932 BQL720909:BQL720932 CAH720909:CAH720932 CKD720909:CKD720932 CTZ720909:CTZ720932 DDV720909:DDV720932 DNR720909:DNR720932 DXN720909:DXN720932 EHJ720909:EHJ720932 ERF720909:ERF720932 FBB720909:FBB720932 FKX720909:FKX720932 FUT720909:FUT720932 GEP720909:GEP720932 GOL720909:GOL720932 GYH720909:GYH720932 HID720909:HID720932 HRZ720909:HRZ720932 IBV720909:IBV720932 ILR720909:ILR720932 IVN720909:IVN720932 JFJ720909:JFJ720932 JPF720909:JPF720932 JZB720909:JZB720932 KIX720909:KIX720932 KST720909:KST720932 LCP720909:LCP720932 LML720909:LML720932 LWH720909:LWH720932 MGD720909:MGD720932 MPZ720909:MPZ720932 MZV720909:MZV720932 NJR720909:NJR720932 NTN720909:NTN720932 ODJ720909:ODJ720932 ONF720909:ONF720932 OXB720909:OXB720932 PGX720909:PGX720932 PQT720909:PQT720932 QAP720909:QAP720932 QKL720909:QKL720932 QUH720909:QUH720932 RED720909:RED720932 RNZ720909:RNZ720932 RXV720909:RXV720932 SHR720909:SHR720932 SRN720909:SRN720932 TBJ720909:TBJ720932 TLF720909:TLF720932 TVB720909:TVB720932 UEX720909:UEX720932 UOT720909:UOT720932 UYP720909:UYP720932 VIL720909:VIL720932 VSH720909:VSH720932 WCD720909:WCD720932 WLZ720909:WLZ720932 WVV720909:WVV720932 U786445:U786468 JJ786445:JJ786468 TF786445:TF786468 ADB786445:ADB786468 AMX786445:AMX786468 AWT786445:AWT786468 BGP786445:BGP786468 BQL786445:BQL786468 CAH786445:CAH786468 CKD786445:CKD786468 CTZ786445:CTZ786468 DDV786445:DDV786468 DNR786445:DNR786468 DXN786445:DXN786468 EHJ786445:EHJ786468 ERF786445:ERF786468 FBB786445:FBB786468 FKX786445:FKX786468 FUT786445:FUT786468 GEP786445:GEP786468 GOL786445:GOL786468 GYH786445:GYH786468 HID786445:HID786468 HRZ786445:HRZ786468 IBV786445:IBV786468 ILR786445:ILR786468 IVN786445:IVN786468 JFJ786445:JFJ786468 JPF786445:JPF786468 JZB786445:JZB786468 KIX786445:KIX786468 KST786445:KST786468 LCP786445:LCP786468 LML786445:LML786468 LWH786445:LWH786468 MGD786445:MGD786468 MPZ786445:MPZ786468 MZV786445:MZV786468 NJR786445:NJR786468 NTN786445:NTN786468 ODJ786445:ODJ786468 ONF786445:ONF786468 OXB786445:OXB786468 PGX786445:PGX786468 PQT786445:PQT786468 QAP786445:QAP786468 QKL786445:QKL786468 QUH786445:QUH786468 RED786445:RED786468 RNZ786445:RNZ786468 RXV786445:RXV786468 SHR786445:SHR786468 SRN786445:SRN786468 TBJ786445:TBJ786468 TLF786445:TLF786468 TVB786445:TVB786468 UEX786445:UEX786468 UOT786445:UOT786468 UYP786445:UYP786468 VIL786445:VIL786468 VSH786445:VSH786468 WCD786445:WCD786468 WLZ786445:WLZ786468 WVV786445:WVV786468 U851981:U852004 JJ851981:JJ852004 TF851981:TF852004 ADB851981:ADB852004 AMX851981:AMX852004 AWT851981:AWT852004 BGP851981:BGP852004 BQL851981:BQL852004 CAH851981:CAH852004 CKD851981:CKD852004 CTZ851981:CTZ852004 DDV851981:DDV852004 DNR851981:DNR852004 DXN851981:DXN852004 EHJ851981:EHJ852004 ERF851981:ERF852004 FBB851981:FBB852004 FKX851981:FKX852004 FUT851981:FUT852004 GEP851981:GEP852004 GOL851981:GOL852004 GYH851981:GYH852004 HID851981:HID852004 HRZ851981:HRZ852004 IBV851981:IBV852004 ILR851981:ILR852004 IVN851981:IVN852004 JFJ851981:JFJ852004 JPF851981:JPF852004 JZB851981:JZB852004 KIX851981:KIX852004 KST851981:KST852004 LCP851981:LCP852004 LML851981:LML852004 LWH851981:LWH852004 MGD851981:MGD852004 MPZ851981:MPZ852004 MZV851981:MZV852004 NJR851981:NJR852004 NTN851981:NTN852004 ODJ851981:ODJ852004 ONF851981:ONF852004 OXB851981:OXB852004 PGX851981:PGX852004 PQT851981:PQT852004 QAP851981:QAP852004 QKL851981:QKL852004 QUH851981:QUH852004 RED851981:RED852004 RNZ851981:RNZ852004 RXV851981:RXV852004 SHR851981:SHR852004 SRN851981:SRN852004 TBJ851981:TBJ852004 TLF851981:TLF852004 TVB851981:TVB852004 UEX851981:UEX852004 UOT851981:UOT852004 UYP851981:UYP852004 VIL851981:VIL852004 VSH851981:VSH852004 WCD851981:WCD852004 WLZ851981:WLZ852004 WVV851981:WVV852004 U917517:U917540 JJ917517:JJ917540 TF917517:TF917540 ADB917517:ADB917540 AMX917517:AMX917540 AWT917517:AWT917540 BGP917517:BGP917540 BQL917517:BQL917540 CAH917517:CAH917540 CKD917517:CKD917540 CTZ917517:CTZ917540 DDV917517:DDV917540 DNR917517:DNR917540 DXN917517:DXN917540 EHJ917517:EHJ917540 ERF917517:ERF917540 FBB917517:FBB917540 FKX917517:FKX917540 FUT917517:FUT917540 GEP917517:GEP917540 GOL917517:GOL917540 GYH917517:GYH917540 HID917517:HID917540 HRZ917517:HRZ917540 IBV917517:IBV917540 ILR917517:ILR917540 IVN917517:IVN917540 JFJ917517:JFJ917540 JPF917517:JPF917540 JZB917517:JZB917540 KIX917517:KIX917540 KST917517:KST917540 LCP917517:LCP917540 LML917517:LML917540 LWH917517:LWH917540 MGD917517:MGD917540 MPZ917517:MPZ917540 MZV917517:MZV917540 NJR917517:NJR917540 NTN917517:NTN917540 ODJ917517:ODJ917540 ONF917517:ONF917540 OXB917517:OXB917540 PGX917517:PGX917540 PQT917517:PQT917540 QAP917517:QAP917540 QKL917517:QKL917540 QUH917517:QUH917540 RED917517:RED917540 RNZ917517:RNZ917540 RXV917517:RXV917540 SHR917517:SHR917540 SRN917517:SRN917540 TBJ917517:TBJ917540 TLF917517:TLF917540 TVB917517:TVB917540 UEX917517:UEX917540 UOT917517:UOT917540 UYP917517:UYP917540 VIL917517:VIL917540 VSH917517:VSH917540 WCD917517:WCD917540 WLZ917517:WLZ917540 WVV917517:WVV917540 U983053:U983076 JJ983053:JJ983076 TF983053:TF983076 ADB983053:ADB983076 AMX983053:AMX983076 AWT983053:AWT983076 BGP983053:BGP983076 BQL983053:BQL983076 CAH983053:CAH983076 CKD983053:CKD983076 CTZ983053:CTZ983076 DDV983053:DDV983076 DNR983053:DNR983076 DXN983053:DXN983076 EHJ983053:EHJ983076 ERF983053:ERF983076 FBB983053:FBB983076 FKX983053:FKX983076 FUT983053:FUT983076 GEP983053:GEP983076 GOL983053:GOL983076 GYH983053:GYH983076 HID983053:HID983076 HRZ983053:HRZ983076 IBV983053:IBV983076 ILR983053:ILR983076 IVN983053:IVN983076 JFJ983053:JFJ983076 JPF983053:JPF983076 JZB983053:JZB983076 KIX983053:KIX983076 KST983053:KST983076 LCP983053:LCP983076 LML983053:LML983076 LWH983053:LWH983076 MGD983053:MGD983076 MPZ983053:MPZ983076 MZV983053:MZV983076 NJR983053:NJR983076 NTN983053:NTN983076 ODJ983053:ODJ983076 ONF983053:ONF983076 OXB983053:OXB983076 PGX983053:PGX983076 PQT983053:PQT983076 QAP983053:QAP983076 QKL983053:QKL983076 QUH983053:QUH983076 RED983053:RED983076 RNZ983053:RNZ983076 RXV983053:RXV983076 SHR983053:SHR983076 SRN983053:SRN983076 TBJ983053:TBJ983076 TLF983053:TLF983076 TVB983053:TVB983076 UEX983053:UEX983076 UOT983053:UOT983076 UYP983053:UYP983076 VIL983053:VIL983076 VSH983053:VSH983076 WCD983053:WCD983076 WLZ983053:WLZ983076 WVV983053:WVV983076 JL65549:JL65572 TH65549:TH65572 ADD65549:ADD65572 AMZ65549:AMZ65572 AWV65549:AWV65572 BGR65549:BGR65572 BQN65549:BQN65572 CAJ65549:CAJ65572 CKF65549:CKF65572 CUB65549:CUB65572 DDX65549:DDX65572 DNT65549:DNT65572 DXP65549:DXP65572 EHL65549:EHL65572 ERH65549:ERH65572 FBD65549:FBD65572 FKZ65549:FKZ65572 FUV65549:FUV65572 GER65549:GER65572 GON65549:GON65572 GYJ65549:GYJ65572 HIF65549:HIF65572 HSB65549:HSB65572 IBX65549:IBX65572 ILT65549:ILT65572 IVP65549:IVP65572 JFL65549:JFL65572 JPH65549:JPH65572 JZD65549:JZD65572 KIZ65549:KIZ65572 KSV65549:KSV65572 LCR65549:LCR65572 LMN65549:LMN65572 LWJ65549:LWJ65572 MGF65549:MGF65572 MQB65549:MQB65572 MZX65549:MZX65572 NJT65549:NJT65572 NTP65549:NTP65572 ODL65549:ODL65572 ONH65549:ONH65572 OXD65549:OXD65572 PGZ65549:PGZ65572 PQV65549:PQV65572 QAR65549:QAR65572 QKN65549:QKN65572 QUJ65549:QUJ65572 REF65549:REF65572 ROB65549:ROB65572 RXX65549:RXX65572 SHT65549:SHT65572 SRP65549:SRP65572 TBL65549:TBL65572 TLH65549:TLH65572 TVD65549:TVD65572 UEZ65549:UEZ65572 UOV65549:UOV65572 UYR65549:UYR65572 VIN65549:VIN65572 VSJ65549:VSJ65572 WCF65549:WCF65572 WMB65549:WMB65572 WVX65549:WVX65572 JL131085:JL131108 TH131085:TH131108 ADD131085:ADD131108 AMZ131085:AMZ131108 AWV131085:AWV131108 BGR131085:BGR131108 BQN131085:BQN131108 CAJ131085:CAJ131108 CKF131085:CKF131108 CUB131085:CUB131108 DDX131085:DDX131108 DNT131085:DNT131108 DXP131085:DXP131108 EHL131085:EHL131108 ERH131085:ERH131108 FBD131085:FBD131108 FKZ131085:FKZ131108 FUV131085:FUV131108 GER131085:GER131108 GON131085:GON131108 GYJ131085:GYJ131108 HIF131085:HIF131108 HSB131085:HSB131108 IBX131085:IBX131108 ILT131085:ILT131108 IVP131085:IVP131108 JFL131085:JFL131108 JPH131085:JPH131108 JZD131085:JZD131108 KIZ131085:KIZ131108 KSV131085:KSV131108 LCR131085:LCR131108 LMN131085:LMN131108 LWJ131085:LWJ131108 MGF131085:MGF131108 MQB131085:MQB131108 MZX131085:MZX131108 NJT131085:NJT131108 NTP131085:NTP131108 ODL131085:ODL131108 ONH131085:ONH131108 OXD131085:OXD131108 PGZ131085:PGZ131108 PQV131085:PQV131108 QAR131085:QAR131108 QKN131085:QKN131108 QUJ131085:QUJ131108 REF131085:REF131108 ROB131085:ROB131108 RXX131085:RXX131108 SHT131085:SHT131108 SRP131085:SRP131108 TBL131085:TBL131108 TLH131085:TLH131108 TVD131085:TVD131108 UEZ131085:UEZ131108 UOV131085:UOV131108 UYR131085:UYR131108 VIN131085:VIN131108 VSJ131085:VSJ131108 WCF131085:WCF131108 WMB131085:WMB131108 WVX131085:WVX131108 JL196621:JL196644 TH196621:TH196644 ADD196621:ADD196644 AMZ196621:AMZ196644 AWV196621:AWV196644 BGR196621:BGR196644 BQN196621:BQN196644 CAJ196621:CAJ196644 CKF196621:CKF196644 CUB196621:CUB196644 DDX196621:DDX196644 DNT196621:DNT196644 DXP196621:DXP196644 EHL196621:EHL196644 ERH196621:ERH196644 FBD196621:FBD196644 FKZ196621:FKZ196644 FUV196621:FUV196644 GER196621:GER196644 GON196621:GON196644 GYJ196621:GYJ196644 HIF196621:HIF196644 HSB196621:HSB196644 IBX196621:IBX196644 ILT196621:ILT196644 IVP196621:IVP196644 JFL196621:JFL196644 JPH196621:JPH196644 JZD196621:JZD196644 KIZ196621:KIZ196644 KSV196621:KSV196644 LCR196621:LCR196644 LMN196621:LMN196644 LWJ196621:LWJ196644 MGF196621:MGF196644 MQB196621:MQB196644 MZX196621:MZX196644 NJT196621:NJT196644 NTP196621:NTP196644 ODL196621:ODL196644 ONH196621:ONH196644 OXD196621:OXD196644 PGZ196621:PGZ196644 PQV196621:PQV196644 QAR196621:QAR196644 QKN196621:QKN196644 QUJ196621:QUJ196644 REF196621:REF196644 ROB196621:ROB196644 RXX196621:RXX196644 SHT196621:SHT196644 SRP196621:SRP196644 TBL196621:TBL196644 TLH196621:TLH196644 TVD196621:TVD196644 UEZ196621:UEZ196644 UOV196621:UOV196644 UYR196621:UYR196644 VIN196621:VIN196644 VSJ196621:VSJ196644 WCF196621:WCF196644 WMB196621:WMB196644 WVX196621:WVX196644 JL262157:JL262180 TH262157:TH262180 ADD262157:ADD262180 AMZ262157:AMZ262180 AWV262157:AWV262180 BGR262157:BGR262180 BQN262157:BQN262180 CAJ262157:CAJ262180 CKF262157:CKF262180 CUB262157:CUB262180 DDX262157:DDX262180 DNT262157:DNT262180 DXP262157:DXP262180 EHL262157:EHL262180 ERH262157:ERH262180 FBD262157:FBD262180 FKZ262157:FKZ262180 FUV262157:FUV262180 GER262157:GER262180 GON262157:GON262180 GYJ262157:GYJ262180 HIF262157:HIF262180 HSB262157:HSB262180 IBX262157:IBX262180 ILT262157:ILT262180 IVP262157:IVP262180 JFL262157:JFL262180 JPH262157:JPH262180 JZD262157:JZD262180 KIZ262157:KIZ262180 KSV262157:KSV262180 LCR262157:LCR262180 LMN262157:LMN262180 LWJ262157:LWJ262180 MGF262157:MGF262180 MQB262157:MQB262180 MZX262157:MZX262180 NJT262157:NJT262180 NTP262157:NTP262180 ODL262157:ODL262180 ONH262157:ONH262180 OXD262157:OXD262180 PGZ262157:PGZ262180 PQV262157:PQV262180 QAR262157:QAR262180 QKN262157:QKN262180 QUJ262157:QUJ262180 REF262157:REF262180 ROB262157:ROB262180 RXX262157:RXX262180 SHT262157:SHT262180 SRP262157:SRP262180 TBL262157:TBL262180 TLH262157:TLH262180 TVD262157:TVD262180 UEZ262157:UEZ262180 UOV262157:UOV262180 UYR262157:UYR262180 VIN262157:VIN262180 VSJ262157:VSJ262180 WCF262157:WCF262180 WMB262157:WMB262180 WVX262157:WVX262180 JL327693:JL327716 TH327693:TH327716 ADD327693:ADD327716 AMZ327693:AMZ327716 AWV327693:AWV327716 BGR327693:BGR327716 BQN327693:BQN327716 CAJ327693:CAJ327716 CKF327693:CKF327716 CUB327693:CUB327716 DDX327693:DDX327716 DNT327693:DNT327716 DXP327693:DXP327716 EHL327693:EHL327716 ERH327693:ERH327716 FBD327693:FBD327716 FKZ327693:FKZ327716 FUV327693:FUV327716 GER327693:GER327716 GON327693:GON327716 GYJ327693:GYJ327716 HIF327693:HIF327716 HSB327693:HSB327716 IBX327693:IBX327716 ILT327693:ILT327716 IVP327693:IVP327716 JFL327693:JFL327716 JPH327693:JPH327716 JZD327693:JZD327716 KIZ327693:KIZ327716 KSV327693:KSV327716 LCR327693:LCR327716 LMN327693:LMN327716 LWJ327693:LWJ327716 MGF327693:MGF327716 MQB327693:MQB327716 MZX327693:MZX327716 NJT327693:NJT327716 NTP327693:NTP327716 ODL327693:ODL327716 ONH327693:ONH327716 OXD327693:OXD327716 PGZ327693:PGZ327716 PQV327693:PQV327716 QAR327693:QAR327716 QKN327693:QKN327716 QUJ327693:QUJ327716 REF327693:REF327716 ROB327693:ROB327716 RXX327693:RXX327716 SHT327693:SHT327716 SRP327693:SRP327716 TBL327693:TBL327716 TLH327693:TLH327716 TVD327693:TVD327716 UEZ327693:UEZ327716 UOV327693:UOV327716 UYR327693:UYR327716 VIN327693:VIN327716 VSJ327693:VSJ327716 WCF327693:WCF327716 WMB327693:WMB327716 WVX327693:WVX327716 JL393229:JL393252 TH393229:TH393252 ADD393229:ADD393252 AMZ393229:AMZ393252 AWV393229:AWV393252 BGR393229:BGR393252 BQN393229:BQN393252 CAJ393229:CAJ393252 CKF393229:CKF393252 CUB393229:CUB393252 DDX393229:DDX393252 DNT393229:DNT393252 DXP393229:DXP393252 EHL393229:EHL393252 ERH393229:ERH393252 FBD393229:FBD393252 FKZ393229:FKZ393252 FUV393229:FUV393252 GER393229:GER393252 GON393229:GON393252 GYJ393229:GYJ393252 HIF393229:HIF393252 HSB393229:HSB393252 IBX393229:IBX393252 ILT393229:ILT393252 IVP393229:IVP393252 JFL393229:JFL393252 JPH393229:JPH393252 JZD393229:JZD393252 KIZ393229:KIZ393252 KSV393229:KSV393252 LCR393229:LCR393252 LMN393229:LMN393252 LWJ393229:LWJ393252 MGF393229:MGF393252 MQB393229:MQB393252 MZX393229:MZX393252 NJT393229:NJT393252 NTP393229:NTP393252 ODL393229:ODL393252 ONH393229:ONH393252 OXD393229:OXD393252 PGZ393229:PGZ393252 PQV393229:PQV393252 QAR393229:QAR393252 QKN393229:QKN393252 QUJ393229:QUJ393252 REF393229:REF393252 ROB393229:ROB393252 RXX393229:RXX393252 SHT393229:SHT393252 SRP393229:SRP393252 TBL393229:TBL393252 TLH393229:TLH393252 TVD393229:TVD393252 UEZ393229:UEZ393252 UOV393229:UOV393252 UYR393229:UYR393252 VIN393229:VIN393252 VSJ393229:VSJ393252 WCF393229:WCF393252 WMB393229:WMB393252 WVX393229:WVX393252 JL458765:JL458788 TH458765:TH458788 ADD458765:ADD458788 AMZ458765:AMZ458788 AWV458765:AWV458788 BGR458765:BGR458788 BQN458765:BQN458788 CAJ458765:CAJ458788 CKF458765:CKF458788 CUB458765:CUB458788 DDX458765:DDX458788 DNT458765:DNT458788 DXP458765:DXP458788 EHL458765:EHL458788 ERH458765:ERH458788 FBD458765:FBD458788 FKZ458765:FKZ458788 FUV458765:FUV458788 GER458765:GER458788 GON458765:GON458788 GYJ458765:GYJ458788 HIF458765:HIF458788 HSB458765:HSB458788 IBX458765:IBX458788 ILT458765:ILT458788 IVP458765:IVP458788 JFL458765:JFL458788 JPH458765:JPH458788 JZD458765:JZD458788 KIZ458765:KIZ458788 KSV458765:KSV458788 LCR458765:LCR458788 LMN458765:LMN458788 LWJ458765:LWJ458788 MGF458765:MGF458788 MQB458765:MQB458788 MZX458765:MZX458788 NJT458765:NJT458788 NTP458765:NTP458788 ODL458765:ODL458788 ONH458765:ONH458788 OXD458765:OXD458788 PGZ458765:PGZ458788 PQV458765:PQV458788 QAR458765:QAR458788 QKN458765:QKN458788 QUJ458765:QUJ458788 REF458765:REF458788 ROB458765:ROB458788 RXX458765:RXX458788 SHT458765:SHT458788 SRP458765:SRP458788 TBL458765:TBL458788 TLH458765:TLH458788 TVD458765:TVD458788 UEZ458765:UEZ458788 UOV458765:UOV458788 UYR458765:UYR458788 VIN458765:VIN458788 VSJ458765:VSJ458788 WCF458765:WCF458788 WMB458765:WMB458788 WVX458765:WVX458788 JL524301:JL524324 TH524301:TH524324 ADD524301:ADD524324 AMZ524301:AMZ524324 AWV524301:AWV524324 BGR524301:BGR524324 BQN524301:BQN524324 CAJ524301:CAJ524324 CKF524301:CKF524324 CUB524301:CUB524324 DDX524301:DDX524324 DNT524301:DNT524324 DXP524301:DXP524324 EHL524301:EHL524324 ERH524301:ERH524324 FBD524301:FBD524324 FKZ524301:FKZ524324 FUV524301:FUV524324 GER524301:GER524324 GON524301:GON524324 GYJ524301:GYJ524324 HIF524301:HIF524324 HSB524301:HSB524324 IBX524301:IBX524324 ILT524301:ILT524324 IVP524301:IVP524324 JFL524301:JFL524324 JPH524301:JPH524324 JZD524301:JZD524324 KIZ524301:KIZ524324 KSV524301:KSV524324 LCR524301:LCR524324 LMN524301:LMN524324 LWJ524301:LWJ524324 MGF524301:MGF524324 MQB524301:MQB524324 MZX524301:MZX524324 NJT524301:NJT524324 NTP524301:NTP524324 ODL524301:ODL524324 ONH524301:ONH524324 OXD524301:OXD524324 PGZ524301:PGZ524324 PQV524301:PQV524324 QAR524301:QAR524324 QKN524301:QKN524324 QUJ524301:QUJ524324 REF524301:REF524324 ROB524301:ROB524324 RXX524301:RXX524324 SHT524301:SHT524324 SRP524301:SRP524324 TBL524301:TBL524324 TLH524301:TLH524324 TVD524301:TVD524324 UEZ524301:UEZ524324 UOV524301:UOV524324 UYR524301:UYR524324 VIN524301:VIN524324 VSJ524301:VSJ524324 WCF524301:WCF524324 WMB524301:WMB524324 WVX524301:WVX524324 JL589837:JL589860 TH589837:TH589860 ADD589837:ADD589860 AMZ589837:AMZ589860 AWV589837:AWV589860 BGR589837:BGR589860 BQN589837:BQN589860 CAJ589837:CAJ589860 CKF589837:CKF589860 CUB589837:CUB589860 DDX589837:DDX589860 DNT589837:DNT589860 DXP589837:DXP589860 EHL589837:EHL589860 ERH589837:ERH589860 FBD589837:FBD589860 FKZ589837:FKZ589860 FUV589837:FUV589860 GER589837:GER589860 GON589837:GON589860 GYJ589837:GYJ589860 HIF589837:HIF589860 HSB589837:HSB589860 IBX589837:IBX589860 ILT589837:ILT589860 IVP589837:IVP589860 JFL589837:JFL589860 JPH589837:JPH589860 JZD589837:JZD589860 KIZ589837:KIZ589860 KSV589837:KSV589860 LCR589837:LCR589860 LMN589837:LMN589860 LWJ589837:LWJ589860 MGF589837:MGF589860 MQB589837:MQB589860 MZX589837:MZX589860 NJT589837:NJT589860 NTP589837:NTP589860 ODL589837:ODL589860 ONH589837:ONH589860 OXD589837:OXD589860 PGZ589837:PGZ589860 PQV589837:PQV589860 QAR589837:QAR589860 QKN589837:QKN589860 QUJ589837:QUJ589860 REF589837:REF589860 ROB589837:ROB589860 RXX589837:RXX589860 SHT589837:SHT589860 SRP589837:SRP589860 TBL589837:TBL589860 TLH589837:TLH589860 TVD589837:TVD589860 UEZ589837:UEZ589860 UOV589837:UOV589860 UYR589837:UYR589860 VIN589837:VIN589860 VSJ589837:VSJ589860 WCF589837:WCF589860 WMB589837:WMB589860 WVX589837:WVX589860 JL655373:JL655396 TH655373:TH655396 ADD655373:ADD655396 AMZ655373:AMZ655396 AWV655373:AWV655396 BGR655373:BGR655396 BQN655373:BQN655396 CAJ655373:CAJ655396 CKF655373:CKF655396 CUB655373:CUB655396 DDX655373:DDX655396 DNT655373:DNT655396 DXP655373:DXP655396 EHL655373:EHL655396 ERH655373:ERH655396 FBD655373:FBD655396 FKZ655373:FKZ655396 FUV655373:FUV655396 GER655373:GER655396 GON655373:GON655396 GYJ655373:GYJ655396 HIF655373:HIF655396 HSB655373:HSB655396 IBX655373:IBX655396 ILT655373:ILT655396 IVP655373:IVP655396 JFL655373:JFL655396 JPH655373:JPH655396 JZD655373:JZD655396 KIZ655373:KIZ655396 KSV655373:KSV655396 LCR655373:LCR655396 LMN655373:LMN655396 LWJ655373:LWJ655396 MGF655373:MGF655396 MQB655373:MQB655396 MZX655373:MZX655396 NJT655373:NJT655396 NTP655373:NTP655396 ODL655373:ODL655396 ONH655373:ONH655396 OXD655373:OXD655396 PGZ655373:PGZ655396 PQV655373:PQV655396 QAR655373:QAR655396 QKN655373:QKN655396 QUJ655373:QUJ655396 REF655373:REF655396 ROB655373:ROB655396 RXX655373:RXX655396 SHT655373:SHT655396 SRP655373:SRP655396 TBL655373:TBL655396 TLH655373:TLH655396 TVD655373:TVD655396 UEZ655373:UEZ655396 UOV655373:UOV655396 UYR655373:UYR655396 VIN655373:VIN655396 VSJ655373:VSJ655396 WCF655373:WCF655396 WMB655373:WMB655396 WVX655373:WVX655396 JL720909:JL720932 TH720909:TH720932 ADD720909:ADD720932 AMZ720909:AMZ720932 AWV720909:AWV720932 BGR720909:BGR720932 BQN720909:BQN720932 CAJ720909:CAJ720932 CKF720909:CKF720932 CUB720909:CUB720932 DDX720909:DDX720932 DNT720909:DNT720932 DXP720909:DXP720932 EHL720909:EHL720932 ERH720909:ERH720932 FBD720909:FBD720932 FKZ720909:FKZ720932 FUV720909:FUV720932 GER720909:GER720932 GON720909:GON720932 GYJ720909:GYJ720932 HIF720909:HIF720932 HSB720909:HSB720932 IBX720909:IBX720932 ILT720909:ILT720932 IVP720909:IVP720932 JFL720909:JFL720932 JPH720909:JPH720932 JZD720909:JZD720932 KIZ720909:KIZ720932 KSV720909:KSV720932 LCR720909:LCR720932 LMN720909:LMN720932 LWJ720909:LWJ720932 MGF720909:MGF720932 MQB720909:MQB720932 MZX720909:MZX720932 NJT720909:NJT720932 NTP720909:NTP720932 ODL720909:ODL720932 ONH720909:ONH720932 OXD720909:OXD720932 PGZ720909:PGZ720932 PQV720909:PQV720932 QAR720909:QAR720932 QKN720909:QKN720932 QUJ720909:QUJ720932 REF720909:REF720932 ROB720909:ROB720932 RXX720909:RXX720932 SHT720909:SHT720932 SRP720909:SRP720932 TBL720909:TBL720932 TLH720909:TLH720932 TVD720909:TVD720932 UEZ720909:UEZ720932 UOV720909:UOV720932 UYR720909:UYR720932 VIN720909:VIN720932 VSJ720909:VSJ720932 WCF720909:WCF720932 WMB720909:WMB720932 WVX720909:WVX720932 JL786445:JL786468 TH786445:TH786468 ADD786445:ADD786468 AMZ786445:AMZ786468 AWV786445:AWV786468 BGR786445:BGR786468 BQN786445:BQN786468 CAJ786445:CAJ786468 CKF786445:CKF786468 CUB786445:CUB786468 DDX786445:DDX786468 DNT786445:DNT786468 DXP786445:DXP786468 EHL786445:EHL786468 ERH786445:ERH786468 FBD786445:FBD786468 FKZ786445:FKZ786468 FUV786445:FUV786468 GER786445:GER786468 GON786445:GON786468 GYJ786445:GYJ786468 HIF786445:HIF786468 HSB786445:HSB786468 IBX786445:IBX786468 ILT786445:ILT786468 IVP786445:IVP786468 JFL786445:JFL786468 JPH786445:JPH786468 JZD786445:JZD786468 KIZ786445:KIZ786468 KSV786445:KSV786468 LCR786445:LCR786468 LMN786445:LMN786468 LWJ786445:LWJ786468 MGF786445:MGF786468 MQB786445:MQB786468 MZX786445:MZX786468 NJT786445:NJT786468 NTP786445:NTP786468 ODL786445:ODL786468 ONH786445:ONH786468 OXD786445:OXD786468 PGZ786445:PGZ786468 PQV786445:PQV786468 QAR786445:QAR786468 QKN786445:QKN786468 QUJ786445:QUJ786468 REF786445:REF786468 ROB786445:ROB786468 RXX786445:RXX786468 SHT786445:SHT786468 SRP786445:SRP786468 TBL786445:TBL786468 TLH786445:TLH786468 TVD786445:TVD786468 UEZ786445:UEZ786468 UOV786445:UOV786468 UYR786445:UYR786468 VIN786445:VIN786468 VSJ786445:VSJ786468 WCF786445:WCF786468 WMB786445:WMB786468 WVX786445:WVX786468 JL851981:JL852004 TH851981:TH852004 ADD851981:ADD852004 AMZ851981:AMZ852004 AWV851981:AWV852004 BGR851981:BGR852004 BQN851981:BQN852004 CAJ851981:CAJ852004 CKF851981:CKF852004 CUB851981:CUB852004 DDX851981:DDX852004 DNT851981:DNT852004 DXP851981:DXP852004 EHL851981:EHL852004 ERH851981:ERH852004 FBD851981:FBD852004 FKZ851981:FKZ852004 FUV851981:FUV852004 GER851981:GER852004 GON851981:GON852004 GYJ851981:GYJ852004 HIF851981:HIF852004 HSB851981:HSB852004 IBX851981:IBX852004 ILT851981:ILT852004 IVP851981:IVP852004 JFL851981:JFL852004 JPH851981:JPH852004 JZD851981:JZD852004 KIZ851981:KIZ852004 KSV851981:KSV852004 LCR851981:LCR852004 LMN851981:LMN852004 LWJ851981:LWJ852004 MGF851981:MGF852004 MQB851981:MQB852004 MZX851981:MZX852004 NJT851981:NJT852004 NTP851981:NTP852004 ODL851981:ODL852004 ONH851981:ONH852004 OXD851981:OXD852004 PGZ851981:PGZ852004 PQV851981:PQV852004 QAR851981:QAR852004 QKN851981:QKN852004 QUJ851981:QUJ852004 REF851981:REF852004 ROB851981:ROB852004 RXX851981:RXX852004 SHT851981:SHT852004 SRP851981:SRP852004 TBL851981:TBL852004 TLH851981:TLH852004 TVD851981:TVD852004 UEZ851981:UEZ852004 UOV851981:UOV852004 UYR851981:UYR852004 VIN851981:VIN852004 VSJ851981:VSJ852004 WCF851981:WCF852004 WMB851981:WMB852004 WVX851981:WVX852004 JL917517:JL917540 TH917517:TH917540 ADD917517:ADD917540 AMZ917517:AMZ917540 AWV917517:AWV917540 BGR917517:BGR917540 BQN917517:BQN917540 CAJ917517:CAJ917540 CKF917517:CKF917540 CUB917517:CUB917540 DDX917517:DDX917540 DNT917517:DNT917540 DXP917517:DXP917540 EHL917517:EHL917540 ERH917517:ERH917540 FBD917517:FBD917540 FKZ917517:FKZ917540 FUV917517:FUV917540 GER917517:GER917540 GON917517:GON917540 GYJ917517:GYJ917540 HIF917517:HIF917540 HSB917517:HSB917540 IBX917517:IBX917540 ILT917517:ILT917540 IVP917517:IVP917540 JFL917517:JFL917540 JPH917517:JPH917540 JZD917517:JZD917540 KIZ917517:KIZ917540 KSV917517:KSV917540 LCR917517:LCR917540 LMN917517:LMN917540 LWJ917517:LWJ917540 MGF917517:MGF917540 MQB917517:MQB917540 MZX917517:MZX917540 NJT917517:NJT917540 NTP917517:NTP917540 ODL917517:ODL917540 ONH917517:ONH917540 OXD917517:OXD917540 PGZ917517:PGZ917540 PQV917517:PQV917540 QAR917517:QAR917540 QKN917517:QKN917540 QUJ917517:QUJ917540 REF917517:REF917540 ROB917517:ROB917540 RXX917517:RXX917540 SHT917517:SHT917540 SRP917517:SRP917540 TBL917517:TBL917540 TLH917517:TLH917540 TVD917517:TVD917540 UEZ917517:UEZ917540 UOV917517:UOV917540 UYR917517:UYR917540 VIN917517:VIN917540 VSJ917517:VSJ917540 WCF917517:WCF917540 WMB917517:WMB917540 WVX917517:WVX917540 JL983053:JL983076 TH983053:TH983076 ADD983053:ADD983076 AMZ983053:AMZ983076 AWV983053:AWV983076 BGR983053:BGR983076 BQN983053:BQN983076 CAJ983053:CAJ983076 CKF983053:CKF983076 CUB983053:CUB983076 DDX983053:DDX983076 DNT983053:DNT983076 DXP983053:DXP983076 EHL983053:EHL983076 ERH983053:ERH983076 FBD983053:FBD983076 FKZ983053:FKZ983076 FUV983053:FUV983076 GER983053:GER983076 GON983053:GON983076 GYJ983053:GYJ983076 HIF983053:HIF983076 HSB983053:HSB983076 IBX983053:IBX983076 ILT983053:ILT983076 IVP983053:IVP983076 JFL983053:JFL983076 JPH983053:JPH983076 JZD983053:JZD983076 KIZ983053:KIZ983076 KSV983053:KSV983076 LCR983053:LCR983076 LMN983053:LMN983076 LWJ983053:LWJ983076 MGF983053:MGF983076 MQB983053:MQB983076 MZX983053:MZX983076 NJT983053:NJT983076 NTP983053:NTP983076 ODL983053:ODL983076 ONH983053:ONH983076 OXD983053:OXD983076 PGZ983053:PGZ983076 PQV983053:PQV983076 QAR983053:QAR983076 QKN983053:QKN983076 QUJ983053:QUJ983076 REF983053:REF983076 ROB983053:ROB983076 RXX983053:RXX983076 SHT983053:SHT983076 SRP983053:SRP983076 TBL983053:TBL983076 TLH983053:TLH983076 TVD983053:TVD983076 UEZ983053:UEZ983076 UOV983053:UOV983076 UYR983053:UYR983076 VIN983053:VIN983076 VSJ983053:VSJ983076 WCF983053:WCF983076 WMB983053:WMB983076 ADI11:ADI36 WWE11:WWE36 WMI11:WMI36 WCM11:WCM36 VSQ11:VSQ36 VIU11:VIU36 UYY11:UYY36 UPC11:UPC36 UFG11:UFG36 TVK11:TVK36 TLO11:TLO36 TBS11:TBS36 SRW11:SRW36 SIA11:SIA36 RYE11:RYE36 ROI11:ROI36 REM11:REM36 QUQ11:QUQ36 QKU11:QKU36 QAY11:QAY36 PRC11:PRC36 PHG11:PHG36 OXK11:OXK36 ONO11:ONO36 ODS11:ODS36 NTW11:NTW36 NKA11:NKA36 NAE11:NAE36 MQI11:MQI36 MGM11:MGM36 LWQ11:LWQ36 LMU11:LMU36 LCY11:LCY36 KTC11:KTC36 KJG11:KJG36 JZK11:JZK36 JPO11:JPO36 JFS11:JFS36 IVW11:IVW36 IMA11:IMA36 ICE11:ICE36 HSI11:HSI36 HIM11:HIM36 GYQ11:GYQ36 GOU11:GOU36 GEY11:GEY36 FVC11:FVC36 FLG11:FLG36 FBK11:FBK36 ERO11:ERO36 EHS11:EHS36 DXW11:DXW36 DOA11:DOA36 DEE11:DEE36 CUI11:CUI36 CKM11:CKM36 CAQ11:CAQ36 BQU11:BQU36 BGY11:BGY36 AXC11:AXC36 ANG11:ANG36 ADK11:ADK36 TO11:TO36 JS11:JS36 JQ11:JQ36 WWC11:WWC36 WMG11:WMG36 WCK11:WCK36 VSO11:VSO36 VIS11:VIS36 UYW11:UYW36 UPA11:UPA36 UFE11:UFE36 TVI11:TVI36 TLM11:TLM36 TBQ11:TBQ36 SRU11:SRU36 SHY11:SHY36 RYC11:RYC36 ROG11:ROG36 REK11:REK36 QUO11:QUO36 QKS11:QKS36 QAW11:QAW36 PRA11:PRA36 PHE11:PHE36 OXI11:OXI36 ONM11:ONM36 ODQ11:ODQ36 NTU11:NTU36 NJY11:NJY36 NAC11:NAC36 MQG11:MQG36 MGK11:MGK36 LWO11:LWO36 LMS11:LMS36 LCW11:LCW36 KTA11:KTA36 KJE11:KJE36 JZI11:JZI36 JPM11:JPM36 JFQ11:JFQ36 IVU11:IVU36 ILY11:ILY36 ICC11:ICC36 HSG11:HSG36 HIK11:HIK36 GYO11:GYO36 GOS11:GOS36 GEW11:GEW36 FVA11:FVA36 FLE11:FLE36 FBI11:FBI36 ERM11:ERM36 EHQ11:EHQ36 DXU11:DXU36 DNY11:DNY36 DEC11:DEC36 CUG11:CUG36 CKK11:CKK36 CAO11:CAO36 BQS11:BQS36 BGW11:BGW36 AXA11:AXA36 ANE11:ANE36 W11:W37 U11:U37 TM11:TM36" xr:uid="{00000000-0002-0000-0300-000000000000}">
      <formula1>"1,2,3,4"</formula1>
    </dataValidation>
    <dataValidation type="list" allowBlank="1" showInputMessage="1" showErrorMessage="1" sqref="T65549:T65572 JI65549:JI65572 TE65549:TE65572 ADA65549:ADA65572 AMW65549:AMW65572 AWS65549:AWS65572 BGO65549:BGO65572 BQK65549:BQK65572 CAG65549:CAG65572 CKC65549:CKC65572 CTY65549:CTY65572 DDU65549:DDU65572 DNQ65549:DNQ65572 DXM65549:DXM65572 EHI65549:EHI65572 ERE65549:ERE65572 FBA65549:FBA65572 FKW65549:FKW65572 FUS65549:FUS65572 GEO65549:GEO65572 GOK65549:GOK65572 GYG65549:GYG65572 HIC65549:HIC65572 HRY65549:HRY65572 IBU65549:IBU65572 ILQ65549:ILQ65572 IVM65549:IVM65572 JFI65549:JFI65572 JPE65549:JPE65572 JZA65549:JZA65572 KIW65549:KIW65572 KSS65549:KSS65572 LCO65549:LCO65572 LMK65549:LMK65572 LWG65549:LWG65572 MGC65549:MGC65572 MPY65549:MPY65572 MZU65549:MZU65572 NJQ65549:NJQ65572 NTM65549:NTM65572 ODI65549:ODI65572 ONE65549:ONE65572 OXA65549:OXA65572 PGW65549:PGW65572 PQS65549:PQS65572 QAO65549:QAO65572 QKK65549:QKK65572 QUG65549:QUG65572 REC65549:REC65572 RNY65549:RNY65572 RXU65549:RXU65572 SHQ65549:SHQ65572 SRM65549:SRM65572 TBI65549:TBI65572 TLE65549:TLE65572 TVA65549:TVA65572 UEW65549:UEW65572 UOS65549:UOS65572 UYO65549:UYO65572 VIK65549:VIK65572 VSG65549:VSG65572 WCC65549:WCC65572 WLY65549:WLY65572 WVU65549:WVU65572 T131085:T131108 JI131085:JI131108 TE131085:TE131108 ADA131085:ADA131108 AMW131085:AMW131108 AWS131085:AWS131108 BGO131085:BGO131108 BQK131085:BQK131108 CAG131085:CAG131108 CKC131085:CKC131108 CTY131085:CTY131108 DDU131085:DDU131108 DNQ131085:DNQ131108 DXM131085:DXM131108 EHI131085:EHI131108 ERE131085:ERE131108 FBA131085:FBA131108 FKW131085:FKW131108 FUS131085:FUS131108 GEO131085:GEO131108 GOK131085:GOK131108 GYG131085:GYG131108 HIC131085:HIC131108 HRY131085:HRY131108 IBU131085:IBU131108 ILQ131085:ILQ131108 IVM131085:IVM131108 JFI131085:JFI131108 JPE131085:JPE131108 JZA131085:JZA131108 KIW131085:KIW131108 KSS131085:KSS131108 LCO131085:LCO131108 LMK131085:LMK131108 LWG131085:LWG131108 MGC131085:MGC131108 MPY131085:MPY131108 MZU131085:MZU131108 NJQ131085:NJQ131108 NTM131085:NTM131108 ODI131085:ODI131108 ONE131085:ONE131108 OXA131085:OXA131108 PGW131085:PGW131108 PQS131085:PQS131108 QAO131085:QAO131108 QKK131085:QKK131108 QUG131085:QUG131108 REC131085:REC131108 RNY131085:RNY131108 RXU131085:RXU131108 SHQ131085:SHQ131108 SRM131085:SRM131108 TBI131085:TBI131108 TLE131085:TLE131108 TVA131085:TVA131108 UEW131085:UEW131108 UOS131085:UOS131108 UYO131085:UYO131108 VIK131085:VIK131108 VSG131085:VSG131108 WCC131085:WCC131108 WLY131085:WLY131108 WVU131085:WVU131108 T196621:T196644 JI196621:JI196644 TE196621:TE196644 ADA196621:ADA196644 AMW196621:AMW196644 AWS196621:AWS196644 BGO196621:BGO196644 BQK196621:BQK196644 CAG196621:CAG196644 CKC196621:CKC196644 CTY196621:CTY196644 DDU196621:DDU196644 DNQ196621:DNQ196644 DXM196621:DXM196644 EHI196621:EHI196644 ERE196621:ERE196644 FBA196621:FBA196644 FKW196621:FKW196644 FUS196621:FUS196644 GEO196621:GEO196644 GOK196621:GOK196644 GYG196621:GYG196644 HIC196621:HIC196644 HRY196621:HRY196644 IBU196621:IBU196644 ILQ196621:ILQ196644 IVM196621:IVM196644 JFI196621:JFI196644 JPE196621:JPE196644 JZA196621:JZA196644 KIW196621:KIW196644 KSS196621:KSS196644 LCO196621:LCO196644 LMK196621:LMK196644 LWG196621:LWG196644 MGC196621:MGC196644 MPY196621:MPY196644 MZU196621:MZU196644 NJQ196621:NJQ196644 NTM196621:NTM196644 ODI196621:ODI196644 ONE196621:ONE196644 OXA196621:OXA196644 PGW196621:PGW196644 PQS196621:PQS196644 QAO196621:QAO196644 QKK196621:QKK196644 QUG196621:QUG196644 REC196621:REC196644 RNY196621:RNY196644 RXU196621:RXU196644 SHQ196621:SHQ196644 SRM196621:SRM196644 TBI196621:TBI196644 TLE196621:TLE196644 TVA196621:TVA196644 UEW196621:UEW196644 UOS196621:UOS196644 UYO196621:UYO196644 VIK196621:VIK196644 VSG196621:VSG196644 WCC196621:WCC196644 WLY196621:WLY196644 WVU196621:WVU196644 T262157:T262180 JI262157:JI262180 TE262157:TE262180 ADA262157:ADA262180 AMW262157:AMW262180 AWS262157:AWS262180 BGO262157:BGO262180 BQK262157:BQK262180 CAG262157:CAG262180 CKC262157:CKC262180 CTY262157:CTY262180 DDU262157:DDU262180 DNQ262157:DNQ262180 DXM262157:DXM262180 EHI262157:EHI262180 ERE262157:ERE262180 FBA262157:FBA262180 FKW262157:FKW262180 FUS262157:FUS262180 GEO262157:GEO262180 GOK262157:GOK262180 GYG262157:GYG262180 HIC262157:HIC262180 HRY262157:HRY262180 IBU262157:IBU262180 ILQ262157:ILQ262180 IVM262157:IVM262180 JFI262157:JFI262180 JPE262157:JPE262180 JZA262157:JZA262180 KIW262157:KIW262180 KSS262157:KSS262180 LCO262157:LCO262180 LMK262157:LMK262180 LWG262157:LWG262180 MGC262157:MGC262180 MPY262157:MPY262180 MZU262157:MZU262180 NJQ262157:NJQ262180 NTM262157:NTM262180 ODI262157:ODI262180 ONE262157:ONE262180 OXA262157:OXA262180 PGW262157:PGW262180 PQS262157:PQS262180 QAO262157:QAO262180 QKK262157:QKK262180 QUG262157:QUG262180 REC262157:REC262180 RNY262157:RNY262180 RXU262157:RXU262180 SHQ262157:SHQ262180 SRM262157:SRM262180 TBI262157:TBI262180 TLE262157:TLE262180 TVA262157:TVA262180 UEW262157:UEW262180 UOS262157:UOS262180 UYO262157:UYO262180 VIK262157:VIK262180 VSG262157:VSG262180 WCC262157:WCC262180 WLY262157:WLY262180 WVU262157:WVU262180 T327693:T327716 JI327693:JI327716 TE327693:TE327716 ADA327693:ADA327716 AMW327693:AMW327716 AWS327693:AWS327716 BGO327693:BGO327716 BQK327693:BQK327716 CAG327693:CAG327716 CKC327693:CKC327716 CTY327693:CTY327716 DDU327693:DDU327716 DNQ327693:DNQ327716 DXM327693:DXM327716 EHI327693:EHI327716 ERE327693:ERE327716 FBA327693:FBA327716 FKW327693:FKW327716 FUS327693:FUS327716 GEO327693:GEO327716 GOK327693:GOK327716 GYG327693:GYG327716 HIC327693:HIC327716 HRY327693:HRY327716 IBU327693:IBU327716 ILQ327693:ILQ327716 IVM327693:IVM327716 JFI327693:JFI327716 JPE327693:JPE327716 JZA327693:JZA327716 KIW327693:KIW327716 KSS327693:KSS327716 LCO327693:LCO327716 LMK327693:LMK327716 LWG327693:LWG327716 MGC327693:MGC327716 MPY327693:MPY327716 MZU327693:MZU327716 NJQ327693:NJQ327716 NTM327693:NTM327716 ODI327693:ODI327716 ONE327693:ONE327716 OXA327693:OXA327716 PGW327693:PGW327716 PQS327693:PQS327716 QAO327693:QAO327716 QKK327693:QKK327716 QUG327693:QUG327716 REC327693:REC327716 RNY327693:RNY327716 RXU327693:RXU327716 SHQ327693:SHQ327716 SRM327693:SRM327716 TBI327693:TBI327716 TLE327693:TLE327716 TVA327693:TVA327716 UEW327693:UEW327716 UOS327693:UOS327716 UYO327693:UYO327716 VIK327693:VIK327716 VSG327693:VSG327716 WCC327693:WCC327716 WLY327693:WLY327716 WVU327693:WVU327716 T393229:T393252 JI393229:JI393252 TE393229:TE393252 ADA393229:ADA393252 AMW393229:AMW393252 AWS393229:AWS393252 BGO393229:BGO393252 BQK393229:BQK393252 CAG393229:CAG393252 CKC393229:CKC393252 CTY393229:CTY393252 DDU393229:DDU393252 DNQ393229:DNQ393252 DXM393229:DXM393252 EHI393229:EHI393252 ERE393229:ERE393252 FBA393229:FBA393252 FKW393229:FKW393252 FUS393229:FUS393252 GEO393229:GEO393252 GOK393229:GOK393252 GYG393229:GYG393252 HIC393229:HIC393252 HRY393229:HRY393252 IBU393229:IBU393252 ILQ393229:ILQ393252 IVM393229:IVM393252 JFI393229:JFI393252 JPE393229:JPE393252 JZA393229:JZA393252 KIW393229:KIW393252 KSS393229:KSS393252 LCO393229:LCO393252 LMK393229:LMK393252 LWG393229:LWG393252 MGC393229:MGC393252 MPY393229:MPY393252 MZU393229:MZU393252 NJQ393229:NJQ393252 NTM393229:NTM393252 ODI393229:ODI393252 ONE393229:ONE393252 OXA393229:OXA393252 PGW393229:PGW393252 PQS393229:PQS393252 QAO393229:QAO393252 QKK393229:QKK393252 QUG393229:QUG393252 REC393229:REC393252 RNY393229:RNY393252 RXU393229:RXU393252 SHQ393229:SHQ393252 SRM393229:SRM393252 TBI393229:TBI393252 TLE393229:TLE393252 TVA393229:TVA393252 UEW393229:UEW393252 UOS393229:UOS393252 UYO393229:UYO393252 VIK393229:VIK393252 VSG393229:VSG393252 WCC393229:WCC393252 WLY393229:WLY393252 WVU393229:WVU393252 T458765:T458788 JI458765:JI458788 TE458765:TE458788 ADA458765:ADA458788 AMW458765:AMW458788 AWS458765:AWS458788 BGO458765:BGO458788 BQK458765:BQK458788 CAG458765:CAG458788 CKC458765:CKC458788 CTY458765:CTY458788 DDU458765:DDU458788 DNQ458765:DNQ458788 DXM458765:DXM458788 EHI458765:EHI458788 ERE458765:ERE458788 FBA458765:FBA458788 FKW458765:FKW458788 FUS458765:FUS458788 GEO458765:GEO458788 GOK458765:GOK458788 GYG458765:GYG458788 HIC458765:HIC458788 HRY458765:HRY458788 IBU458765:IBU458788 ILQ458765:ILQ458788 IVM458765:IVM458788 JFI458765:JFI458788 JPE458765:JPE458788 JZA458765:JZA458788 KIW458765:KIW458788 KSS458765:KSS458788 LCO458765:LCO458788 LMK458765:LMK458788 LWG458765:LWG458788 MGC458765:MGC458788 MPY458765:MPY458788 MZU458765:MZU458788 NJQ458765:NJQ458788 NTM458765:NTM458788 ODI458765:ODI458788 ONE458765:ONE458788 OXA458765:OXA458788 PGW458765:PGW458788 PQS458765:PQS458788 QAO458765:QAO458788 QKK458765:QKK458788 QUG458765:QUG458788 REC458765:REC458788 RNY458765:RNY458788 RXU458765:RXU458788 SHQ458765:SHQ458788 SRM458765:SRM458788 TBI458765:TBI458788 TLE458765:TLE458788 TVA458765:TVA458788 UEW458765:UEW458788 UOS458765:UOS458788 UYO458765:UYO458788 VIK458765:VIK458788 VSG458765:VSG458788 WCC458765:WCC458788 WLY458765:WLY458788 WVU458765:WVU458788 T524301:T524324 JI524301:JI524324 TE524301:TE524324 ADA524301:ADA524324 AMW524301:AMW524324 AWS524301:AWS524324 BGO524301:BGO524324 BQK524301:BQK524324 CAG524301:CAG524324 CKC524301:CKC524324 CTY524301:CTY524324 DDU524301:DDU524324 DNQ524301:DNQ524324 DXM524301:DXM524324 EHI524301:EHI524324 ERE524301:ERE524324 FBA524301:FBA524324 FKW524301:FKW524324 FUS524301:FUS524324 GEO524301:GEO524324 GOK524301:GOK524324 GYG524301:GYG524324 HIC524301:HIC524324 HRY524301:HRY524324 IBU524301:IBU524324 ILQ524301:ILQ524324 IVM524301:IVM524324 JFI524301:JFI524324 JPE524301:JPE524324 JZA524301:JZA524324 KIW524301:KIW524324 KSS524301:KSS524324 LCO524301:LCO524324 LMK524301:LMK524324 LWG524301:LWG524324 MGC524301:MGC524324 MPY524301:MPY524324 MZU524301:MZU524324 NJQ524301:NJQ524324 NTM524301:NTM524324 ODI524301:ODI524324 ONE524301:ONE524324 OXA524301:OXA524324 PGW524301:PGW524324 PQS524301:PQS524324 QAO524301:QAO524324 QKK524301:QKK524324 QUG524301:QUG524324 REC524301:REC524324 RNY524301:RNY524324 RXU524301:RXU524324 SHQ524301:SHQ524324 SRM524301:SRM524324 TBI524301:TBI524324 TLE524301:TLE524324 TVA524301:TVA524324 UEW524301:UEW524324 UOS524301:UOS524324 UYO524301:UYO524324 VIK524301:VIK524324 VSG524301:VSG524324 WCC524301:WCC524324 WLY524301:WLY524324 WVU524301:WVU524324 T589837:T589860 JI589837:JI589860 TE589837:TE589860 ADA589837:ADA589860 AMW589837:AMW589860 AWS589837:AWS589860 BGO589837:BGO589860 BQK589837:BQK589860 CAG589837:CAG589860 CKC589837:CKC589860 CTY589837:CTY589860 DDU589837:DDU589860 DNQ589837:DNQ589860 DXM589837:DXM589860 EHI589837:EHI589860 ERE589837:ERE589860 FBA589837:FBA589860 FKW589837:FKW589860 FUS589837:FUS589860 GEO589837:GEO589860 GOK589837:GOK589860 GYG589837:GYG589860 HIC589837:HIC589860 HRY589837:HRY589860 IBU589837:IBU589860 ILQ589837:ILQ589860 IVM589837:IVM589860 JFI589837:JFI589860 JPE589837:JPE589860 JZA589837:JZA589860 KIW589837:KIW589860 KSS589837:KSS589860 LCO589837:LCO589860 LMK589837:LMK589860 LWG589837:LWG589860 MGC589837:MGC589860 MPY589837:MPY589860 MZU589837:MZU589860 NJQ589837:NJQ589860 NTM589837:NTM589860 ODI589837:ODI589860 ONE589837:ONE589860 OXA589837:OXA589860 PGW589837:PGW589860 PQS589837:PQS589860 QAO589837:QAO589860 QKK589837:QKK589860 QUG589837:QUG589860 REC589837:REC589860 RNY589837:RNY589860 RXU589837:RXU589860 SHQ589837:SHQ589860 SRM589837:SRM589860 TBI589837:TBI589860 TLE589837:TLE589860 TVA589837:TVA589860 UEW589837:UEW589860 UOS589837:UOS589860 UYO589837:UYO589860 VIK589837:VIK589860 VSG589837:VSG589860 WCC589837:WCC589860 WLY589837:WLY589860 WVU589837:WVU589860 T655373:T655396 JI655373:JI655396 TE655373:TE655396 ADA655373:ADA655396 AMW655373:AMW655396 AWS655373:AWS655396 BGO655373:BGO655396 BQK655373:BQK655396 CAG655373:CAG655396 CKC655373:CKC655396 CTY655373:CTY655396 DDU655373:DDU655396 DNQ655373:DNQ655396 DXM655373:DXM655396 EHI655373:EHI655396 ERE655373:ERE655396 FBA655373:FBA655396 FKW655373:FKW655396 FUS655373:FUS655396 GEO655373:GEO655396 GOK655373:GOK655396 GYG655373:GYG655396 HIC655373:HIC655396 HRY655373:HRY655396 IBU655373:IBU655396 ILQ655373:ILQ655396 IVM655373:IVM655396 JFI655373:JFI655396 JPE655373:JPE655396 JZA655373:JZA655396 KIW655373:KIW655396 KSS655373:KSS655396 LCO655373:LCO655396 LMK655373:LMK655396 LWG655373:LWG655396 MGC655373:MGC655396 MPY655373:MPY655396 MZU655373:MZU655396 NJQ655373:NJQ655396 NTM655373:NTM655396 ODI655373:ODI655396 ONE655373:ONE655396 OXA655373:OXA655396 PGW655373:PGW655396 PQS655373:PQS655396 QAO655373:QAO655396 QKK655373:QKK655396 QUG655373:QUG655396 REC655373:REC655396 RNY655373:RNY655396 RXU655373:RXU655396 SHQ655373:SHQ655396 SRM655373:SRM655396 TBI655373:TBI655396 TLE655373:TLE655396 TVA655373:TVA655396 UEW655373:UEW655396 UOS655373:UOS655396 UYO655373:UYO655396 VIK655373:VIK655396 VSG655373:VSG655396 WCC655373:WCC655396 WLY655373:WLY655396 WVU655373:WVU655396 T720909:T720932 JI720909:JI720932 TE720909:TE720932 ADA720909:ADA720932 AMW720909:AMW720932 AWS720909:AWS720932 BGO720909:BGO720932 BQK720909:BQK720932 CAG720909:CAG720932 CKC720909:CKC720932 CTY720909:CTY720932 DDU720909:DDU720932 DNQ720909:DNQ720932 DXM720909:DXM720932 EHI720909:EHI720932 ERE720909:ERE720932 FBA720909:FBA720932 FKW720909:FKW720932 FUS720909:FUS720932 GEO720909:GEO720932 GOK720909:GOK720932 GYG720909:GYG720932 HIC720909:HIC720932 HRY720909:HRY720932 IBU720909:IBU720932 ILQ720909:ILQ720932 IVM720909:IVM720932 JFI720909:JFI720932 JPE720909:JPE720932 JZA720909:JZA720932 KIW720909:KIW720932 KSS720909:KSS720932 LCO720909:LCO720932 LMK720909:LMK720932 LWG720909:LWG720932 MGC720909:MGC720932 MPY720909:MPY720932 MZU720909:MZU720932 NJQ720909:NJQ720932 NTM720909:NTM720932 ODI720909:ODI720932 ONE720909:ONE720932 OXA720909:OXA720932 PGW720909:PGW720932 PQS720909:PQS720932 QAO720909:QAO720932 QKK720909:QKK720932 QUG720909:QUG720932 REC720909:REC720932 RNY720909:RNY720932 RXU720909:RXU720932 SHQ720909:SHQ720932 SRM720909:SRM720932 TBI720909:TBI720932 TLE720909:TLE720932 TVA720909:TVA720932 UEW720909:UEW720932 UOS720909:UOS720932 UYO720909:UYO720932 VIK720909:VIK720932 VSG720909:VSG720932 WCC720909:WCC720932 WLY720909:WLY720932 WVU720909:WVU720932 T786445:T786468 JI786445:JI786468 TE786445:TE786468 ADA786445:ADA786468 AMW786445:AMW786468 AWS786445:AWS786468 BGO786445:BGO786468 BQK786445:BQK786468 CAG786445:CAG786468 CKC786445:CKC786468 CTY786445:CTY786468 DDU786445:DDU786468 DNQ786445:DNQ786468 DXM786445:DXM786468 EHI786445:EHI786468 ERE786445:ERE786468 FBA786445:FBA786468 FKW786445:FKW786468 FUS786445:FUS786468 GEO786445:GEO786468 GOK786445:GOK786468 GYG786445:GYG786468 HIC786445:HIC786468 HRY786445:HRY786468 IBU786445:IBU786468 ILQ786445:ILQ786468 IVM786445:IVM786468 JFI786445:JFI786468 JPE786445:JPE786468 JZA786445:JZA786468 KIW786445:KIW786468 KSS786445:KSS786468 LCO786445:LCO786468 LMK786445:LMK786468 LWG786445:LWG786468 MGC786445:MGC786468 MPY786445:MPY786468 MZU786445:MZU786468 NJQ786445:NJQ786468 NTM786445:NTM786468 ODI786445:ODI786468 ONE786445:ONE786468 OXA786445:OXA786468 PGW786445:PGW786468 PQS786445:PQS786468 QAO786445:QAO786468 QKK786445:QKK786468 QUG786445:QUG786468 REC786445:REC786468 RNY786445:RNY786468 RXU786445:RXU786468 SHQ786445:SHQ786468 SRM786445:SRM786468 TBI786445:TBI786468 TLE786445:TLE786468 TVA786445:TVA786468 UEW786445:UEW786468 UOS786445:UOS786468 UYO786445:UYO786468 VIK786445:VIK786468 VSG786445:VSG786468 WCC786445:WCC786468 WLY786445:WLY786468 WVU786445:WVU786468 T851981:T852004 JI851981:JI852004 TE851981:TE852004 ADA851981:ADA852004 AMW851981:AMW852004 AWS851981:AWS852004 BGO851981:BGO852004 BQK851981:BQK852004 CAG851981:CAG852004 CKC851981:CKC852004 CTY851981:CTY852004 DDU851981:DDU852004 DNQ851981:DNQ852004 DXM851981:DXM852004 EHI851981:EHI852004 ERE851981:ERE852004 FBA851981:FBA852004 FKW851981:FKW852004 FUS851981:FUS852004 GEO851981:GEO852004 GOK851981:GOK852004 GYG851981:GYG852004 HIC851981:HIC852004 HRY851981:HRY852004 IBU851981:IBU852004 ILQ851981:ILQ852004 IVM851981:IVM852004 JFI851981:JFI852004 JPE851981:JPE852004 JZA851981:JZA852004 KIW851981:KIW852004 KSS851981:KSS852004 LCO851981:LCO852004 LMK851981:LMK852004 LWG851981:LWG852004 MGC851981:MGC852004 MPY851981:MPY852004 MZU851981:MZU852004 NJQ851981:NJQ852004 NTM851981:NTM852004 ODI851981:ODI852004 ONE851981:ONE852004 OXA851981:OXA852004 PGW851981:PGW852004 PQS851981:PQS852004 QAO851981:QAO852004 QKK851981:QKK852004 QUG851981:QUG852004 REC851981:REC852004 RNY851981:RNY852004 RXU851981:RXU852004 SHQ851981:SHQ852004 SRM851981:SRM852004 TBI851981:TBI852004 TLE851981:TLE852004 TVA851981:TVA852004 UEW851981:UEW852004 UOS851981:UOS852004 UYO851981:UYO852004 VIK851981:VIK852004 VSG851981:VSG852004 WCC851981:WCC852004 WLY851981:WLY852004 WVU851981:WVU852004 T917517:T917540 JI917517:JI917540 TE917517:TE917540 ADA917517:ADA917540 AMW917517:AMW917540 AWS917517:AWS917540 BGO917517:BGO917540 BQK917517:BQK917540 CAG917517:CAG917540 CKC917517:CKC917540 CTY917517:CTY917540 DDU917517:DDU917540 DNQ917517:DNQ917540 DXM917517:DXM917540 EHI917517:EHI917540 ERE917517:ERE917540 FBA917517:FBA917540 FKW917517:FKW917540 FUS917517:FUS917540 GEO917517:GEO917540 GOK917517:GOK917540 GYG917517:GYG917540 HIC917517:HIC917540 HRY917517:HRY917540 IBU917517:IBU917540 ILQ917517:ILQ917540 IVM917517:IVM917540 JFI917517:JFI917540 JPE917517:JPE917540 JZA917517:JZA917540 KIW917517:KIW917540 KSS917517:KSS917540 LCO917517:LCO917540 LMK917517:LMK917540 LWG917517:LWG917540 MGC917517:MGC917540 MPY917517:MPY917540 MZU917517:MZU917540 NJQ917517:NJQ917540 NTM917517:NTM917540 ODI917517:ODI917540 ONE917517:ONE917540 OXA917517:OXA917540 PGW917517:PGW917540 PQS917517:PQS917540 QAO917517:QAO917540 QKK917517:QKK917540 QUG917517:QUG917540 REC917517:REC917540 RNY917517:RNY917540 RXU917517:RXU917540 SHQ917517:SHQ917540 SRM917517:SRM917540 TBI917517:TBI917540 TLE917517:TLE917540 TVA917517:TVA917540 UEW917517:UEW917540 UOS917517:UOS917540 UYO917517:UYO917540 VIK917517:VIK917540 VSG917517:VSG917540 WCC917517:WCC917540 WLY917517:WLY917540 WVU917517:WVU917540 T983053:T983076 JI983053:JI983076 TE983053:TE983076 ADA983053:ADA983076 AMW983053:AMW983076 AWS983053:AWS983076 BGO983053:BGO983076 BQK983053:BQK983076 CAG983053:CAG983076 CKC983053:CKC983076 CTY983053:CTY983076 DDU983053:DDU983076 DNQ983053:DNQ983076 DXM983053:DXM983076 EHI983053:EHI983076 ERE983053:ERE983076 FBA983053:FBA983076 FKW983053:FKW983076 FUS983053:FUS983076 GEO983053:GEO983076 GOK983053:GOK983076 GYG983053:GYG983076 HIC983053:HIC983076 HRY983053:HRY983076 IBU983053:IBU983076 ILQ983053:ILQ983076 IVM983053:IVM983076 JFI983053:JFI983076 JPE983053:JPE983076 JZA983053:JZA983076 KIW983053:KIW983076 KSS983053:KSS983076 LCO983053:LCO983076 LMK983053:LMK983076 LWG983053:LWG983076 MGC983053:MGC983076 MPY983053:MPY983076 MZU983053:MZU983076 NJQ983053:NJQ983076 NTM983053:NTM983076 ODI983053:ODI983076 ONE983053:ONE983076 OXA983053:OXA983076 PGW983053:PGW983076 PQS983053:PQS983076 QAO983053:QAO983076 QKK983053:QKK983076 QUG983053:QUG983076 REC983053:REC983076 RNY983053:RNY983076 RXU983053:RXU983076 SHQ983053:SHQ983076 SRM983053:SRM983076 TBI983053:TBI983076 TLE983053:TLE983076 TVA983053:TVA983076 UEW983053:UEW983076 UOS983053:UOS983076 UYO983053:UYO983076 VIK983053:VIK983076 VSG983053:VSG983076 WCC983053:WCC983076 WLY983053:WLY983076 WVU983053:WVU983076 WWB11:WWB36 WMF11:WMF36 WCJ11:WCJ36 VSN11:VSN36 VIR11:VIR36 UYV11:UYV36 UOZ11:UOZ36 UFD11:UFD36 TVH11:TVH36 TLL11:TLL36 TBP11:TBP36 SRT11:SRT36 SHX11:SHX36 RYB11:RYB36 ROF11:ROF36 REJ11:REJ36 QUN11:QUN36 QKR11:QKR36 QAV11:QAV36 PQZ11:PQZ36 PHD11:PHD36 OXH11:OXH36 ONL11:ONL36 ODP11:ODP36 NTT11:NTT36 NJX11:NJX36 NAB11:NAB36 MQF11:MQF36 MGJ11:MGJ36 LWN11:LWN36 LMR11:LMR36 LCV11:LCV36 KSZ11:KSZ36 KJD11:KJD36 JZH11:JZH36 JPL11:JPL36 JFP11:JFP36 IVT11:IVT36 ILX11:ILX36 ICB11:ICB36 HSF11:HSF36 HIJ11:HIJ36 GYN11:GYN36 GOR11:GOR36 GEV11:GEV36 FUZ11:FUZ36 FLD11:FLD36 FBH11:FBH36 ERL11:ERL36 EHP11:EHP36 DXT11:DXT36 DNX11:DNX36 DEB11:DEB36 CUF11:CUF36 CKJ11:CKJ36 CAN11:CAN36 BQR11:BQR36 BGV11:BGV36 AWZ11:AWZ36 AND11:AND36 ADH11:ADH36 TL11:TL36 T11:T37 JP11:JP36" xr:uid="{00000000-0002-0000-0300-000001000000}">
      <formula1>"Y,N"</formula1>
    </dataValidation>
  </dataValidations>
  <pageMargins left="0" right="0" top="0.39370078740157483" bottom="0.59055118110236227" header="0.51181102362204722" footer="0.39370078740157483"/>
  <pageSetup paperSize="9" scale="82" fitToHeight="0" orientation="landscape" r:id="rId1"/>
  <headerFooter alignWithMargins="0">
    <oddFooter>第 &amp;P 頁，共 &amp;N 頁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FF0000"/>
    <pageSetUpPr fitToPage="1"/>
  </sheetPr>
  <dimension ref="A1:AB42"/>
  <sheetViews>
    <sheetView topLeftCell="M4" zoomScaleNormal="100" workbookViewId="0">
      <selection activeCell="W13" sqref="W13"/>
    </sheetView>
  </sheetViews>
  <sheetFormatPr defaultRowHeight="15.5"/>
  <cols>
    <col min="1" max="1" width="7.90625" style="40" hidden="1" customWidth="1"/>
    <col min="2" max="2" width="11.90625" style="40" hidden="1" customWidth="1"/>
    <col min="3" max="4" width="9.90625" style="40" hidden="1" customWidth="1"/>
    <col min="5" max="5" width="5.90625" style="40" hidden="1" customWidth="1"/>
    <col min="6" max="6" width="7.90625" style="40" hidden="1" customWidth="1"/>
    <col min="7" max="7" width="3.08984375" style="40" hidden="1" customWidth="1"/>
    <col min="8" max="8" width="2.26953125" style="40" hidden="1" customWidth="1"/>
    <col min="9" max="9" width="3.08984375" style="40" hidden="1" customWidth="1"/>
    <col min="10" max="10" width="5.26953125" style="40" hidden="1" customWidth="1"/>
    <col min="11" max="11" width="9.90625" style="40" hidden="1" customWidth="1"/>
    <col min="12" max="12" width="5.90625" style="40" hidden="1" customWidth="1"/>
    <col min="13" max="13" width="21.08984375" style="6" customWidth="1"/>
    <col min="14" max="14" width="8.90625" style="6" customWidth="1"/>
    <col min="15" max="15" width="11.453125" style="6" customWidth="1"/>
    <col min="16" max="16" width="8.90625" style="6" customWidth="1"/>
    <col min="17" max="17" width="8.90625" style="41" customWidth="1"/>
    <col min="18" max="18" width="16.90625" style="6" customWidth="1"/>
    <col min="19" max="19" width="16.90625" style="41" customWidth="1"/>
    <col min="20" max="20" width="10" style="6" customWidth="1"/>
    <col min="21" max="21" width="10" style="41" customWidth="1"/>
    <col min="22" max="22" width="17.6328125" style="6" customWidth="1"/>
    <col min="23" max="23" width="10" style="6" customWidth="1"/>
    <col min="24" max="24" width="17.6328125" style="6" customWidth="1"/>
    <col min="25" max="25" width="10" style="6" customWidth="1"/>
    <col min="26" max="26" width="5.90625" style="6" customWidth="1"/>
    <col min="27" max="261" width="9" style="6"/>
    <col min="262" max="262" width="16.26953125" style="6" customWidth="1"/>
    <col min="263" max="263" width="9" style="6"/>
    <col min="264" max="264" width="11.453125" style="6" customWidth="1"/>
    <col min="265" max="266" width="9" style="6"/>
    <col min="267" max="267" width="23" style="6" bestFit="1" customWidth="1"/>
    <col min="268" max="268" width="10" style="6" customWidth="1"/>
    <col min="269" max="269" width="6.26953125" style="6" bestFit="1" customWidth="1"/>
    <col min="270" max="270" width="7.26953125" style="6" bestFit="1" customWidth="1"/>
    <col min="271" max="271" width="16.6328125" style="6" customWidth="1"/>
    <col min="272" max="272" width="7.26953125" style="6" bestFit="1" customWidth="1"/>
    <col min="273" max="273" width="16.6328125" style="6" customWidth="1"/>
    <col min="274" max="517" width="9" style="6"/>
    <col min="518" max="518" width="16.26953125" style="6" customWidth="1"/>
    <col min="519" max="519" width="9" style="6"/>
    <col min="520" max="520" width="11.453125" style="6" customWidth="1"/>
    <col min="521" max="522" width="9" style="6"/>
    <col min="523" max="523" width="23" style="6" bestFit="1" customWidth="1"/>
    <col min="524" max="524" width="10" style="6" customWidth="1"/>
    <col min="525" max="525" width="6.26953125" style="6" bestFit="1" customWidth="1"/>
    <col min="526" max="526" width="7.26953125" style="6" bestFit="1" customWidth="1"/>
    <col min="527" max="527" width="16.6328125" style="6" customWidth="1"/>
    <col min="528" max="528" width="7.26953125" style="6" bestFit="1" customWidth="1"/>
    <col min="529" max="529" width="16.6328125" style="6" customWidth="1"/>
    <col min="530" max="773" width="9" style="6"/>
    <col min="774" max="774" width="16.26953125" style="6" customWidth="1"/>
    <col min="775" max="775" width="9" style="6"/>
    <col min="776" max="776" width="11.453125" style="6" customWidth="1"/>
    <col min="777" max="778" width="9" style="6"/>
    <col min="779" max="779" width="23" style="6" bestFit="1" customWidth="1"/>
    <col min="780" max="780" width="10" style="6" customWidth="1"/>
    <col min="781" max="781" width="6.26953125" style="6" bestFit="1" customWidth="1"/>
    <col min="782" max="782" width="7.26953125" style="6" bestFit="1" customWidth="1"/>
    <col min="783" max="783" width="16.6328125" style="6" customWidth="1"/>
    <col min="784" max="784" width="7.26953125" style="6" bestFit="1" customWidth="1"/>
    <col min="785" max="785" width="16.6328125" style="6" customWidth="1"/>
    <col min="786" max="1029" width="9" style="6"/>
    <col min="1030" max="1030" width="16.26953125" style="6" customWidth="1"/>
    <col min="1031" max="1031" width="9" style="6"/>
    <col min="1032" max="1032" width="11.453125" style="6" customWidth="1"/>
    <col min="1033" max="1034" width="9" style="6"/>
    <col min="1035" max="1035" width="23" style="6" bestFit="1" customWidth="1"/>
    <col min="1036" max="1036" width="10" style="6" customWidth="1"/>
    <col min="1037" max="1037" width="6.26953125" style="6" bestFit="1" customWidth="1"/>
    <col min="1038" max="1038" width="7.26953125" style="6" bestFit="1" customWidth="1"/>
    <col min="1039" max="1039" width="16.6328125" style="6" customWidth="1"/>
    <col min="1040" max="1040" width="7.26953125" style="6" bestFit="1" customWidth="1"/>
    <col min="1041" max="1041" width="16.6328125" style="6" customWidth="1"/>
    <col min="1042" max="1285" width="9" style="6"/>
    <col min="1286" max="1286" width="16.26953125" style="6" customWidth="1"/>
    <col min="1287" max="1287" width="9" style="6"/>
    <col min="1288" max="1288" width="11.453125" style="6" customWidth="1"/>
    <col min="1289" max="1290" width="9" style="6"/>
    <col min="1291" max="1291" width="23" style="6" bestFit="1" customWidth="1"/>
    <col min="1292" max="1292" width="10" style="6" customWidth="1"/>
    <col min="1293" max="1293" width="6.26953125" style="6" bestFit="1" customWidth="1"/>
    <col min="1294" max="1294" width="7.26953125" style="6" bestFit="1" customWidth="1"/>
    <col min="1295" max="1295" width="16.6328125" style="6" customWidth="1"/>
    <col min="1296" max="1296" width="7.26953125" style="6" bestFit="1" customWidth="1"/>
    <col min="1297" max="1297" width="16.6328125" style="6" customWidth="1"/>
    <col min="1298" max="1541" width="9" style="6"/>
    <col min="1542" max="1542" width="16.26953125" style="6" customWidth="1"/>
    <col min="1543" max="1543" width="9" style="6"/>
    <col min="1544" max="1544" width="11.453125" style="6" customWidth="1"/>
    <col min="1545" max="1546" width="9" style="6"/>
    <col min="1547" max="1547" width="23" style="6" bestFit="1" customWidth="1"/>
    <col min="1548" max="1548" width="10" style="6" customWidth="1"/>
    <col min="1549" max="1549" width="6.26953125" style="6" bestFit="1" customWidth="1"/>
    <col min="1550" max="1550" width="7.26953125" style="6" bestFit="1" customWidth="1"/>
    <col min="1551" max="1551" width="16.6328125" style="6" customWidth="1"/>
    <col min="1552" max="1552" width="7.26953125" style="6" bestFit="1" customWidth="1"/>
    <col min="1553" max="1553" width="16.6328125" style="6" customWidth="1"/>
    <col min="1554" max="1797" width="9" style="6"/>
    <col min="1798" max="1798" width="16.26953125" style="6" customWidth="1"/>
    <col min="1799" max="1799" width="9" style="6"/>
    <col min="1800" max="1800" width="11.453125" style="6" customWidth="1"/>
    <col min="1801" max="1802" width="9" style="6"/>
    <col min="1803" max="1803" width="23" style="6" bestFit="1" customWidth="1"/>
    <col min="1804" max="1804" width="10" style="6" customWidth="1"/>
    <col min="1805" max="1805" width="6.26953125" style="6" bestFit="1" customWidth="1"/>
    <col min="1806" max="1806" width="7.26953125" style="6" bestFit="1" customWidth="1"/>
    <col min="1807" max="1807" width="16.6328125" style="6" customWidth="1"/>
    <col min="1808" max="1808" width="7.26953125" style="6" bestFit="1" customWidth="1"/>
    <col min="1809" max="1809" width="16.6328125" style="6" customWidth="1"/>
    <col min="1810" max="2053" width="9" style="6"/>
    <col min="2054" max="2054" width="16.26953125" style="6" customWidth="1"/>
    <col min="2055" max="2055" width="9" style="6"/>
    <col min="2056" max="2056" width="11.453125" style="6" customWidth="1"/>
    <col min="2057" max="2058" width="9" style="6"/>
    <col min="2059" max="2059" width="23" style="6" bestFit="1" customWidth="1"/>
    <col min="2060" max="2060" width="10" style="6" customWidth="1"/>
    <col min="2061" max="2061" width="6.26953125" style="6" bestFit="1" customWidth="1"/>
    <col min="2062" max="2062" width="7.26953125" style="6" bestFit="1" customWidth="1"/>
    <col min="2063" max="2063" width="16.6328125" style="6" customWidth="1"/>
    <col min="2064" max="2064" width="7.26953125" style="6" bestFit="1" customWidth="1"/>
    <col min="2065" max="2065" width="16.6328125" style="6" customWidth="1"/>
    <col min="2066" max="2309" width="9" style="6"/>
    <col min="2310" max="2310" width="16.26953125" style="6" customWidth="1"/>
    <col min="2311" max="2311" width="9" style="6"/>
    <col min="2312" max="2312" width="11.453125" style="6" customWidth="1"/>
    <col min="2313" max="2314" width="9" style="6"/>
    <col min="2315" max="2315" width="23" style="6" bestFit="1" customWidth="1"/>
    <col min="2316" max="2316" width="10" style="6" customWidth="1"/>
    <col min="2317" max="2317" width="6.26953125" style="6" bestFit="1" customWidth="1"/>
    <col min="2318" max="2318" width="7.26953125" style="6" bestFit="1" customWidth="1"/>
    <col min="2319" max="2319" width="16.6328125" style="6" customWidth="1"/>
    <col min="2320" max="2320" width="7.26953125" style="6" bestFit="1" customWidth="1"/>
    <col min="2321" max="2321" width="16.6328125" style="6" customWidth="1"/>
    <col min="2322" max="2565" width="9" style="6"/>
    <col min="2566" max="2566" width="16.26953125" style="6" customWidth="1"/>
    <col min="2567" max="2567" width="9" style="6"/>
    <col min="2568" max="2568" width="11.453125" style="6" customWidth="1"/>
    <col min="2569" max="2570" width="9" style="6"/>
    <col min="2571" max="2571" width="23" style="6" bestFit="1" customWidth="1"/>
    <col min="2572" max="2572" width="10" style="6" customWidth="1"/>
    <col min="2573" max="2573" width="6.26953125" style="6" bestFit="1" customWidth="1"/>
    <col min="2574" max="2574" width="7.26953125" style="6" bestFit="1" customWidth="1"/>
    <col min="2575" max="2575" width="16.6328125" style="6" customWidth="1"/>
    <col min="2576" max="2576" width="7.26953125" style="6" bestFit="1" customWidth="1"/>
    <col min="2577" max="2577" width="16.6328125" style="6" customWidth="1"/>
    <col min="2578" max="2821" width="9" style="6"/>
    <col min="2822" max="2822" width="16.26953125" style="6" customWidth="1"/>
    <col min="2823" max="2823" width="9" style="6"/>
    <col min="2824" max="2824" width="11.453125" style="6" customWidth="1"/>
    <col min="2825" max="2826" width="9" style="6"/>
    <col min="2827" max="2827" width="23" style="6" bestFit="1" customWidth="1"/>
    <col min="2828" max="2828" width="10" style="6" customWidth="1"/>
    <col min="2829" max="2829" width="6.26953125" style="6" bestFit="1" customWidth="1"/>
    <col min="2830" max="2830" width="7.26953125" style="6" bestFit="1" customWidth="1"/>
    <col min="2831" max="2831" width="16.6328125" style="6" customWidth="1"/>
    <col min="2832" max="2832" width="7.26953125" style="6" bestFit="1" customWidth="1"/>
    <col min="2833" max="2833" width="16.6328125" style="6" customWidth="1"/>
    <col min="2834" max="3077" width="9" style="6"/>
    <col min="3078" max="3078" width="16.26953125" style="6" customWidth="1"/>
    <col min="3079" max="3079" width="9" style="6"/>
    <col min="3080" max="3080" width="11.453125" style="6" customWidth="1"/>
    <col min="3081" max="3082" width="9" style="6"/>
    <col min="3083" max="3083" width="23" style="6" bestFit="1" customWidth="1"/>
    <col min="3084" max="3084" width="10" style="6" customWidth="1"/>
    <col min="3085" max="3085" width="6.26953125" style="6" bestFit="1" customWidth="1"/>
    <col min="3086" max="3086" width="7.26953125" style="6" bestFit="1" customWidth="1"/>
    <col min="3087" max="3087" width="16.6328125" style="6" customWidth="1"/>
    <col min="3088" max="3088" width="7.26953125" style="6" bestFit="1" customWidth="1"/>
    <col min="3089" max="3089" width="16.6328125" style="6" customWidth="1"/>
    <col min="3090" max="3333" width="9" style="6"/>
    <col min="3334" max="3334" width="16.26953125" style="6" customWidth="1"/>
    <col min="3335" max="3335" width="9" style="6"/>
    <col min="3336" max="3336" width="11.453125" style="6" customWidth="1"/>
    <col min="3337" max="3338" width="9" style="6"/>
    <col min="3339" max="3339" width="23" style="6" bestFit="1" customWidth="1"/>
    <col min="3340" max="3340" width="10" style="6" customWidth="1"/>
    <col min="3341" max="3341" width="6.26953125" style="6" bestFit="1" customWidth="1"/>
    <col min="3342" max="3342" width="7.26953125" style="6" bestFit="1" customWidth="1"/>
    <col min="3343" max="3343" width="16.6328125" style="6" customWidth="1"/>
    <col min="3344" max="3344" width="7.26953125" style="6" bestFit="1" customWidth="1"/>
    <col min="3345" max="3345" width="16.6328125" style="6" customWidth="1"/>
    <col min="3346" max="3589" width="9" style="6"/>
    <col min="3590" max="3590" width="16.26953125" style="6" customWidth="1"/>
    <col min="3591" max="3591" width="9" style="6"/>
    <col min="3592" max="3592" width="11.453125" style="6" customWidth="1"/>
    <col min="3593" max="3594" width="9" style="6"/>
    <col min="3595" max="3595" width="23" style="6" bestFit="1" customWidth="1"/>
    <col min="3596" max="3596" width="10" style="6" customWidth="1"/>
    <col min="3597" max="3597" width="6.26953125" style="6" bestFit="1" customWidth="1"/>
    <col min="3598" max="3598" width="7.26953125" style="6" bestFit="1" customWidth="1"/>
    <col min="3599" max="3599" width="16.6328125" style="6" customWidth="1"/>
    <col min="3600" max="3600" width="7.26953125" style="6" bestFit="1" customWidth="1"/>
    <col min="3601" max="3601" width="16.6328125" style="6" customWidth="1"/>
    <col min="3602" max="3845" width="9" style="6"/>
    <col min="3846" max="3846" width="16.26953125" style="6" customWidth="1"/>
    <col min="3847" max="3847" width="9" style="6"/>
    <col min="3848" max="3848" width="11.453125" style="6" customWidth="1"/>
    <col min="3849" max="3850" width="9" style="6"/>
    <col min="3851" max="3851" width="23" style="6" bestFit="1" customWidth="1"/>
    <col min="3852" max="3852" width="10" style="6" customWidth="1"/>
    <col min="3853" max="3853" width="6.26953125" style="6" bestFit="1" customWidth="1"/>
    <col min="3854" max="3854" width="7.26953125" style="6" bestFit="1" customWidth="1"/>
    <col min="3855" max="3855" width="16.6328125" style="6" customWidth="1"/>
    <col min="3856" max="3856" width="7.26953125" style="6" bestFit="1" customWidth="1"/>
    <col min="3857" max="3857" width="16.6328125" style="6" customWidth="1"/>
    <col min="3858" max="4101" width="9" style="6"/>
    <col min="4102" max="4102" width="16.26953125" style="6" customWidth="1"/>
    <col min="4103" max="4103" width="9" style="6"/>
    <col min="4104" max="4104" width="11.453125" style="6" customWidth="1"/>
    <col min="4105" max="4106" width="9" style="6"/>
    <col min="4107" max="4107" width="23" style="6" bestFit="1" customWidth="1"/>
    <col min="4108" max="4108" width="10" style="6" customWidth="1"/>
    <col min="4109" max="4109" width="6.26953125" style="6" bestFit="1" customWidth="1"/>
    <col min="4110" max="4110" width="7.26953125" style="6" bestFit="1" customWidth="1"/>
    <col min="4111" max="4111" width="16.6328125" style="6" customWidth="1"/>
    <col min="4112" max="4112" width="7.26953125" style="6" bestFit="1" customWidth="1"/>
    <col min="4113" max="4113" width="16.6328125" style="6" customWidth="1"/>
    <col min="4114" max="4357" width="9" style="6"/>
    <col min="4358" max="4358" width="16.26953125" style="6" customWidth="1"/>
    <col min="4359" max="4359" width="9" style="6"/>
    <col min="4360" max="4360" width="11.453125" style="6" customWidth="1"/>
    <col min="4361" max="4362" width="9" style="6"/>
    <col min="4363" max="4363" width="23" style="6" bestFit="1" customWidth="1"/>
    <col min="4364" max="4364" width="10" style="6" customWidth="1"/>
    <col min="4365" max="4365" width="6.26953125" style="6" bestFit="1" customWidth="1"/>
    <col min="4366" max="4366" width="7.26953125" style="6" bestFit="1" customWidth="1"/>
    <col min="4367" max="4367" width="16.6328125" style="6" customWidth="1"/>
    <col min="4368" max="4368" width="7.26953125" style="6" bestFit="1" customWidth="1"/>
    <col min="4369" max="4369" width="16.6328125" style="6" customWidth="1"/>
    <col min="4370" max="4613" width="9" style="6"/>
    <col min="4614" max="4614" width="16.26953125" style="6" customWidth="1"/>
    <col min="4615" max="4615" width="9" style="6"/>
    <col min="4616" max="4616" width="11.453125" style="6" customWidth="1"/>
    <col min="4617" max="4618" width="9" style="6"/>
    <col min="4619" max="4619" width="23" style="6" bestFit="1" customWidth="1"/>
    <col min="4620" max="4620" width="10" style="6" customWidth="1"/>
    <col min="4621" max="4621" width="6.26953125" style="6" bestFit="1" customWidth="1"/>
    <col min="4622" max="4622" width="7.26953125" style="6" bestFit="1" customWidth="1"/>
    <col min="4623" max="4623" width="16.6328125" style="6" customWidth="1"/>
    <col min="4624" max="4624" width="7.26953125" style="6" bestFit="1" customWidth="1"/>
    <col min="4625" max="4625" width="16.6328125" style="6" customWidth="1"/>
    <col min="4626" max="4869" width="9" style="6"/>
    <col min="4870" max="4870" width="16.26953125" style="6" customWidth="1"/>
    <col min="4871" max="4871" width="9" style="6"/>
    <col min="4872" max="4872" width="11.453125" style="6" customWidth="1"/>
    <col min="4873" max="4874" width="9" style="6"/>
    <col min="4875" max="4875" width="23" style="6" bestFit="1" customWidth="1"/>
    <col min="4876" max="4876" width="10" style="6" customWidth="1"/>
    <col min="4877" max="4877" width="6.26953125" style="6" bestFit="1" customWidth="1"/>
    <col min="4878" max="4878" width="7.26953125" style="6" bestFit="1" customWidth="1"/>
    <col min="4879" max="4879" width="16.6328125" style="6" customWidth="1"/>
    <col min="4880" max="4880" width="7.26953125" style="6" bestFit="1" customWidth="1"/>
    <col min="4881" max="4881" width="16.6328125" style="6" customWidth="1"/>
    <col min="4882" max="5125" width="9" style="6"/>
    <col min="5126" max="5126" width="16.26953125" style="6" customWidth="1"/>
    <col min="5127" max="5127" width="9" style="6"/>
    <col min="5128" max="5128" width="11.453125" style="6" customWidth="1"/>
    <col min="5129" max="5130" width="9" style="6"/>
    <col min="5131" max="5131" width="23" style="6" bestFit="1" customWidth="1"/>
    <col min="5132" max="5132" width="10" style="6" customWidth="1"/>
    <col min="5133" max="5133" width="6.26953125" style="6" bestFit="1" customWidth="1"/>
    <col min="5134" max="5134" width="7.26953125" style="6" bestFit="1" customWidth="1"/>
    <col min="5135" max="5135" width="16.6328125" style="6" customWidth="1"/>
    <col min="5136" max="5136" width="7.26953125" style="6" bestFit="1" customWidth="1"/>
    <col min="5137" max="5137" width="16.6328125" style="6" customWidth="1"/>
    <col min="5138" max="5381" width="9" style="6"/>
    <col min="5382" max="5382" width="16.26953125" style="6" customWidth="1"/>
    <col min="5383" max="5383" width="9" style="6"/>
    <col min="5384" max="5384" width="11.453125" style="6" customWidth="1"/>
    <col min="5385" max="5386" width="9" style="6"/>
    <col min="5387" max="5387" width="23" style="6" bestFit="1" customWidth="1"/>
    <col min="5388" max="5388" width="10" style="6" customWidth="1"/>
    <col min="5389" max="5389" width="6.26953125" style="6" bestFit="1" customWidth="1"/>
    <col min="5390" max="5390" width="7.26953125" style="6" bestFit="1" customWidth="1"/>
    <col min="5391" max="5391" width="16.6328125" style="6" customWidth="1"/>
    <col min="5392" max="5392" width="7.26953125" style="6" bestFit="1" customWidth="1"/>
    <col min="5393" max="5393" width="16.6328125" style="6" customWidth="1"/>
    <col min="5394" max="5637" width="9" style="6"/>
    <col min="5638" max="5638" width="16.26953125" style="6" customWidth="1"/>
    <col min="5639" max="5639" width="9" style="6"/>
    <col min="5640" max="5640" width="11.453125" style="6" customWidth="1"/>
    <col min="5641" max="5642" width="9" style="6"/>
    <col min="5643" max="5643" width="23" style="6" bestFit="1" customWidth="1"/>
    <col min="5644" max="5644" width="10" style="6" customWidth="1"/>
    <col min="5645" max="5645" width="6.26953125" style="6" bestFit="1" customWidth="1"/>
    <col min="5646" max="5646" width="7.26953125" style="6" bestFit="1" customWidth="1"/>
    <col min="5647" max="5647" width="16.6328125" style="6" customWidth="1"/>
    <col min="5648" max="5648" width="7.26953125" style="6" bestFit="1" customWidth="1"/>
    <col min="5649" max="5649" width="16.6328125" style="6" customWidth="1"/>
    <col min="5650" max="5893" width="9" style="6"/>
    <col min="5894" max="5894" width="16.26953125" style="6" customWidth="1"/>
    <col min="5895" max="5895" width="9" style="6"/>
    <col min="5896" max="5896" width="11.453125" style="6" customWidth="1"/>
    <col min="5897" max="5898" width="9" style="6"/>
    <col min="5899" max="5899" width="23" style="6" bestFit="1" customWidth="1"/>
    <col min="5900" max="5900" width="10" style="6" customWidth="1"/>
    <col min="5901" max="5901" width="6.26953125" style="6" bestFit="1" customWidth="1"/>
    <col min="5902" max="5902" width="7.26953125" style="6" bestFit="1" customWidth="1"/>
    <col min="5903" max="5903" width="16.6328125" style="6" customWidth="1"/>
    <col min="5904" max="5904" width="7.26953125" style="6" bestFit="1" customWidth="1"/>
    <col min="5905" max="5905" width="16.6328125" style="6" customWidth="1"/>
    <col min="5906" max="6149" width="9" style="6"/>
    <col min="6150" max="6150" width="16.26953125" style="6" customWidth="1"/>
    <col min="6151" max="6151" width="9" style="6"/>
    <col min="6152" max="6152" width="11.453125" style="6" customWidth="1"/>
    <col min="6153" max="6154" width="9" style="6"/>
    <col min="6155" max="6155" width="23" style="6" bestFit="1" customWidth="1"/>
    <col min="6156" max="6156" width="10" style="6" customWidth="1"/>
    <col min="6157" max="6157" width="6.26953125" style="6" bestFit="1" customWidth="1"/>
    <col min="6158" max="6158" width="7.26953125" style="6" bestFit="1" customWidth="1"/>
    <col min="6159" max="6159" width="16.6328125" style="6" customWidth="1"/>
    <col min="6160" max="6160" width="7.26953125" style="6" bestFit="1" customWidth="1"/>
    <col min="6161" max="6161" width="16.6328125" style="6" customWidth="1"/>
    <col min="6162" max="6405" width="9" style="6"/>
    <col min="6406" max="6406" width="16.26953125" style="6" customWidth="1"/>
    <col min="6407" max="6407" width="9" style="6"/>
    <col min="6408" max="6408" width="11.453125" style="6" customWidth="1"/>
    <col min="6409" max="6410" width="9" style="6"/>
    <col min="6411" max="6411" width="23" style="6" bestFit="1" customWidth="1"/>
    <col min="6412" max="6412" width="10" style="6" customWidth="1"/>
    <col min="6413" max="6413" width="6.26953125" style="6" bestFit="1" customWidth="1"/>
    <col min="6414" max="6414" width="7.26953125" style="6" bestFit="1" customWidth="1"/>
    <col min="6415" max="6415" width="16.6328125" style="6" customWidth="1"/>
    <col min="6416" max="6416" width="7.26953125" style="6" bestFit="1" customWidth="1"/>
    <col min="6417" max="6417" width="16.6328125" style="6" customWidth="1"/>
    <col min="6418" max="6661" width="9" style="6"/>
    <col min="6662" max="6662" width="16.26953125" style="6" customWidth="1"/>
    <col min="6663" max="6663" width="9" style="6"/>
    <col min="6664" max="6664" width="11.453125" style="6" customWidth="1"/>
    <col min="6665" max="6666" width="9" style="6"/>
    <col min="6667" max="6667" width="23" style="6" bestFit="1" customWidth="1"/>
    <col min="6668" max="6668" width="10" style="6" customWidth="1"/>
    <col min="6669" max="6669" width="6.26953125" style="6" bestFit="1" customWidth="1"/>
    <col min="6670" max="6670" width="7.26953125" style="6" bestFit="1" customWidth="1"/>
    <col min="6671" max="6671" width="16.6328125" style="6" customWidth="1"/>
    <col min="6672" max="6672" width="7.26953125" style="6" bestFit="1" customWidth="1"/>
    <col min="6673" max="6673" width="16.6328125" style="6" customWidth="1"/>
    <col min="6674" max="6917" width="9" style="6"/>
    <col min="6918" max="6918" width="16.26953125" style="6" customWidth="1"/>
    <col min="6919" max="6919" width="9" style="6"/>
    <col min="6920" max="6920" width="11.453125" style="6" customWidth="1"/>
    <col min="6921" max="6922" width="9" style="6"/>
    <col min="6923" max="6923" width="23" style="6" bestFit="1" customWidth="1"/>
    <col min="6924" max="6924" width="10" style="6" customWidth="1"/>
    <col min="6925" max="6925" width="6.26953125" style="6" bestFit="1" customWidth="1"/>
    <col min="6926" max="6926" width="7.26953125" style="6" bestFit="1" customWidth="1"/>
    <col min="6927" max="6927" width="16.6328125" style="6" customWidth="1"/>
    <col min="6928" max="6928" width="7.26953125" style="6" bestFit="1" customWidth="1"/>
    <col min="6929" max="6929" width="16.6328125" style="6" customWidth="1"/>
    <col min="6930" max="7173" width="9" style="6"/>
    <col min="7174" max="7174" width="16.26953125" style="6" customWidth="1"/>
    <col min="7175" max="7175" width="9" style="6"/>
    <col min="7176" max="7176" width="11.453125" style="6" customWidth="1"/>
    <col min="7177" max="7178" width="9" style="6"/>
    <col min="7179" max="7179" width="23" style="6" bestFit="1" customWidth="1"/>
    <col min="7180" max="7180" width="10" style="6" customWidth="1"/>
    <col min="7181" max="7181" width="6.26953125" style="6" bestFit="1" customWidth="1"/>
    <col min="7182" max="7182" width="7.26953125" style="6" bestFit="1" customWidth="1"/>
    <col min="7183" max="7183" width="16.6328125" style="6" customWidth="1"/>
    <col min="7184" max="7184" width="7.26953125" style="6" bestFit="1" customWidth="1"/>
    <col min="7185" max="7185" width="16.6328125" style="6" customWidth="1"/>
    <col min="7186" max="7429" width="9" style="6"/>
    <col min="7430" max="7430" width="16.26953125" style="6" customWidth="1"/>
    <col min="7431" max="7431" width="9" style="6"/>
    <col min="7432" max="7432" width="11.453125" style="6" customWidth="1"/>
    <col min="7433" max="7434" width="9" style="6"/>
    <col min="7435" max="7435" width="23" style="6" bestFit="1" customWidth="1"/>
    <col min="7436" max="7436" width="10" style="6" customWidth="1"/>
    <col min="7437" max="7437" width="6.26953125" style="6" bestFit="1" customWidth="1"/>
    <col min="7438" max="7438" width="7.26953125" style="6" bestFit="1" customWidth="1"/>
    <col min="7439" max="7439" width="16.6328125" style="6" customWidth="1"/>
    <col min="7440" max="7440" width="7.26953125" style="6" bestFit="1" customWidth="1"/>
    <col min="7441" max="7441" width="16.6328125" style="6" customWidth="1"/>
    <col min="7442" max="7685" width="9" style="6"/>
    <col min="7686" max="7686" width="16.26953125" style="6" customWidth="1"/>
    <col min="7687" max="7687" width="9" style="6"/>
    <col min="7688" max="7688" width="11.453125" style="6" customWidth="1"/>
    <col min="7689" max="7690" width="9" style="6"/>
    <col min="7691" max="7691" width="23" style="6" bestFit="1" customWidth="1"/>
    <col min="7692" max="7692" width="10" style="6" customWidth="1"/>
    <col min="7693" max="7693" width="6.26953125" style="6" bestFit="1" customWidth="1"/>
    <col min="7694" max="7694" width="7.26953125" style="6" bestFit="1" customWidth="1"/>
    <col min="7695" max="7695" width="16.6328125" style="6" customWidth="1"/>
    <col min="7696" max="7696" width="7.26953125" style="6" bestFit="1" customWidth="1"/>
    <col min="7697" max="7697" width="16.6328125" style="6" customWidth="1"/>
    <col min="7698" max="7941" width="9" style="6"/>
    <col min="7942" max="7942" width="16.26953125" style="6" customWidth="1"/>
    <col min="7943" max="7943" width="9" style="6"/>
    <col min="7944" max="7944" width="11.453125" style="6" customWidth="1"/>
    <col min="7945" max="7946" width="9" style="6"/>
    <col min="7947" max="7947" width="23" style="6" bestFit="1" customWidth="1"/>
    <col min="7948" max="7948" width="10" style="6" customWidth="1"/>
    <col min="7949" max="7949" width="6.26953125" style="6" bestFit="1" customWidth="1"/>
    <col min="7950" max="7950" width="7.26953125" style="6" bestFit="1" customWidth="1"/>
    <col min="7951" max="7951" width="16.6328125" style="6" customWidth="1"/>
    <col min="7952" max="7952" width="7.26953125" style="6" bestFit="1" customWidth="1"/>
    <col min="7953" max="7953" width="16.6328125" style="6" customWidth="1"/>
    <col min="7954" max="8197" width="9" style="6"/>
    <col min="8198" max="8198" width="16.26953125" style="6" customWidth="1"/>
    <col min="8199" max="8199" width="9" style="6"/>
    <col min="8200" max="8200" width="11.453125" style="6" customWidth="1"/>
    <col min="8201" max="8202" width="9" style="6"/>
    <col min="8203" max="8203" width="23" style="6" bestFit="1" customWidth="1"/>
    <col min="8204" max="8204" width="10" style="6" customWidth="1"/>
    <col min="8205" max="8205" width="6.26953125" style="6" bestFit="1" customWidth="1"/>
    <col min="8206" max="8206" width="7.26953125" style="6" bestFit="1" customWidth="1"/>
    <col min="8207" max="8207" width="16.6328125" style="6" customWidth="1"/>
    <col min="8208" max="8208" width="7.26953125" style="6" bestFit="1" customWidth="1"/>
    <col min="8209" max="8209" width="16.6328125" style="6" customWidth="1"/>
    <col min="8210" max="8453" width="9" style="6"/>
    <col min="8454" max="8454" width="16.26953125" style="6" customWidth="1"/>
    <col min="8455" max="8455" width="9" style="6"/>
    <col min="8456" max="8456" width="11.453125" style="6" customWidth="1"/>
    <col min="8457" max="8458" width="9" style="6"/>
    <col min="8459" max="8459" width="23" style="6" bestFit="1" customWidth="1"/>
    <col min="8460" max="8460" width="10" style="6" customWidth="1"/>
    <col min="8461" max="8461" width="6.26953125" style="6" bestFit="1" customWidth="1"/>
    <col min="8462" max="8462" width="7.26953125" style="6" bestFit="1" customWidth="1"/>
    <col min="8463" max="8463" width="16.6328125" style="6" customWidth="1"/>
    <col min="8464" max="8464" width="7.26953125" style="6" bestFit="1" customWidth="1"/>
    <col min="8465" max="8465" width="16.6328125" style="6" customWidth="1"/>
    <col min="8466" max="8709" width="9" style="6"/>
    <col min="8710" max="8710" width="16.26953125" style="6" customWidth="1"/>
    <col min="8711" max="8711" width="9" style="6"/>
    <col min="8712" max="8712" width="11.453125" style="6" customWidth="1"/>
    <col min="8713" max="8714" width="9" style="6"/>
    <col min="8715" max="8715" width="23" style="6" bestFit="1" customWidth="1"/>
    <col min="8716" max="8716" width="10" style="6" customWidth="1"/>
    <col min="8717" max="8717" width="6.26953125" style="6" bestFit="1" customWidth="1"/>
    <col min="8718" max="8718" width="7.26953125" style="6" bestFit="1" customWidth="1"/>
    <col min="8719" max="8719" width="16.6328125" style="6" customWidth="1"/>
    <col min="8720" max="8720" width="7.26953125" style="6" bestFit="1" customWidth="1"/>
    <col min="8721" max="8721" width="16.6328125" style="6" customWidth="1"/>
    <col min="8722" max="8965" width="9" style="6"/>
    <col min="8966" max="8966" width="16.26953125" style="6" customWidth="1"/>
    <col min="8967" max="8967" width="9" style="6"/>
    <col min="8968" max="8968" width="11.453125" style="6" customWidth="1"/>
    <col min="8969" max="8970" width="9" style="6"/>
    <col min="8971" max="8971" width="23" style="6" bestFit="1" customWidth="1"/>
    <col min="8972" max="8972" width="10" style="6" customWidth="1"/>
    <col min="8973" max="8973" width="6.26953125" style="6" bestFit="1" customWidth="1"/>
    <col min="8974" max="8974" width="7.26953125" style="6" bestFit="1" customWidth="1"/>
    <col min="8975" max="8975" width="16.6328125" style="6" customWidth="1"/>
    <col min="8976" max="8976" width="7.26953125" style="6" bestFit="1" customWidth="1"/>
    <col min="8977" max="8977" width="16.6328125" style="6" customWidth="1"/>
    <col min="8978" max="9221" width="9" style="6"/>
    <col min="9222" max="9222" width="16.26953125" style="6" customWidth="1"/>
    <col min="9223" max="9223" width="9" style="6"/>
    <col min="9224" max="9224" width="11.453125" style="6" customWidth="1"/>
    <col min="9225" max="9226" width="9" style="6"/>
    <col min="9227" max="9227" width="23" style="6" bestFit="1" customWidth="1"/>
    <col min="9228" max="9228" width="10" style="6" customWidth="1"/>
    <col min="9229" max="9229" width="6.26953125" style="6" bestFit="1" customWidth="1"/>
    <col min="9230" max="9230" width="7.26953125" style="6" bestFit="1" customWidth="1"/>
    <col min="9231" max="9231" width="16.6328125" style="6" customWidth="1"/>
    <col min="9232" max="9232" width="7.26953125" style="6" bestFit="1" customWidth="1"/>
    <col min="9233" max="9233" width="16.6328125" style="6" customWidth="1"/>
    <col min="9234" max="9477" width="9" style="6"/>
    <col min="9478" max="9478" width="16.26953125" style="6" customWidth="1"/>
    <col min="9479" max="9479" width="9" style="6"/>
    <col min="9480" max="9480" width="11.453125" style="6" customWidth="1"/>
    <col min="9481" max="9482" width="9" style="6"/>
    <col min="9483" max="9483" width="23" style="6" bestFit="1" customWidth="1"/>
    <col min="9484" max="9484" width="10" style="6" customWidth="1"/>
    <col min="9485" max="9485" width="6.26953125" style="6" bestFit="1" customWidth="1"/>
    <col min="9486" max="9486" width="7.26953125" style="6" bestFit="1" customWidth="1"/>
    <col min="9487" max="9487" width="16.6328125" style="6" customWidth="1"/>
    <col min="9488" max="9488" width="7.26953125" style="6" bestFit="1" customWidth="1"/>
    <col min="9489" max="9489" width="16.6328125" style="6" customWidth="1"/>
    <col min="9490" max="9733" width="9" style="6"/>
    <col min="9734" max="9734" width="16.26953125" style="6" customWidth="1"/>
    <col min="9735" max="9735" width="9" style="6"/>
    <col min="9736" max="9736" width="11.453125" style="6" customWidth="1"/>
    <col min="9737" max="9738" width="9" style="6"/>
    <col min="9739" max="9739" width="23" style="6" bestFit="1" customWidth="1"/>
    <col min="9740" max="9740" width="10" style="6" customWidth="1"/>
    <col min="9741" max="9741" width="6.26953125" style="6" bestFit="1" customWidth="1"/>
    <col min="9742" max="9742" width="7.26953125" style="6" bestFit="1" customWidth="1"/>
    <col min="9743" max="9743" width="16.6328125" style="6" customWidth="1"/>
    <col min="9744" max="9744" width="7.26953125" style="6" bestFit="1" customWidth="1"/>
    <col min="9745" max="9745" width="16.6328125" style="6" customWidth="1"/>
    <col min="9746" max="9989" width="9" style="6"/>
    <col min="9990" max="9990" width="16.26953125" style="6" customWidth="1"/>
    <col min="9991" max="9991" width="9" style="6"/>
    <col min="9992" max="9992" width="11.453125" style="6" customWidth="1"/>
    <col min="9993" max="9994" width="9" style="6"/>
    <col min="9995" max="9995" width="23" style="6" bestFit="1" customWidth="1"/>
    <col min="9996" max="9996" width="10" style="6" customWidth="1"/>
    <col min="9997" max="9997" width="6.26953125" style="6" bestFit="1" customWidth="1"/>
    <col min="9998" max="9998" width="7.26953125" style="6" bestFit="1" customWidth="1"/>
    <col min="9999" max="9999" width="16.6328125" style="6" customWidth="1"/>
    <col min="10000" max="10000" width="7.26953125" style="6" bestFit="1" customWidth="1"/>
    <col min="10001" max="10001" width="16.6328125" style="6" customWidth="1"/>
    <col min="10002" max="10245" width="9" style="6"/>
    <col min="10246" max="10246" width="16.26953125" style="6" customWidth="1"/>
    <col min="10247" max="10247" width="9" style="6"/>
    <col min="10248" max="10248" width="11.453125" style="6" customWidth="1"/>
    <col min="10249" max="10250" width="9" style="6"/>
    <col min="10251" max="10251" width="23" style="6" bestFit="1" customWidth="1"/>
    <col min="10252" max="10252" width="10" style="6" customWidth="1"/>
    <col min="10253" max="10253" width="6.26953125" style="6" bestFit="1" customWidth="1"/>
    <col min="10254" max="10254" width="7.26953125" style="6" bestFit="1" customWidth="1"/>
    <col min="10255" max="10255" width="16.6328125" style="6" customWidth="1"/>
    <col min="10256" max="10256" width="7.26953125" style="6" bestFit="1" customWidth="1"/>
    <col min="10257" max="10257" width="16.6328125" style="6" customWidth="1"/>
    <col min="10258" max="10501" width="9" style="6"/>
    <col min="10502" max="10502" width="16.26953125" style="6" customWidth="1"/>
    <col min="10503" max="10503" width="9" style="6"/>
    <col min="10504" max="10504" width="11.453125" style="6" customWidth="1"/>
    <col min="10505" max="10506" width="9" style="6"/>
    <col min="10507" max="10507" width="23" style="6" bestFit="1" customWidth="1"/>
    <col min="10508" max="10508" width="10" style="6" customWidth="1"/>
    <col min="10509" max="10509" width="6.26953125" style="6" bestFit="1" customWidth="1"/>
    <col min="10510" max="10510" width="7.26953125" style="6" bestFit="1" customWidth="1"/>
    <col min="10511" max="10511" width="16.6328125" style="6" customWidth="1"/>
    <col min="10512" max="10512" width="7.26953125" style="6" bestFit="1" customWidth="1"/>
    <col min="10513" max="10513" width="16.6328125" style="6" customWidth="1"/>
    <col min="10514" max="10757" width="9" style="6"/>
    <col min="10758" max="10758" width="16.26953125" style="6" customWidth="1"/>
    <col min="10759" max="10759" width="9" style="6"/>
    <col min="10760" max="10760" width="11.453125" style="6" customWidth="1"/>
    <col min="10761" max="10762" width="9" style="6"/>
    <col min="10763" max="10763" width="23" style="6" bestFit="1" customWidth="1"/>
    <col min="10764" max="10764" width="10" style="6" customWidth="1"/>
    <col min="10765" max="10765" width="6.26953125" style="6" bestFit="1" customWidth="1"/>
    <col min="10766" max="10766" width="7.26953125" style="6" bestFit="1" customWidth="1"/>
    <col min="10767" max="10767" width="16.6328125" style="6" customWidth="1"/>
    <col min="10768" max="10768" width="7.26953125" style="6" bestFit="1" customWidth="1"/>
    <col min="10769" max="10769" width="16.6328125" style="6" customWidth="1"/>
    <col min="10770" max="11013" width="9" style="6"/>
    <col min="11014" max="11014" width="16.26953125" style="6" customWidth="1"/>
    <col min="11015" max="11015" width="9" style="6"/>
    <col min="11016" max="11016" width="11.453125" style="6" customWidth="1"/>
    <col min="11017" max="11018" width="9" style="6"/>
    <col min="11019" max="11019" width="23" style="6" bestFit="1" customWidth="1"/>
    <col min="11020" max="11020" width="10" style="6" customWidth="1"/>
    <col min="11021" max="11021" width="6.26953125" style="6" bestFit="1" customWidth="1"/>
    <col min="11022" max="11022" width="7.26953125" style="6" bestFit="1" customWidth="1"/>
    <col min="11023" max="11023" width="16.6328125" style="6" customWidth="1"/>
    <col min="11024" max="11024" width="7.26953125" style="6" bestFit="1" customWidth="1"/>
    <col min="11025" max="11025" width="16.6328125" style="6" customWidth="1"/>
    <col min="11026" max="11269" width="9" style="6"/>
    <col min="11270" max="11270" width="16.26953125" style="6" customWidth="1"/>
    <col min="11271" max="11271" width="9" style="6"/>
    <col min="11272" max="11272" width="11.453125" style="6" customWidth="1"/>
    <col min="11273" max="11274" width="9" style="6"/>
    <col min="11275" max="11275" width="23" style="6" bestFit="1" customWidth="1"/>
    <col min="11276" max="11276" width="10" style="6" customWidth="1"/>
    <col min="11277" max="11277" width="6.26953125" style="6" bestFit="1" customWidth="1"/>
    <col min="11278" max="11278" width="7.26953125" style="6" bestFit="1" customWidth="1"/>
    <col min="11279" max="11279" width="16.6328125" style="6" customWidth="1"/>
    <col min="11280" max="11280" width="7.26953125" style="6" bestFit="1" customWidth="1"/>
    <col min="11281" max="11281" width="16.6328125" style="6" customWidth="1"/>
    <col min="11282" max="11525" width="9" style="6"/>
    <col min="11526" max="11526" width="16.26953125" style="6" customWidth="1"/>
    <col min="11527" max="11527" width="9" style="6"/>
    <col min="11528" max="11528" width="11.453125" style="6" customWidth="1"/>
    <col min="11529" max="11530" width="9" style="6"/>
    <col min="11531" max="11531" width="23" style="6" bestFit="1" customWidth="1"/>
    <col min="11532" max="11532" width="10" style="6" customWidth="1"/>
    <col min="11533" max="11533" width="6.26953125" style="6" bestFit="1" customWidth="1"/>
    <col min="11534" max="11534" width="7.26953125" style="6" bestFit="1" customWidth="1"/>
    <col min="11535" max="11535" width="16.6328125" style="6" customWidth="1"/>
    <col min="11536" max="11536" width="7.26953125" style="6" bestFit="1" customWidth="1"/>
    <col min="11537" max="11537" width="16.6328125" style="6" customWidth="1"/>
    <col min="11538" max="11781" width="9" style="6"/>
    <col min="11782" max="11782" width="16.26953125" style="6" customWidth="1"/>
    <col min="11783" max="11783" width="9" style="6"/>
    <col min="11784" max="11784" width="11.453125" style="6" customWidth="1"/>
    <col min="11785" max="11786" width="9" style="6"/>
    <col min="11787" max="11787" width="23" style="6" bestFit="1" customWidth="1"/>
    <col min="11788" max="11788" width="10" style="6" customWidth="1"/>
    <col min="11789" max="11789" width="6.26953125" style="6" bestFit="1" customWidth="1"/>
    <col min="11790" max="11790" width="7.26953125" style="6" bestFit="1" customWidth="1"/>
    <col min="11791" max="11791" width="16.6328125" style="6" customWidth="1"/>
    <col min="11792" max="11792" width="7.26953125" style="6" bestFit="1" customWidth="1"/>
    <col min="11793" max="11793" width="16.6328125" style="6" customWidth="1"/>
    <col min="11794" max="12037" width="9" style="6"/>
    <col min="12038" max="12038" width="16.26953125" style="6" customWidth="1"/>
    <col min="12039" max="12039" width="9" style="6"/>
    <col min="12040" max="12040" width="11.453125" style="6" customWidth="1"/>
    <col min="12041" max="12042" width="9" style="6"/>
    <col min="12043" max="12043" width="23" style="6" bestFit="1" customWidth="1"/>
    <col min="12044" max="12044" width="10" style="6" customWidth="1"/>
    <col min="12045" max="12045" width="6.26953125" style="6" bestFit="1" customWidth="1"/>
    <col min="12046" max="12046" width="7.26953125" style="6" bestFit="1" customWidth="1"/>
    <col min="12047" max="12047" width="16.6328125" style="6" customWidth="1"/>
    <col min="12048" max="12048" width="7.26953125" style="6" bestFit="1" customWidth="1"/>
    <col min="12049" max="12049" width="16.6328125" style="6" customWidth="1"/>
    <col min="12050" max="12293" width="9" style="6"/>
    <col min="12294" max="12294" width="16.26953125" style="6" customWidth="1"/>
    <col min="12295" max="12295" width="9" style="6"/>
    <col min="12296" max="12296" width="11.453125" style="6" customWidth="1"/>
    <col min="12297" max="12298" width="9" style="6"/>
    <col min="12299" max="12299" width="23" style="6" bestFit="1" customWidth="1"/>
    <col min="12300" max="12300" width="10" style="6" customWidth="1"/>
    <col min="12301" max="12301" width="6.26953125" style="6" bestFit="1" customWidth="1"/>
    <col min="12302" max="12302" width="7.26953125" style="6" bestFit="1" customWidth="1"/>
    <col min="12303" max="12303" width="16.6328125" style="6" customWidth="1"/>
    <col min="12304" max="12304" width="7.26953125" style="6" bestFit="1" customWidth="1"/>
    <col min="12305" max="12305" width="16.6328125" style="6" customWidth="1"/>
    <col min="12306" max="12549" width="9" style="6"/>
    <col min="12550" max="12550" width="16.26953125" style="6" customWidth="1"/>
    <col min="12551" max="12551" width="9" style="6"/>
    <col min="12552" max="12552" width="11.453125" style="6" customWidth="1"/>
    <col min="12553" max="12554" width="9" style="6"/>
    <col min="12555" max="12555" width="23" style="6" bestFit="1" customWidth="1"/>
    <col min="12556" max="12556" width="10" style="6" customWidth="1"/>
    <col min="12557" max="12557" width="6.26953125" style="6" bestFit="1" customWidth="1"/>
    <col min="12558" max="12558" width="7.26953125" style="6" bestFit="1" customWidth="1"/>
    <col min="12559" max="12559" width="16.6328125" style="6" customWidth="1"/>
    <col min="12560" max="12560" width="7.26953125" style="6" bestFit="1" customWidth="1"/>
    <col min="12561" max="12561" width="16.6328125" style="6" customWidth="1"/>
    <col min="12562" max="12805" width="9" style="6"/>
    <col min="12806" max="12806" width="16.26953125" style="6" customWidth="1"/>
    <col min="12807" max="12807" width="9" style="6"/>
    <col min="12808" max="12808" width="11.453125" style="6" customWidth="1"/>
    <col min="12809" max="12810" width="9" style="6"/>
    <col min="12811" max="12811" width="23" style="6" bestFit="1" customWidth="1"/>
    <col min="12812" max="12812" width="10" style="6" customWidth="1"/>
    <col min="12813" max="12813" width="6.26953125" style="6" bestFit="1" customWidth="1"/>
    <col min="12814" max="12814" width="7.26953125" style="6" bestFit="1" customWidth="1"/>
    <col min="12815" max="12815" width="16.6328125" style="6" customWidth="1"/>
    <col min="12816" max="12816" width="7.26953125" style="6" bestFit="1" customWidth="1"/>
    <col min="12817" max="12817" width="16.6328125" style="6" customWidth="1"/>
    <col min="12818" max="13061" width="9" style="6"/>
    <col min="13062" max="13062" width="16.26953125" style="6" customWidth="1"/>
    <col min="13063" max="13063" width="9" style="6"/>
    <col min="13064" max="13064" width="11.453125" style="6" customWidth="1"/>
    <col min="13065" max="13066" width="9" style="6"/>
    <col min="13067" max="13067" width="23" style="6" bestFit="1" customWidth="1"/>
    <col min="13068" max="13068" width="10" style="6" customWidth="1"/>
    <col min="13069" max="13069" width="6.26953125" style="6" bestFit="1" customWidth="1"/>
    <col min="13070" max="13070" width="7.26953125" style="6" bestFit="1" customWidth="1"/>
    <col min="13071" max="13071" width="16.6328125" style="6" customWidth="1"/>
    <col min="13072" max="13072" width="7.26953125" style="6" bestFit="1" customWidth="1"/>
    <col min="13073" max="13073" width="16.6328125" style="6" customWidth="1"/>
    <col min="13074" max="13317" width="9" style="6"/>
    <col min="13318" max="13318" width="16.26953125" style="6" customWidth="1"/>
    <col min="13319" max="13319" width="9" style="6"/>
    <col min="13320" max="13320" width="11.453125" style="6" customWidth="1"/>
    <col min="13321" max="13322" width="9" style="6"/>
    <col min="13323" max="13323" width="23" style="6" bestFit="1" customWidth="1"/>
    <col min="13324" max="13324" width="10" style="6" customWidth="1"/>
    <col min="13325" max="13325" width="6.26953125" style="6" bestFit="1" customWidth="1"/>
    <col min="13326" max="13326" width="7.26953125" style="6" bestFit="1" customWidth="1"/>
    <col min="13327" max="13327" width="16.6328125" style="6" customWidth="1"/>
    <col min="13328" max="13328" width="7.26953125" style="6" bestFit="1" customWidth="1"/>
    <col min="13329" max="13329" width="16.6328125" style="6" customWidth="1"/>
    <col min="13330" max="13573" width="9" style="6"/>
    <col min="13574" max="13574" width="16.26953125" style="6" customWidth="1"/>
    <col min="13575" max="13575" width="9" style="6"/>
    <col min="13576" max="13576" width="11.453125" style="6" customWidth="1"/>
    <col min="13577" max="13578" width="9" style="6"/>
    <col min="13579" max="13579" width="23" style="6" bestFit="1" customWidth="1"/>
    <col min="13580" max="13580" width="10" style="6" customWidth="1"/>
    <col min="13581" max="13581" width="6.26953125" style="6" bestFit="1" customWidth="1"/>
    <col min="13582" max="13582" width="7.26953125" style="6" bestFit="1" customWidth="1"/>
    <col min="13583" max="13583" width="16.6328125" style="6" customWidth="1"/>
    <col min="13584" max="13584" width="7.26953125" style="6" bestFit="1" customWidth="1"/>
    <col min="13585" max="13585" width="16.6328125" style="6" customWidth="1"/>
    <col min="13586" max="13829" width="9" style="6"/>
    <col min="13830" max="13830" width="16.26953125" style="6" customWidth="1"/>
    <col min="13831" max="13831" width="9" style="6"/>
    <col min="13832" max="13832" width="11.453125" style="6" customWidth="1"/>
    <col min="13833" max="13834" width="9" style="6"/>
    <col min="13835" max="13835" width="23" style="6" bestFit="1" customWidth="1"/>
    <col min="13836" max="13836" width="10" style="6" customWidth="1"/>
    <col min="13837" max="13837" width="6.26953125" style="6" bestFit="1" customWidth="1"/>
    <col min="13838" max="13838" width="7.26953125" style="6" bestFit="1" customWidth="1"/>
    <col min="13839" max="13839" width="16.6328125" style="6" customWidth="1"/>
    <col min="13840" max="13840" width="7.26953125" style="6" bestFit="1" customWidth="1"/>
    <col min="13841" max="13841" width="16.6328125" style="6" customWidth="1"/>
    <col min="13842" max="14085" width="9" style="6"/>
    <col min="14086" max="14086" width="16.26953125" style="6" customWidth="1"/>
    <col min="14087" max="14087" width="9" style="6"/>
    <col min="14088" max="14088" width="11.453125" style="6" customWidth="1"/>
    <col min="14089" max="14090" width="9" style="6"/>
    <col min="14091" max="14091" width="23" style="6" bestFit="1" customWidth="1"/>
    <col min="14092" max="14092" width="10" style="6" customWidth="1"/>
    <col min="14093" max="14093" width="6.26953125" style="6" bestFit="1" customWidth="1"/>
    <col min="14094" max="14094" width="7.26953125" style="6" bestFit="1" customWidth="1"/>
    <col min="14095" max="14095" width="16.6328125" style="6" customWidth="1"/>
    <col min="14096" max="14096" width="7.26953125" style="6" bestFit="1" customWidth="1"/>
    <col min="14097" max="14097" width="16.6328125" style="6" customWidth="1"/>
    <col min="14098" max="14341" width="9" style="6"/>
    <col min="14342" max="14342" width="16.26953125" style="6" customWidth="1"/>
    <col min="14343" max="14343" width="9" style="6"/>
    <col min="14344" max="14344" width="11.453125" style="6" customWidth="1"/>
    <col min="14345" max="14346" width="9" style="6"/>
    <col min="14347" max="14347" width="23" style="6" bestFit="1" customWidth="1"/>
    <col min="14348" max="14348" width="10" style="6" customWidth="1"/>
    <col min="14349" max="14349" width="6.26953125" style="6" bestFit="1" customWidth="1"/>
    <col min="14350" max="14350" width="7.26953125" style="6" bestFit="1" customWidth="1"/>
    <col min="14351" max="14351" width="16.6328125" style="6" customWidth="1"/>
    <col min="14352" max="14352" width="7.26953125" style="6" bestFit="1" customWidth="1"/>
    <col min="14353" max="14353" width="16.6328125" style="6" customWidth="1"/>
    <col min="14354" max="14597" width="9" style="6"/>
    <col min="14598" max="14598" width="16.26953125" style="6" customWidth="1"/>
    <col min="14599" max="14599" width="9" style="6"/>
    <col min="14600" max="14600" width="11.453125" style="6" customWidth="1"/>
    <col min="14601" max="14602" width="9" style="6"/>
    <col min="14603" max="14603" width="23" style="6" bestFit="1" customWidth="1"/>
    <col min="14604" max="14604" width="10" style="6" customWidth="1"/>
    <col min="14605" max="14605" width="6.26953125" style="6" bestFit="1" customWidth="1"/>
    <col min="14606" max="14606" width="7.26953125" style="6" bestFit="1" customWidth="1"/>
    <col min="14607" max="14607" width="16.6328125" style="6" customWidth="1"/>
    <col min="14608" max="14608" width="7.26953125" style="6" bestFit="1" customWidth="1"/>
    <col min="14609" max="14609" width="16.6328125" style="6" customWidth="1"/>
    <col min="14610" max="14853" width="9" style="6"/>
    <col min="14854" max="14854" width="16.26953125" style="6" customWidth="1"/>
    <col min="14855" max="14855" width="9" style="6"/>
    <col min="14856" max="14856" width="11.453125" style="6" customWidth="1"/>
    <col min="14857" max="14858" width="9" style="6"/>
    <col min="14859" max="14859" width="23" style="6" bestFit="1" customWidth="1"/>
    <col min="14860" max="14860" width="10" style="6" customWidth="1"/>
    <col min="14861" max="14861" width="6.26953125" style="6" bestFit="1" customWidth="1"/>
    <col min="14862" max="14862" width="7.26953125" style="6" bestFit="1" customWidth="1"/>
    <col min="14863" max="14863" width="16.6328125" style="6" customWidth="1"/>
    <col min="14864" max="14864" width="7.26953125" style="6" bestFit="1" customWidth="1"/>
    <col min="14865" max="14865" width="16.6328125" style="6" customWidth="1"/>
    <col min="14866" max="15109" width="9" style="6"/>
    <col min="15110" max="15110" width="16.26953125" style="6" customWidth="1"/>
    <col min="15111" max="15111" width="9" style="6"/>
    <col min="15112" max="15112" width="11.453125" style="6" customWidth="1"/>
    <col min="15113" max="15114" width="9" style="6"/>
    <col min="15115" max="15115" width="23" style="6" bestFit="1" customWidth="1"/>
    <col min="15116" max="15116" width="10" style="6" customWidth="1"/>
    <col min="15117" max="15117" width="6.26953125" style="6" bestFit="1" customWidth="1"/>
    <col min="15118" max="15118" width="7.26953125" style="6" bestFit="1" customWidth="1"/>
    <col min="15119" max="15119" width="16.6328125" style="6" customWidth="1"/>
    <col min="15120" max="15120" width="7.26953125" style="6" bestFit="1" customWidth="1"/>
    <col min="15121" max="15121" width="16.6328125" style="6" customWidth="1"/>
    <col min="15122" max="15365" width="9" style="6"/>
    <col min="15366" max="15366" width="16.26953125" style="6" customWidth="1"/>
    <col min="15367" max="15367" width="9" style="6"/>
    <col min="15368" max="15368" width="11.453125" style="6" customWidth="1"/>
    <col min="15369" max="15370" width="9" style="6"/>
    <col min="15371" max="15371" width="23" style="6" bestFit="1" customWidth="1"/>
    <col min="15372" max="15372" width="10" style="6" customWidth="1"/>
    <col min="15373" max="15373" width="6.26953125" style="6" bestFit="1" customWidth="1"/>
    <col min="15374" max="15374" width="7.26953125" style="6" bestFit="1" customWidth="1"/>
    <col min="15375" max="15375" width="16.6328125" style="6" customWidth="1"/>
    <col min="15376" max="15376" width="7.26953125" style="6" bestFit="1" customWidth="1"/>
    <col min="15377" max="15377" width="16.6328125" style="6" customWidth="1"/>
    <col min="15378" max="15621" width="9" style="6"/>
    <col min="15622" max="15622" width="16.26953125" style="6" customWidth="1"/>
    <col min="15623" max="15623" width="9" style="6"/>
    <col min="15624" max="15624" width="11.453125" style="6" customWidth="1"/>
    <col min="15625" max="15626" width="9" style="6"/>
    <col min="15627" max="15627" width="23" style="6" bestFit="1" customWidth="1"/>
    <col min="15628" max="15628" width="10" style="6" customWidth="1"/>
    <col min="15629" max="15629" width="6.26953125" style="6" bestFit="1" customWidth="1"/>
    <col min="15630" max="15630" width="7.26953125" style="6" bestFit="1" customWidth="1"/>
    <col min="15631" max="15631" width="16.6328125" style="6" customWidth="1"/>
    <col min="15632" max="15632" width="7.26953125" style="6" bestFit="1" customWidth="1"/>
    <col min="15633" max="15633" width="16.6328125" style="6" customWidth="1"/>
    <col min="15634" max="15877" width="9" style="6"/>
    <col min="15878" max="15878" width="16.26953125" style="6" customWidth="1"/>
    <col min="15879" max="15879" width="9" style="6"/>
    <col min="15880" max="15880" width="11.453125" style="6" customWidth="1"/>
    <col min="15881" max="15882" width="9" style="6"/>
    <col min="15883" max="15883" width="23" style="6" bestFit="1" customWidth="1"/>
    <col min="15884" max="15884" width="10" style="6" customWidth="1"/>
    <col min="15885" max="15885" width="6.26953125" style="6" bestFit="1" customWidth="1"/>
    <col min="15886" max="15886" width="7.26953125" style="6" bestFit="1" customWidth="1"/>
    <col min="15887" max="15887" width="16.6328125" style="6" customWidth="1"/>
    <col min="15888" max="15888" width="7.26953125" style="6" bestFit="1" customWidth="1"/>
    <col min="15889" max="15889" width="16.6328125" style="6" customWidth="1"/>
    <col min="15890" max="16133" width="9" style="6"/>
    <col min="16134" max="16134" width="16.26953125" style="6" customWidth="1"/>
    <col min="16135" max="16135" width="9" style="6"/>
    <col min="16136" max="16136" width="11.453125" style="6" customWidth="1"/>
    <col min="16137" max="16138" width="9" style="6"/>
    <col min="16139" max="16139" width="23" style="6" bestFit="1" customWidth="1"/>
    <col min="16140" max="16140" width="10" style="6" customWidth="1"/>
    <col min="16141" max="16141" width="6.26953125" style="6" bestFit="1" customWidth="1"/>
    <col min="16142" max="16142" width="7.26953125" style="6" bestFit="1" customWidth="1"/>
    <col min="16143" max="16143" width="16.6328125" style="6" customWidth="1"/>
    <col min="16144" max="16144" width="7.26953125" style="6" bestFit="1" customWidth="1"/>
    <col min="16145" max="16145" width="16.6328125" style="6" customWidth="1"/>
    <col min="16146" max="16384" width="9" style="6"/>
  </cols>
  <sheetData>
    <row r="1" spans="1:26" s="21" customFormat="1" ht="2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163" t="str">
        <f>資訊清單資訊!B3 &amp;資訊清單資訊!B7 &amp;資訊清單資訊!B5</f>
        <v>石油與天然氣輸儲查核與檢測雲端平台人員類(PE)資訊資產風險評鑑</v>
      </c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</row>
    <row r="2" spans="1:26">
      <c r="M2" s="42" t="s">
        <v>9</v>
      </c>
      <c r="N2" s="143" t="str">
        <f>資訊清單資訊!B7</f>
        <v>人員類(PE)</v>
      </c>
      <c r="O2" s="144"/>
      <c r="P2" s="145"/>
      <c r="Q2" s="46"/>
      <c r="R2" s="34" t="s">
        <v>11</v>
      </c>
      <c r="S2" s="19">
        <f>IF(ISNA(VLOOKUP($N$3,ALL_LIST,16,FALSE)), "",VLOOKUP($N$3,ALL_LIST,16,FALSE))</f>
        <v>3</v>
      </c>
    </row>
    <row r="3" spans="1:26">
      <c r="M3" s="45" t="s">
        <v>5</v>
      </c>
      <c r="N3" s="146" t="s">
        <v>187</v>
      </c>
      <c r="O3" s="147"/>
      <c r="P3" s="148"/>
      <c r="R3" s="33" t="s">
        <v>75</v>
      </c>
      <c r="S3" s="20">
        <f>IF(ISNA(VLOOKUP($N$3,ALL_LIST,8,FALSE)), "",VLOOKUP($N$3,ALL_LIST,8,FALSE))</f>
        <v>2</v>
      </c>
    </row>
    <row r="4" spans="1:26">
      <c r="M4" s="43" t="s">
        <v>10</v>
      </c>
      <c r="N4" s="149" t="str">
        <f>IF(ISNA(VLOOKUP($N$3,ALL_LIST,3,FALSE)), "",VLOOKUP($N$3,ALL_LIST,3,FALSE))</f>
        <v>網站負責人</v>
      </c>
      <c r="O4" s="150"/>
      <c r="P4" s="151"/>
      <c r="Q4" s="46"/>
      <c r="R4" s="33" t="s">
        <v>76</v>
      </c>
      <c r="S4" s="20">
        <f>IF(ISNA(VLOOKUP($N$3,ALL_LIST,10,FALSE)), "",VLOOKUP($N$3,ALL_LIST,10,FALSE))</f>
        <v>3</v>
      </c>
    </row>
    <row r="5" spans="1:26">
      <c r="M5" s="42" t="s">
        <v>6</v>
      </c>
      <c r="N5" s="152" t="str">
        <f>IF(ISNA(VLOOKUP($N$3,ALL_LIST,17,FALSE)), "",VLOOKUP($N$3,ALL_LIST,17,FALSE))</f>
        <v>賴斐瓔 </v>
      </c>
      <c r="O5" s="153"/>
      <c r="P5" s="154"/>
      <c r="Q5" s="46"/>
      <c r="R5" s="33" t="s">
        <v>77</v>
      </c>
      <c r="S5" s="20">
        <f>IF(ISNA(VLOOKUP($N$3,ALL_LIST,12,FALSE)), " ",VLOOKUP($N$3,ALL_LIST,12,FALSE))</f>
        <v>2</v>
      </c>
    </row>
    <row r="6" spans="1:26">
      <c r="M6" s="44" t="s">
        <v>7</v>
      </c>
      <c r="N6" s="155" t="s">
        <v>202</v>
      </c>
      <c r="O6" s="156"/>
      <c r="P6" s="157"/>
      <c r="R6" s="33" t="s">
        <v>78</v>
      </c>
      <c r="S6" s="20">
        <f>IF(ISNA(VLOOKUP($N$3,ALL_LIST,14,FALSE)), "",VLOOKUP($N$3,ALL_LIST,14,FALSE))</f>
        <v>3</v>
      </c>
    </row>
    <row r="7" spans="1:26">
      <c r="M7" s="44" t="s">
        <v>8</v>
      </c>
      <c r="N7" s="158" t="s">
        <v>185</v>
      </c>
      <c r="O7" s="159"/>
      <c r="P7" s="160"/>
      <c r="Q7" s="46"/>
      <c r="R7" s="35" t="s">
        <v>12</v>
      </c>
      <c r="S7" s="27">
        <f>MAX(Y11:Y37)</f>
        <v>9</v>
      </c>
    </row>
    <row r="10" spans="1:26" s="22" customFormat="1" ht="16">
      <c r="A10" s="36" t="s">
        <v>13</v>
      </c>
      <c r="B10" s="36" t="s">
        <v>2</v>
      </c>
      <c r="C10" s="36" t="s">
        <v>15</v>
      </c>
      <c r="D10" s="36" t="s">
        <v>16</v>
      </c>
      <c r="E10" s="36" t="s">
        <v>3</v>
      </c>
      <c r="F10" s="36" t="s">
        <v>17</v>
      </c>
      <c r="G10" s="37" t="s">
        <v>18</v>
      </c>
      <c r="H10" s="37" t="s">
        <v>19</v>
      </c>
      <c r="I10" s="37" t="s">
        <v>20</v>
      </c>
      <c r="J10" s="37" t="s">
        <v>21</v>
      </c>
      <c r="K10" s="38" t="s">
        <v>22</v>
      </c>
      <c r="L10" s="39" t="s">
        <v>34</v>
      </c>
      <c r="M10" s="164" t="s">
        <v>23</v>
      </c>
      <c r="N10" s="165"/>
      <c r="O10" s="166"/>
      <c r="P10" s="164" t="s">
        <v>4</v>
      </c>
      <c r="Q10" s="165"/>
      <c r="R10" s="165"/>
      <c r="S10" s="166"/>
      <c r="T10" s="32" t="s">
        <v>24</v>
      </c>
      <c r="U10" s="32" t="s">
        <v>25</v>
      </c>
      <c r="V10" s="32" t="s">
        <v>26</v>
      </c>
      <c r="W10" s="32" t="s">
        <v>27</v>
      </c>
      <c r="X10" s="32" t="s">
        <v>26</v>
      </c>
      <c r="Y10" s="32" t="s">
        <v>28</v>
      </c>
      <c r="Z10" s="32" t="s">
        <v>29</v>
      </c>
    </row>
    <row r="11" spans="1:26" ht="46.5">
      <c r="A11" s="47" t="str">
        <f>$N$3</f>
        <v>材1-1-PE-02</v>
      </c>
      <c r="B11" s="48">
        <f t="shared" ref="B11:B37" si="0">VLOOKUP($N$3,ALL_LIST,2,FALSE)</f>
        <v>0</v>
      </c>
      <c r="C11" s="48" t="str">
        <f t="shared" ref="C11:C37" si="1">VLOOKUP($N$3,ALL_LIST,3,FALSE)</f>
        <v>網站負責人</v>
      </c>
      <c r="D11" s="48" t="str">
        <f t="shared" ref="D11:D37" si="2">VLOOKUP($N$3,ALL_LIST,4,FALSE)</f>
        <v>網站負責人:賴斐瓔</v>
      </c>
      <c r="E11" s="48" t="str">
        <f t="shared" ref="E11:E37" si="3">VLOOKUP($N$3,ALL_LIST,6,FALSE)</f>
        <v>1</v>
      </c>
      <c r="F11" s="48" t="str">
        <f t="shared" ref="F11:F37" si="4">VLOOKUP($N$3,ALL_LIST,7,FALSE)</f>
        <v>吳榮正</v>
      </c>
      <c r="G11" s="48">
        <f t="shared" ref="G11:G37" si="5">VLOOKUP($N$3,ALL_LIST,8,FALSE)</f>
        <v>2</v>
      </c>
      <c r="H11" s="48">
        <f t="shared" ref="H11:H37" si="6">VLOOKUP($N$3,ALL_LIST,10,FALSE)</f>
        <v>3</v>
      </c>
      <c r="I11" s="48">
        <f t="shared" ref="I11:I37" si="7">VLOOKUP($N$3,ALL_LIST,12,FALSE)</f>
        <v>2</v>
      </c>
      <c r="J11" s="48">
        <f t="shared" ref="J11:J37" si="8">VLOOKUP($N$3,ALL_LIST,14,FALSE)</f>
        <v>3</v>
      </c>
      <c r="K11" s="49">
        <f t="shared" ref="K11:K37" si="9">VLOOKUP($N$3,ALL_LIST,16,FALSE)</f>
        <v>3</v>
      </c>
      <c r="L11" s="49">
        <f t="shared" ref="L11:L37" si="10">$S$7</f>
        <v>9</v>
      </c>
      <c r="M11" s="124" t="s">
        <v>151</v>
      </c>
      <c r="N11" s="125" t="s">
        <v>30</v>
      </c>
      <c r="O11" s="126" t="s">
        <v>30</v>
      </c>
      <c r="P11" s="122" t="s">
        <v>79</v>
      </c>
      <c r="Q11" s="123" t="s">
        <v>31</v>
      </c>
      <c r="R11" s="123" t="s">
        <v>31</v>
      </c>
      <c r="S11" s="123" t="s">
        <v>31</v>
      </c>
      <c r="T11" s="9" t="s">
        <v>80</v>
      </c>
      <c r="U11" s="9">
        <v>1</v>
      </c>
      <c r="V11" s="8" t="s">
        <v>154</v>
      </c>
      <c r="W11" s="9">
        <v>2</v>
      </c>
      <c r="X11" s="8" t="s">
        <v>189</v>
      </c>
      <c r="Y11" s="23">
        <f t="shared" ref="Y11:Y37" si="11">IF((T11="N"),"不適用",IF(COUNTA(U11,W11)&lt;2,"評鑑中",$S$2*U11*W11))</f>
        <v>6</v>
      </c>
      <c r="Z11" s="66"/>
    </row>
    <row r="12" spans="1:26" ht="62">
      <c r="A12" s="47" t="str">
        <f t="shared" ref="A12:A37" si="12">$N$3</f>
        <v>材1-1-PE-02</v>
      </c>
      <c r="B12" s="48">
        <f t="shared" si="0"/>
        <v>0</v>
      </c>
      <c r="C12" s="48" t="str">
        <f t="shared" si="1"/>
        <v>網站負責人</v>
      </c>
      <c r="D12" s="48" t="str">
        <f t="shared" si="2"/>
        <v>網站負責人:賴斐瓔</v>
      </c>
      <c r="E12" s="48" t="str">
        <f t="shared" si="3"/>
        <v>1</v>
      </c>
      <c r="F12" s="48" t="str">
        <f t="shared" si="4"/>
        <v>吳榮正</v>
      </c>
      <c r="G12" s="48">
        <f t="shared" si="5"/>
        <v>2</v>
      </c>
      <c r="H12" s="48">
        <f t="shared" si="6"/>
        <v>3</v>
      </c>
      <c r="I12" s="48">
        <f t="shared" si="7"/>
        <v>2</v>
      </c>
      <c r="J12" s="48">
        <f t="shared" si="8"/>
        <v>3</v>
      </c>
      <c r="K12" s="49">
        <f t="shared" si="9"/>
        <v>3</v>
      </c>
      <c r="L12" s="49">
        <f t="shared" si="10"/>
        <v>9</v>
      </c>
      <c r="M12" s="124" t="s">
        <v>150</v>
      </c>
      <c r="N12" s="125" t="s">
        <v>81</v>
      </c>
      <c r="O12" s="126" t="s">
        <v>81</v>
      </c>
      <c r="P12" s="161" t="s">
        <v>82</v>
      </c>
      <c r="Q12" s="162" t="s">
        <v>82</v>
      </c>
      <c r="R12" s="162" t="s">
        <v>82</v>
      </c>
      <c r="S12" s="162" t="s">
        <v>82</v>
      </c>
      <c r="T12" s="9" t="s">
        <v>155</v>
      </c>
      <c r="U12" s="9">
        <v>1</v>
      </c>
      <c r="V12" s="172" t="s">
        <v>207</v>
      </c>
      <c r="W12" s="9">
        <v>3</v>
      </c>
      <c r="X12" s="8" t="s">
        <v>156</v>
      </c>
      <c r="Y12" s="23">
        <f>IF((T12="N"),"不適用",IF(COUNTA(U12,W12)&lt;2,"評鑑中",$S$2*U12*W12))</f>
        <v>9</v>
      </c>
      <c r="Z12" s="66"/>
    </row>
    <row r="13" spans="1:26" ht="62">
      <c r="A13" s="47" t="str">
        <f t="shared" si="12"/>
        <v>材1-1-PE-02</v>
      </c>
      <c r="B13" s="48">
        <f t="shared" si="0"/>
        <v>0</v>
      </c>
      <c r="C13" s="48" t="str">
        <f t="shared" si="1"/>
        <v>網站負責人</v>
      </c>
      <c r="D13" s="48" t="str">
        <f t="shared" si="2"/>
        <v>網站負責人:賴斐瓔</v>
      </c>
      <c r="E13" s="48" t="str">
        <f t="shared" si="3"/>
        <v>1</v>
      </c>
      <c r="F13" s="48" t="str">
        <f t="shared" si="4"/>
        <v>吳榮正</v>
      </c>
      <c r="G13" s="48">
        <f t="shared" si="5"/>
        <v>2</v>
      </c>
      <c r="H13" s="48">
        <f t="shared" si="6"/>
        <v>3</v>
      </c>
      <c r="I13" s="48">
        <f t="shared" si="7"/>
        <v>2</v>
      </c>
      <c r="J13" s="48">
        <f t="shared" si="8"/>
        <v>3</v>
      </c>
      <c r="K13" s="49">
        <f t="shared" si="9"/>
        <v>3</v>
      </c>
      <c r="L13" s="49">
        <f t="shared" si="10"/>
        <v>9</v>
      </c>
      <c r="M13" s="119" t="s">
        <v>81</v>
      </c>
      <c r="N13" s="120" t="s">
        <v>81</v>
      </c>
      <c r="O13" s="121" t="s">
        <v>81</v>
      </c>
      <c r="P13" s="161" t="s">
        <v>83</v>
      </c>
      <c r="Q13" s="162" t="s">
        <v>83</v>
      </c>
      <c r="R13" s="162" t="s">
        <v>83</v>
      </c>
      <c r="S13" s="162" t="s">
        <v>83</v>
      </c>
      <c r="T13" s="9" t="s">
        <v>80</v>
      </c>
      <c r="U13" s="9">
        <v>1</v>
      </c>
      <c r="V13" s="8" t="s">
        <v>157</v>
      </c>
      <c r="W13" s="9">
        <v>3</v>
      </c>
      <c r="X13" s="8" t="s">
        <v>156</v>
      </c>
      <c r="Y13" s="23">
        <f t="shared" si="11"/>
        <v>9</v>
      </c>
      <c r="Z13" s="66"/>
    </row>
    <row r="14" spans="1:26" ht="62">
      <c r="A14" s="47" t="str">
        <f t="shared" si="12"/>
        <v>材1-1-PE-02</v>
      </c>
      <c r="B14" s="48">
        <f t="shared" si="0"/>
        <v>0</v>
      </c>
      <c r="C14" s="48" t="str">
        <f t="shared" si="1"/>
        <v>網站負責人</v>
      </c>
      <c r="D14" s="48" t="str">
        <f t="shared" si="2"/>
        <v>網站負責人:賴斐瓔</v>
      </c>
      <c r="E14" s="48" t="str">
        <f t="shared" si="3"/>
        <v>1</v>
      </c>
      <c r="F14" s="48" t="str">
        <f t="shared" si="4"/>
        <v>吳榮正</v>
      </c>
      <c r="G14" s="48">
        <f t="shared" si="5"/>
        <v>2</v>
      </c>
      <c r="H14" s="48">
        <f t="shared" si="6"/>
        <v>3</v>
      </c>
      <c r="I14" s="48">
        <f t="shared" si="7"/>
        <v>2</v>
      </c>
      <c r="J14" s="48">
        <f t="shared" si="8"/>
        <v>3</v>
      </c>
      <c r="K14" s="49">
        <f t="shared" si="9"/>
        <v>3</v>
      </c>
      <c r="L14" s="49">
        <f t="shared" si="10"/>
        <v>9</v>
      </c>
      <c r="M14" s="119" t="s">
        <v>81</v>
      </c>
      <c r="N14" s="120" t="s">
        <v>81</v>
      </c>
      <c r="O14" s="121" t="s">
        <v>81</v>
      </c>
      <c r="P14" s="122" t="s">
        <v>84</v>
      </c>
      <c r="Q14" s="123" t="s">
        <v>84</v>
      </c>
      <c r="R14" s="123" t="s">
        <v>84</v>
      </c>
      <c r="S14" s="123" t="s">
        <v>84</v>
      </c>
      <c r="T14" s="9" t="s">
        <v>155</v>
      </c>
      <c r="U14" s="9">
        <v>1</v>
      </c>
      <c r="V14" s="8" t="s">
        <v>167</v>
      </c>
      <c r="W14" s="9">
        <v>3</v>
      </c>
      <c r="X14" s="8" t="s">
        <v>156</v>
      </c>
      <c r="Y14" s="23">
        <f t="shared" si="11"/>
        <v>9</v>
      </c>
      <c r="Z14" s="66"/>
    </row>
    <row r="15" spans="1:26" ht="62">
      <c r="A15" s="47" t="str">
        <f t="shared" si="12"/>
        <v>材1-1-PE-02</v>
      </c>
      <c r="B15" s="48">
        <f t="shared" si="0"/>
        <v>0</v>
      </c>
      <c r="C15" s="48" t="str">
        <f t="shared" si="1"/>
        <v>網站負責人</v>
      </c>
      <c r="D15" s="48" t="str">
        <f t="shared" si="2"/>
        <v>網站負責人:賴斐瓔</v>
      </c>
      <c r="E15" s="48" t="str">
        <f t="shared" si="3"/>
        <v>1</v>
      </c>
      <c r="F15" s="48" t="str">
        <f t="shared" si="4"/>
        <v>吳榮正</v>
      </c>
      <c r="G15" s="48">
        <f t="shared" si="5"/>
        <v>2</v>
      </c>
      <c r="H15" s="48">
        <f t="shared" si="6"/>
        <v>3</v>
      </c>
      <c r="I15" s="48">
        <f t="shared" si="7"/>
        <v>2</v>
      </c>
      <c r="J15" s="48">
        <f t="shared" si="8"/>
        <v>3</v>
      </c>
      <c r="K15" s="49">
        <f t="shared" si="9"/>
        <v>3</v>
      </c>
      <c r="L15" s="49">
        <f t="shared" si="10"/>
        <v>9</v>
      </c>
      <c r="M15" s="119" t="s">
        <v>81</v>
      </c>
      <c r="N15" s="120" t="s">
        <v>81</v>
      </c>
      <c r="O15" s="121" t="s">
        <v>81</v>
      </c>
      <c r="P15" s="122" t="s">
        <v>85</v>
      </c>
      <c r="Q15" s="123" t="s">
        <v>85</v>
      </c>
      <c r="R15" s="123" t="s">
        <v>85</v>
      </c>
      <c r="S15" s="123" t="s">
        <v>85</v>
      </c>
      <c r="T15" s="9" t="s">
        <v>155</v>
      </c>
      <c r="U15" s="9">
        <v>1</v>
      </c>
      <c r="V15" s="8" t="s">
        <v>158</v>
      </c>
      <c r="W15" s="9">
        <v>3</v>
      </c>
      <c r="X15" s="8" t="s">
        <v>156</v>
      </c>
      <c r="Y15" s="23">
        <f t="shared" si="11"/>
        <v>9</v>
      </c>
      <c r="Z15" s="66"/>
    </row>
    <row r="16" spans="1:26" ht="62">
      <c r="A16" s="47" t="str">
        <f t="shared" si="12"/>
        <v>材1-1-PE-02</v>
      </c>
      <c r="B16" s="48">
        <f t="shared" si="0"/>
        <v>0</v>
      </c>
      <c r="C16" s="48" t="str">
        <f t="shared" si="1"/>
        <v>網站負責人</v>
      </c>
      <c r="D16" s="48" t="str">
        <f t="shared" si="2"/>
        <v>網站負責人:賴斐瓔</v>
      </c>
      <c r="E16" s="48" t="str">
        <f t="shared" si="3"/>
        <v>1</v>
      </c>
      <c r="F16" s="48" t="str">
        <f t="shared" si="4"/>
        <v>吳榮正</v>
      </c>
      <c r="G16" s="48">
        <f t="shared" si="5"/>
        <v>2</v>
      </c>
      <c r="H16" s="48">
        <f t="shared" si="6"/>
        <v>3</v>
      </c>
      <c r="I16" s="48">
        <f t="shared" si="7"/>
        <v>2</v>
      </c>
      <c r="J16" s="48">
        <f t="shared" si="8"/>
        <v>3</v>
      </c>
      <c r="K16" s="49">
        <f t="shared" si="9"/>
        <v>3</v>
      </c>
      <c r="L16" s="49">
        <f t="shared" si="10"/>
        <v>9</v>
      </c>
      <c r="M16" s="119" t="s">
        <v>81</v>
      </c>
      <c r="N16" s="120" t="s">
        <v>81</v>
      </c>
      <c r="O16" s="121" t="s">
        <v>81</v>
      </c>
      <c r="P16" s="161" t="s">
        <v>86</v>
      </c>
      <c r="Q16" s="162" t="s">
        <v>86</v>
      </c>
      <c r="R16" s="162" t="s">
        <v>86</v>
      </c>
      <c r="S16" s="162" t="s">
        <v>86</v>
      </c>
      <c r="T16" s="9" t="s">
        <v>155</v>
      </c>
      <c r="U16" s="9">
        <v>1</v>
      </c>
      <c r="V16" s="8" t="s">
        <v>158</v>
      </c>
      <c r="W16" s="9">
        <v>3</v>
      </c>
      <c r="X16" s="8" t="s">
        <v>156</v>
      </c>
      <c r="Y16" s="23">
        <f t="shared" si="11"/>
        <v>9</v>
      </c>
      <c r="Z16" s="66"/>
    </row>
    <row r="17" spans="1:28" ht="62">
      <c r="A17" s="47" t="str">
        <f t="shared" si="12"/>
        <v>材1-1-PE-02</v>
      </c>
      <c r="B17" s="48">
        <f t="shared" si="0"/>
        <v>0</v>
      </c>
      <c r="C17" s="48" t="str">
        <f t="shared" si="1"/>
        <v>網站負責人</v>
      </c>
      <c r="D17" s="48" t="str">
        <f t="shared" si="2"/>
        <v>網站負責人:賴斐瓔</v>
      </c>
      <c r="E17" s="48" t="str">
        <f t="shared" si="3"/>
        <v>1</v>
      </c>
      <c r="F17" s="48" t="str">
        <f t="shared" si="4"/>
        <v>吳榮正</v>
      </c>
      <c r="G17" s="48">
        <f t="shared" si="5"/>
        <v>2</v>
      </c>
      <c r="H17" s="48">
        <f t="shared" si="6"/>
        <v>3</v>
      </c>
      <c r="I17" s="48">
        <f t="shared" si="7"/>
        <v>2</v>
      </c>
      <c r="J17" s="48">
        <f t="shared" si="8"/>
        <v>3</v>
      </c>
      <c r="K17" s="49">
        <f t="shared" si="9"/>
        <v>3</v>
      </c>
      <c r="L17" s="49">
        <f t="shared" si="10"/>
        <v>9</v>
      </c>
      <c r="M17" s="119" t="s">
        <v>81</v>
      </c>
      <c r="N17" s="120" t="s">
        <v>81</v>
      </c>
      <c r="O17" s="121" t="s">
        <v>81</v>
      </c>
      <c r="P17" s="122" t="s">
        <v>87</v>
      </c>
      <c r="Q17" s="123" t="s">
        <v>87</v>
      </c>
      <c r="R17" s="123" t="s">
        <v>87</v>
      </c>
      <c r="S17" s="123" t="s">
        <v>87</v>
      </c>
      <c r="T17" s="9" t="s">
        <v>155</v>
      </c>
      <c r="U17" s="9">
        <v>1</v>
      </c>
      <c r="V17" s="8" t="s">
        <v>158</v>
      </c>
      <c r="W17" s="9">
        <v>3</v>
      </c>
      <c r="X17" s="8" t="s">
        <v>156</v>
      </c>
      <c r="Y17" s="23">
        <f t="shared" si="11"/>
        <v>9</v>
      </c>
      <c r="Z17" s="66"/>
    </row>
    <row r="18" spans="1:28" ht="19.75" customHeight="1">
      <c r="A18" s="47" t="str">
        <f t="shared" si="12"/>
        <v>材1-1-PE-02</v>
      </c>
      <c r="B18" s="48">
        <f t="shared" si="0"/>
        <v>0</v>
      </c>
      <c r="C18" s="48" t="str">
        <f t="shared" si="1"/>
        <v>網站負責人</v>
      </c>
      <c r="D18" s="48" t="str">
        <f t="shared" si="2"/>
        <v>網站負責人:賴斐瓔</v>
      </c>
      <c r="E18" s="48" t="str">
        <f t="shared" si="3"/>
        <v>1</v>
      </c>
      <c r="F18" s="48" t="str">
        <f t="shared" si="4"/>
        <v>吳榮正</v>
      </c>
      <c r="G18" s="48">
        <f t="shared" si="5"/>
        <v>2</v>
      </c>
      <c r="H18" s="48">
        <f t="shared" si="6"/>
        <v>3</v>
      </c>
      <c r="I18" s="48">
        <f t="shared" si="7"/>
        <v>2</v>
      </c>
      <c r="J18" s="48">
        <f t="shared" si="8"/>
        <v>3</v>
      </c>
      <c r="K18" s="49">
        <f t="shared" si="9"/>
        <v>3</v>
      </c>
      <c r="L18" s="49">
        <f t="shared" si="10"/>
        <v>9</v>
      </c>
      <c r="M18" s="119" t="s">
        <v>81</v>
      </c>
      <c r="N18" s="120" t="s">
        <v>81</v>
      </c>
      <c r="O18" s="121" t="s">
        <v>81</v>
      </c>
      <c r="P18" s="122" t="s">
        <v>88</v>
      </c>
      <c r="Q18" s="123" t="s">
        <v>88</v>
      </c>
      <c r="R18" s="123" t="s">
        <v>88</v>
      </c>
      <c r="S18" s="123" t="s">
        <v>88</v>
      </c>
      <c r="T18" s="9" t="s">
        <v>155</v>
      </c>
      <c r="U18" s="9">
        <v>1</v>
      </c>
      <c r="V18" s="8" t="s">
        <v>158</v>
      </c>
      <c r="W18" s="9">
        <v>3</v>
      </c>
      <c r="X18" s="8" t="s">
        <v>156</v>
      </c>
      <c r="Y18" s="23">
        <f t="shared" si="11"/>
        <v>9</v>
      </c>
      <c r="Z18" s="66"/>
      <c r="AB18" s="51" t="s">
        <v>89</v>
      </c>
    </row>
    <row r="19" spans="1:28" ht="62">
      <c r="A19" s="47" t="str">
        <f t="shared" si="12"/>
        <v>材1-1-PE-02</v>
      </c>
      <c r="B19" s="48">
        <f t="shared" si="0"/>
        <v>0</v>
      </c>
      <c r="C19" s="48" t="str">
        <f t="shared" si="1"/>
        <v>網站負責人</v>
      </c>
      <c r="D19" s="48" t="str">
        <f t="shared" si="2"/>
        <v>網站負責人:賴斐瓔</v>
      </c>
      <c r="E19" s="48" t="str">
        <f t="shared" si="3"/>
        <v>1</v>
      </c>
      <c r="F19" s="48" t="str">
        <f t="shared" si="4"/>
        <v>吳榮正</v>
      </c>
      <c r="G19" s="48">
        <f t="shared" si="5"/>
        <v>2</v>
      </c>
      <c r="H19" s="48">
        <f t="shared" si="6"/>
        <v>3</v>
      </c>
      <c r="I19" s="48">
        <f t="shared" si="7"/>
        <v>2</v>
      </c>
      <c r="J19" s="48">
        <f t="shared" si="8"/>
        <v>3</v>
      </c>
      <c r="K19" s="49">
        <f t="shared" si="9"/>
        <v>3</v>
      </c>
      <c r="L19" s="49">
        <f t="shared" si="10"/>
        <v>9</v>
      </c>
      <c r="M19" s="124" t="s">
        <v>145</v>
      </c>
      <c r="N19" s="125" t="s">
        <v>90</v>
      </c>
      <c r="O19" s="126" t="s">
        <v>90</v>
      </c>
      <c r="P19" s="122" t="s">
        <v>91</v>
      </c>
      <c r="Q19" s="123" t="s">
        <v>91</v>
      </c>
      <c r="R19" s="123" t="s">
        <v>91</v>
      </c>
      <c r="S19" s="123" t="s">
        <v>91</v>
      </c>
      <c r="T19" s="9" t="s">
        <v>155</v>
      </c>
      <c r="U19" s="9">
        <v>1</v>
      </c>
      <c r="V19" s="8" t="s">
        <v>159</v>
      </c>
      <c r="W19" s="9">
        <v>3</v>
      </c>
      <c r="X19" s="8" t="s">
        <v>156</v>
      </c>
      <c r="Y19" s="23">
        <f t="shared" si="11"/>
        <v>9</v>
      </c>
      <c r="Z19" s="66"/>
    </row>
    <row r="20" spans="1:28" ht="62">
      <c r="A20" s="47" t="str">
        <f t="shared" si="12"/>
        <v>材1-1-PE-02</v>
      </c>
      <c r="B20" s="48">
        <f t="shared" si="0"/>
        <v>0</v>
      </c>
      <c r="C20" s="48" t="str">
        <f t="shared" si="1"/>
        <v>網站負責人</v>
      </c>
      <c r="D20" s="48" t="str">
        <f t="shared" si="2"/>
        <v>網站負責人:賴斐瓔</v>
      </c>
      <c r="E20" s="48" t="str">
        <f t="shared" si="3"/>
        <v>1</v>
      </c>
      <c r="F20" s="48" t="str">
        <f t="shared" si="4"/>
        <v>吳榮正</v>
      </c>
      <c r="G20" s="48">
        <f t="shared" si="5"/>
        <v>2</v>
      </c>
      <c r="H20" s="48">
        <f t="shared" si="6"/>
        <v>3</v>
      </c>
      <c r="I20" s="48">
        <f t="shared" si="7"/>
        <v>2</v>
      </c>
      <c r="J20" s="48">
        <f t="shared" si="8"/>
        <v>3</v>
      </c>
      <c r="K20" s="49">
        <f t="shared" si="9"/>
        <v>3</v>
      </c>
      <c r="L20" s="49">
        <f t="shared" si="10"/>
        <v>9</v>
      </c>
      <c r="M20" s="119" t="s">
        <v>90</v>
      </c>
      <c r="N20" s="120" t="s">
        <v>90</v>
      </c>
      <c r="O20" s="121" t="s">
        <v>90</v>
      </c>
      <c r="P20" s="138" t="s">
        <v>92</v>
      </c>
      <c r="Q20" s="139" t="s">
        <v>92</v>
      </c>
      <c r="R20" s="139" t="s">
        <v>92</v>
      </c>
      <c r="S20" s="139" t="s">
        <v>92</v>
      </c>
      <c r="T20" s="9" t="s">
        <v>155</v>
      </c>
      <c r="U20" s="9">
        <v>1</v>
      </c>
      <c r="V20" s="172" t="s">
        <v>160</v>
      </c>
      <c r="W20" s="9">
        <v>3</v>
      </c>
      <c r="X20" s="8" t="s">
        <v>156</v>
      </c>
      <c r="Y20" s="23">
        <f t="shared" si="11"/>
        <v>9</v>
      </c>
      <c r="Z20" s="66"/>
    </row>
    <row r="21" spans="1:28" ht="62">
      <c r="A21" s="47" t="str">
        <f t="shared" si="12"/>
        <v>材1-1-PE-02</v>
      </c>
      <c r="B21" s="48">
        <f t="shared" si="0"/>
        <v>0</v>
      </c>
      <c r="C21" s="48" t="str">
        <f t="shared" si="1"/>
        <v>網站負責人</v>
      </c>
      <c r="D21" s="48" t="str">
        <f t="shared" si="2"/>
        <v>網站負責人:賴斐瓔</v>
      </c>
      <c r="E21" s="48" t="str">
        <f t="shared" si="3"/>
        <v>1</v>
      </c>
      <c r="F21" s="48" t="str">
        <f t="shared" si="4"/>
        <v>吳榮正</v>
      </c>
      <c r="G21" s="48">
        <f t="shared" si="5"/>
        <v>2</v>
      </c>
      <c r="H21" s="48">
        <f t="shared" si="6"/>
        <v>3</v>
      </c>
      <c r="I21" s="48">
        <f t="shared" si="7"/>
        <v>2</v>
      </c>
      <c r="J21" s="48">
        <f t="shared" si="8"/>
        <v>3</v>
      </c>
      <c r="K21" s="49">
        <f t="shared" si="9"/>
        <v>3</v>
      </c>
      <c r="L21" s="49">
        <f t="shared" si="10"/>
        <v>9</v>
      </c>
      <c r="M21" s="119" t="s">
        <v>90</v>
      </c>
      <c r="N21" s="120" t="s">
        <v>90</v>
      </c>
      <c r="O21" s="121" t="s">
        <v>90</v>
      </c>
      <c r="P21" s="138" t="s">
        <v>82</v>
      </c>
      <c r="Q21" s="139" t="s">
        <v>82</v>
      </c>
      <c r="R21" s="139" t="s">
        <v>82</v>
      </c>
      <c r="S21" s="139" t="s">
        <v>82</v>
      </c>
      <c r="T21" s="9" t="s">
        <v>155</v>
      </c>
      <c r="U21" s="9">
        <v>1</v>
      </c>
      <c r="V21" s="172" t="s">
        <v>207</v>
      </c>
      <c r="W21" s="9">
        <v>3</v>
      </c>
      <c r="X21" s="8" t="s">
        <v>156</v>
      </c>
      <c r="Y21" s="23">
        <f t="shared" si="11"/>
        <v>9</v>
      </c>
      <c r="Z21" s="66"/>
    </row>
    <row r="22" spans="1:28" ht="62">
      <c r="A22" s="47" t="str">
        <f t="shared" si="12"/>
        <v>材1-1-PE-02</v>
      </c>
      <c r="B22" s="48">
        <f t="shared" si="0"/>
        <v>0</v>
      </c>
      <c r="C22" s="48" t="str">
        <f t="shared" si="1"/>
        <v>網站負責人</v>
      </c>
      <c r="D22" s="48" t="str">
        <f t="shared" si="2"/>
        <v>網站負責人:賴斐瓔</v>
      </c>
      <c r="E22" s="48" t="str">
        <f t="shared" si="3"/>
        <v>1</v>
      </c>
      <c r="F22" s="48" t="str">
        <f t="shared" si="4"/>
        <v>吳榮正</v>
      </c>
      <c r="G22" s="48">
        <f t="shared" si="5"/>
        <v>2</v>
      </c>
      <c r="H22" s="48">
        <f t="shared" si="6"/>
        <v>3</v>
      </c>
      <c r="I22" s="48">
        <f t="shared" si="7"/>
        <v>2</v>
      </c>
      <c r="J22" s="48">
        <f t="shared" si="8"/>
        <v>3</v>
      </c>
      <c r="K22" s="49">
        <f t="shared" si="9"/>
        <v>3</v>
      </c>
      <c r="L22" s="49">
        <f t="shared" si="10"/>
        <v>9</v>
      </c>
      <c r="M22" s="119" t="s">
        <v>90</v>
      </c>
      <c r="N22" s="120" t="s">
        <v>90</v>
      </c>
      <c r="O22" s="121" t="s">
        <v>90</v>
      </c>
      <c r="P22" s="138" t="s">
        <v>93</v>
      </c>
      <c r="Q22" s="139" t="s">
        <v>93</v>
      </c>
      <c r="R22" s="139" t="s">
        <v>93</v>
      </c>
      <c r="S22" s="139" t="s">
        <v>93</v>
      </c>
      <c r="T22" s="9" t="s">
        <v>155</v>
      </c>
      <c r="U22" s="9">
        <v>1</v>
      </c>
      <c r="V22" s="172" t="s">
        <v>161</v>
      </c>
      <c r="W22" s="9">
        <v>3</v>
      </c>
      <c r="X22" s="8" t="s">
        <v>156</v>
      </c>
      <c r="Y22" s="23">
        <f t="shared" si="11"/>
        <v>9</v>
      </c>
      <c r="Z22" s="66"/>
    </row>
    <row r="23" spans="1:28" ht="62">
      <c r="A23" s="47" t="str">
        <f t="shared" si="12"/>
        <v>材1-1-PE-02</v>
      </c>
      <c r="B23" s="48">
        <f t="shared" si="0"/>
        <v>0</v>
      </c>
      <c r="C23" s="48" t="str">
        <f t="shared" si="1"/>
        <v>網站負責人</v>
      </c>
      <c r="D23" s="48" t="str">
        <f t="shared" si="2"/>
        <v>網站負責人:賴斐瓔</v>
      </c>
      <c r="E23" s="48" t="str">
        <f t="shared" si="3"/>
        <v>1</v>
      </c>
      <c r="F23" s="48" t="str">
        <f t="shared" si="4"/>
        <v>吳榮正</v>
      </c>
      <c r="G23" s="48">
        <f t="shared" si="5"/>
        <v>2</v>
      </c>
      <c r="H23" s="48">
        <f t="shared" si="6"/>
        <v>3</v>
      </c>
      <c r="I23" s="48">
        <f t="shared" si="7"/>
        <v>2</v>
      </c>
      <c r="J23" s="48">
        <f t="shared" si="8"/>
        <v>3</v>
      </c>
      <c r="K23" s="49">
        <f t="shared" si="9"/>
        <v>3</v>
      </c>
      <c r="L23" s="49">
        <f t="shared" si="10"/>
        <v>9</v>
      </c>
      <c r="M23" s="124" t="s">
        <v>146</v>
      </c>
      <c r="N23" s="125" t="s">
        <v>94</v>
      </c>
      <c r="O23" s="126" t="s">
        <v>94</v>
      </c>
      <c r="P23" s="122" t="s">
        <v>82</v>
      </c>
      <c r="Q23" s="123" t="s">
        <v>82</v>
      </c>
      <c r="R23" s="123" t="s">
        <v>82</v>
      </c>
      <c r="S23" s="123" t="s">
        <v>82</v>
      </c>
      <c r="T23" s="9" t="s">
        <v>155</v>
      </c>
      <c r="U23" s="9">
        <v>1</v>
      </c>
      <c r="V23" s="172" t="s">
        <v>207</v>
      </c>
      <c r="W23" s="9">
        <v>3</v>
      </c>
      <c r="X23" s="8" t="s">
        <v>156</v>
      </c>
      <c r="Y23" s="23">
        <f t="shared" si="11"/>
        <v>9</v>
      </c>
      <c r="Z23" s="66"/>
    </row>
    <row r="24" spans="1:28" ht="62">
      <c r="A24" s="47" t="str">
        <f t="shared" si="12"/>
        <v>材1-1-PE-02</v>
      </c>
      <c r="B24" s="48">
        <f t="shared" si="0"/>
        <v>0</v>
      </c>
      <c r="C24" s="48" t="str">
        <f t="shared" si="1"/>
        <v>網站負責人</v>
      </c>
      <c r="D24" s="48" t="str">
        <f t="shared" si="2"/>
        <v>網站負責人:賴斐瓔</v>
      </c>
      <c r="E24" s="48" t="str">
        <f t="shared" si="3"/>
        <v>1</v>
      </c>
      <c r="F24" s="48" t="str">
        <f t="shared" si="4"/>
        <v>吳榮正</v>
      </c>
      <c r="G24" s="48">
        <f t="shared" si="5"/>
        <v>2</v>
      </c>
      <c r="H24" s="48">
        <f t="shared" si="6"/>
        <v>3</v>
      </c>
      <c r="I24" s="48">
        <f t="shared" si="7"/>
        <v>2</v>
      </c>
      <c r="J24" s="48">
        <f t="shared" si="8"/>
        <v>3</v>
      </c>
      <c r="K24" s="49">
        <f t="shared" si="9"/>
        <v>3</v>
      </c>
      <c r="L24" s="49">
        <f t="shared" si="10"/>
        <v>9</v>
      </c>
      <c r="M24" s="119" t="s">
        <v>94</v>
      </c>
      <c r="N24" s="120" t="s">
        <v>94</v>
      </c>
      <c r="O24" s="121" t="s">
        <v>94</v>
      </c>
      <c r="P24" s="122" t="s">
        <v>95</v>
      </c>
      <c r="Q24" s="123" t="s">
        <v>95</v>
      </c>
      <c r="R24" s="123" t="s">
        <v>95</v>
      </c>
      <c r="S24" s="123" t="s">
        <v>95</v>
      </c>
      <c r="T24" s="9" t="s">
        <v>155</v>
      </c>
      <c r="U24" s="9">
        <v>1</v>
      </c>
      <c r="V24" s="8" t="s">
        <v>167</v>
      </c>
      <c r="W24" s="9">
        <v>3</v>
      </c>
      <c r="X24" s="8" t="s">
        <v>156</v>
      </c>
      <c r="Y24" s="23">
        <f t="shared" si="11"/>
        <v>9</v>
      </c>
      <c r="Z24" s="66"/>
    </row>
    <row r="25" spans="1:28" ht="62">
      <c r="A25" s="47" t="str">
        <f t="shared" si="12"/>
        <v>材1-1-PE-02</v>
      </c>
      <c r="B25" s="48">
        <f t="shared" si="0"/>
        <v>0</v>
      </c>
      <c r="C25" s="48" t="str">
        <f t="shared" si="1"/>
        <v>網站負責人</v>
      </c>
      <c r="D25" s="48" t="str">
        <f t="shared" si="2"/>
        <v>網站負責人:賴斐瓔</v>
      </c>
      <c r="E25" s="48" t="str">
        <f t="shared" si="3"/>
        <v>1</v>
      </c>
      <c r="F25" s="48" t="str">
        <f t="shared" si="4"/>
        <v>吳榮正</v>
      </c>
      <c r="G25" s="48">
        <f t="shared" si="5"/>
        <v>2</v>
      </c>
      <c r="H25" s="48">
        <f t="shared" si="6"/>
        <v>3</v>
      </c>
      <c r="I25" s="48">
        <f t="shared" si="7"/>
        <v>2</v>
      </c>
      <c r="J25" s="48">
        <f t="shared" si="8"/>
        <v>3</v>
      </c>
      <c r="K25" s="49">
        <f t="shared" si="9"/>
        <v>3</v>
      </c>
      <c r="L25" s="49">
        <f t="shared" si="10"/>
        <v>9</v>
      </c>
      <c r="M25" s="140" t="s">
        <v>94</v>
      </c>
      <c r="N25" s="141" t="s">
        <v>94</v>
      </c>
      <c r="O25" s="142" t="s">
        <v>94</v>
      </c>
      <c r="P25" s="122" t="s">
        <v>96</v>
      </c>
      <c r="Q25" s="123" t="s">
        <v>96</v>
      </c>
      <c r="R25" s="123" t="s">
        <v>96</v>
      </c>
      <c r="S25" s="123" t="s">
        <v>96</v>
      </c>
      <c r="T25" s="9" t="s">
        <v>155</v>
      </c>
      <c r="U25" s="9">
        <v>1</v>
      </c>
      <c r="V25" s="8" t="s">
        <v>162</v>
      </c>
      <c r="W25" s="9">
        <v>3</v>
      </c>
      <c r="X25" s="8" t="s">
        <v>156</v>
      </c>
      <c r="Y25" s="23">
        <f t="shared" si="11"/>
        <v>9</v>
      </c>
      <c r="Z25" s="66"/>
    </row>
    <row r="26" spans="1:28" ht="46.5">
      <c r="A26" s="47" t="str">
        <f t="shared" si="12"/>
        <v>材1-1-PE-02</v>
      </c>
      <c r="B26" s="48">
        <f t="shared" si="0"/>
        <v>0</v>
      </c>
      <c r="C26" s="48" t="str">
        <f t="shared" si="1"/>
        <v>網站負責人</v>
      </c>
      <c r="D26" s="48" t="str">
        <f t="shared" si="2"/>
        <v>網站負責人:賴斐瓔</v>
      </c>
      <c r="E26" s="48" t="str">
        <f t="shared" si="3"/>
        <v>1</v>
      </c>
      <c r="F26" s="48" t="str">
        <f t="shared" si="4"/>
        <v>吳榮正</v>
      </c>
      <c r="G26" s="48">
        <f t="shared" si="5"/>
        <v>2</v>
      </c>
      <c r="H26" s="48">
        <f t="shared" si="6"/>
        <v>3</v>
      </c>
      <c r="I26" s="48">
        <f t="shared" si="7"/>
        <v>2</v>
      </c>
      <c r="J26" s="48">
        <f t="shared" si="8"/>
        <v>3</v>
      </c>
      <c r="K26" s="49">
        <f t="shared" si="9"/>
        <v>3</v>
      </c>
      <c r="L26" s="49">
        <f t="shared" si="10"/>
        <v>9</v>
      </c>
      <c r="M26" s="124" t="s">
        <v>147</v>
      </c>
      <c r="N26" s="125" t="s">
        <v>97</v>
      </c>
      <c r="O26" s="126" t="s">
        <v>97</v>
      </c>
      <c r="P26" s="122" t="s">
        <v>98</v>
      </c>
      <c r="Q26" s="123" t="s">
        <v>98</v>
      </c>
      <c r="R26" s="123" t="s">
        <v>98</v>
      </c>
      <c r="S26" s="123" t="s">
        <v>98</v>
      </c>
      <c r="T26" s="9" t="s">
        <v>155</v>
      </c>
      <c r="U26" s="9">
        <v>1</v>
      </c>
      <c r="V26" s="8" t="s">
        <v>157</v>
      </c>
      <c r="W26" s="9">
        <v>2</v>
      </c>
      <c r="X26" s="8" t="s">
        <v>163</v>
      </c>
      <c r="Y26" s="23">
        <f t="shared" si="11"/>
        <v>6</v>
      </c>
      <c r="Z26" s="66"/>
    </row>
    <row r="27" spans="1:28" ht="46.5">
      <c r="A27" s="47" t="str">
        <f t="shared" si="12"/>
        <v>材1-1-PE-02</v>
      </c>
      <c r="B27" s="48">
        <f t="shared" si="0"/>
        <v>0</v>
      </c>
      <c r="C27" s="48" t="str">
        <f t="shared" si="1"/>
        <v>網站負責人</v>
      </c>
      <c r="D27" s="48" t="str">
        <f t="shared" si="2"/>
        <v>網站負責人:賴斐瓔</v>
      </c>
      <c r="E27" s="48" t="str">
        <f t="shared" si="3"/>
        <v>1</v>
      </c>
      <c r="F27" s="48" t="str">
        <f t="shared" si="4"/>
        <v>吳榮正</v>
      </c>
      <c r="G27" s="48">
        <f t="shared" si="5"/>
        <v>2</v>
      </c>
      <c r="H27" s="48">
        <f t="shared" si="6"/>
        <v>3</v>
      </c>
      <c r="I27" s="48">
        <f t="shared" si="7"/>
        <v>2</v>
      </c>
      <c r="J27" s="48">
        <f t="shared" si="8"/>
        <v>3</v>
      </c>
      <c r="K27" s="49">
        <f t="shared" si="9"/>
        <v>3</v>
      </c>
      <c r="L27" s="49">
        <f t="shared" si="10"/>
        <v>9</v>
      </c>
      <c r="M27" s="119" t="s">
        <v>97</v>
      </c>
      <c r="N27" s="120" t="s">
        <v>97</v>
      </c>
      <c r="O27" s="121" t="s">
        <v>97</v>
      </c>
      <c r="P27" s="138" t="s">
        <v>99</v>
      </c>
      <c r="Q27" s="139" t="s">
        <v>99</v>
      </c>
      <c r="R27" s="139" t="s">
        <v>99</v>
      </c>
      <c r="S27" s="139" t="s">
        <v>99</v>
      </c>
      <c r="T27" s="9" t="s">
        <v>155</v>
      </c>
      <c r="U27" s="9">
        <v>1</v>
      </c>
      <c r="V27" s="8" t="s">
        <v>199</v>
      </c>
      <c r="W27" s="9">
        <v>2</v>
      </c>
      <c r="X27" s="8" t="s">
        <v>163</v>
      </c>
      <c r="Y27" s="23">
        <f t="shared" si="11"/>
        <v>6</v>
      </c>
      <c r="Z27" s="66"/>
    </row>
    <row r="28" spans="1:28" ht="62">
      <c r="A28" s="47" t="str">
        <f t="shared" si="12"/>
        <v>材1-1-PE-02</v>
      </c>
      <c r="B28" s="48">
        <f t="shared" si="0"/>
        <v>0</v>
      </c>
      <c r="C28" s="48" t="str">
        <f t="shared" si="1"/>
        <v>網站負責人</v>
      </c>
      <c r="D28" s="48" t="str">
        <f t="shared" si="2"/>
        <v>網站負責人:賴斐瓔</v>
      </c>
      <c r="E28" s="48" t="str">
        <f t="shared" si="3"/>
        <v>1</v>
      </c>
      <c r="F28" s="48" t="str">
        <f t="shared" si="4"/>
        <v>吳榮正</v>
      </c>
      <c r="G28" s="48">
        <f t="shared" si="5"/>
        <v>2</v>
      </c>
      <c r="H28" s="48">
        <f t="shared" si="6"/>
        <v>3</v>
      </c>
      <c r="I28" s="48">
        <f t="shared" si="7"/>
        <v>2</v>
      </c>
      <c r="J28" s="48">
        <f t="shared" si="8"/>
        <v>3</v>
      </c>
      <c r="K28" s="49">
        <f t="shared" si="9"/>
        <v>3</v>
      </c>
      <c r="L28" s="49">
        <f t="shared" si="10"/>
        <v>9</v>
      </c>
      <c r="M28" s="124" t="s">
        <v>148</v>
      </c>
      <c r="N28" s="125" t="s">
        <v>100</v>
      </c>
      <c r="O28" s="126" t="s">
        <v>100</v>
      </c>
      <c r="P28" s="122" t="s">
        <v>82</v>
      </c>
      <c r="Q28" s="123" t="s">
        <v>82</v>
      </c>
      <c r="R28" s="123" t="s">
        <v>82</v>
      </c>
      <c r="S28" s="123" t="s">
        <v>82</v>
      </c>
      <c r="T28" s="9" t="s">
        <v>155</v>
      </c>
      <c r="U28" s="9">
        <v>1</v>
      </c>
      <c r="V28" s="172" t="s">
        <v>207</v>
      </c>
      <c r="W28" s="9">
        <v>3</v>
      </c>
      <c r="X28" s="8" t="s">
        <v>156</v>
      </c>
      <c r="Y28" s="23">
        <f t="shared" si="11"/>
        <v>9</v>
      </c>
      <c r="Z28" s="66"/>
    </row>
    <row r="29" spans="1:28" ht="62">
      <c r="A29" s="47" t="str">
        <f t="shared" si="12"/>
        <v>材1-1-PE-02</v>
      </c>
      <c r="B29" s="48">
        <f t="shared" si="0"/>
        <v>0</v>
      </c>
      <c r="C29" s="48" t="str">
        <f t="shared" si="1"/>
        <v>網站負責人</v>
      </c>
      <c r="D29" s="48" t="str">
        <f t="shared" si="2"/>
        <v>網站負責人:賴斐瓔</v>
      </c>
      <c r="E29" s="48" t="str">
        <f t="shared" si="3"/>
        <v>1</v>
      </c>
      <c r="F29" s="48" t="str">
        <f t="shared" si="4"/>
        <v>吳榮正</v>
      </c>
      <c r="G29" s="48">
        <f t="shared" si="5"/>
        <v>2</v>
      </c>
      <c r="H29" s="48">
        <f t="shared" si="6"/>
        <v>3</v>
      </c>
      <c r="I29" s="48">
        <f t="shared" si="7"/>
        <v>2</v>
      </c>
      <c r="J29" s="48">
        <f t="shared" si="8"/>
        <v>3</v>
      </c>
      <c r="K29" s="49">
        <f t="shared" si="9"/>
        <v>3</v>
      </c>
      <c r="L29" s="49">
        <f t="shared" si="10"/>
        <v>9</v>
      </c>
      <c r="M29" s="119" t="s">
        <v>100</v>
      </c>
      <c r="N29" s="120" t="s">
        <v>100</v>
      </c>
      <c r="O29" s="121" t="s">
        <v>100</v>
      </c>
      <c r="P29" s="122" t="s">
        <v>101</v>
      </c>
      <c r="Q29" s="123" t="s">
        <v>101</v>
      </c>
      <c r="R29" s="123" t="s">
        <v>101</v>
      </c>
      <c r="S29" s="123" t="s">
        <v>101</v>
      </c>
      <c r="T29" s="9" t="s">
        <v>155</v>
      </c>
      <c r="U29" s="9">
        <v>1</v>
      </c>
      <c r="V29" s="8" t="s">
        <v>164</v>
      </c>
      <c r="W29" s="9">
        <v>3</v>
      </c>
      <c r="X29" s="8" t="s">
        <v>156</v>
      </c>
      <c r="Y29" s="23">
        <f t="shared" si="11"/>
        <v>9</v>
      </c>
      <c r="Z29" s="66"/>
    </row>
    <row r="30" spans="1:28" ht="62">
      <c r="A30" s="47" t="str">
        <f t="shared" si="12"/>
        <v>材1-1-PE-02</v>
      </c>
      <c r="B30" s="48">
        <f t="shared" si="0"/>
        <v>0</v>
      </c>
      <c r="C30" s="48" t="str">
        <f t="shared" si="1"/>
        <v>網站負責人</v>
      </c>
      <c r="D30" s="48" t="str">
        <f t="shared" si="2"/>
        <v>網站負責人:賴斐瓔</v>
      </c>
      <c r="E30" s="48" t="str">
        <f t="shared" si="3"/>
        <v>1</v>
      </c>
      <c r="F30" s="48" t="str">
        <f t="shared" si="4"/>
        <v>吳榮正</v>
      </c>
      <c r="G30" s="48">
        <f t="shared" si="5"/>
        <v>2</v>
      </c>
      <c r="H30" s="48">
        <f t="shared" si="6"/>
        <v>3</v>
      </c>
      <c r="I30" s="48">
        <f t="shared" si="7"/>
        <v>2</v>
      </c>
      <c r="J30" s="48">
        <f t="shared" si="8"/>
        <v>3</v>
      </c>
      <c r="K30" s="49">
        <f t="shared" si="9"/>
        <v>3</v>
      </c>
      <c r="L30" s="49">
        <f t="shared" si="10"/>
        <v>9</v>
      </c>
      <c r="M30" s="124" t="s">
        <v>149</v>
      </c>
      <c r="N30" s="125" t="s">
        <v>102</v>
      </c>
      <c r="O30" s="126" t="s">
        <v>102</v>
      </c>
      <c r="P30" s="122" t="s">
        <v>103</v>
      </c>
      <c r="Q30" s="123" t="s">
        <v>103</v>
      </c>
      <c r="R30" s="123" t="s">
        <v>103</v>
      </c>
      <c r="S30" s="123" t="s">
        <v>103</v>
      </c>
      <c r="T30" s="9" t="s">
        <v>80</v>
      </c>
      <c r="U30" s="9">
        <v>1</v>
      </c>
      <c r="V30" s="8" t="s">
        <v>165</v>
      </c>
      <c r="W30" s="9">
        <v>3</v>
      </c>
      <c r="X30" s="8" t="s">
        <v>156</v>
      </c>
      <c r="Y30" s="23">
        <f t="shared" si="11"/>
        <v>9</v>
      </c>
      <c r="Z30" s="66"/>
    </row>
    <row r="31" spans="1:28" ht="62">
      <c r="A31" s="47" t="str">
        <f t="shared" si="12"/>
        <v>材1-1-PE-02</v>
      </c>
      <c r="B31" s="48">
        <f t="shared" si="0"/>
        <v>0</v>
      </c>
      <c r="C31" s="48" t="str">
        <f t="shared" si="1"/>
        <v>網站負責人</v>
      </c>
      <c r="D31" s="48" t="str">
        <f t="shared" si="2"/>
        <v>網站負責人:賴斐瓔</v>
      </c>
      <c r="E31" s="48" t="str">
        <f t="shared" si="3"/>
        <v>1</v>
      </c>
      <c r="F31" s="48" t="str">
        <f t="shared" si="4"/>
        <v>吳榮正</v>
      </c>
      <c r="G31" s="48">
        <f t="shared" si="5"/>
        <v>2</v>
      </c>
      <c r="H31" s="48">
        <f t="shared" si="6"/>
        <v>3</v>
      </c>
      <c r="I31" s="48">
        <f t="shared" si="7"/>
        <v>2</v>
      </c>
      <c r="J31" s="48">
        <f t="shared" si="8"/>
        <v>3</v>
      </c>
      <c r="K31" s="49">
        <f t="shared" si="9"/>
        <v>3</v>
      </c>
      <c r="L31" s="49">
        <f t="shared" si="10"/>
        <v>9</v>
      </c>
      <c r="M31" s="119" t="s">
        <v>102</v>
      </c>
      <c r="N31" s="120" t="s">
        <v>102</v>
      </c>
      <c r="O31" s="121" t="s">
        <v>102</v>
      </c>
      <c r="P31" s="122" t="s">
        <v>91</v>
      </c>
      <c r="Q31" s="123" t="s">
        <v>91</v>
      </c>
      <c r="R31" s="123" t="s">
        <v>91</v>
      </c>
      <c r="S31" s="123" t="s">
        <v>91</v>
      </c>
      <c r="T31" s="9" t="s">
        <v>155</v>
      </c>
      <c r="U31" s="9">
        <v>1</v>
      </c>
      <c r="V31" s="8" t="s">
        <v>166</v>
      </c>
      <c r="W31" s="9">
        <v>3</v>
      </c>
      <c r="X31" s="8" t="s">
        <v>156</v>
      </c>
      <c r="Y31" s="23">
        <f t="shared" si="11"/>
        <v>9</v>
      </c>
      <c r="Z31" s="66"/>
    </row>
    <row r="32" spans="1:28" ht="62">
      <c r="A32" s="47" t="str">
        <f t="shared" si="12"/>
        <v>材1-1-PE-02</v>
      </c>
      <c r="B32" s="48">
        <f t="shared" si="0"/>
        <v>0</v>
      </c>
      <c r="C32" s="48" t="str">
        <f t="shared" si="1"/>
        <v>網站負責人</v>
      </c>
      <c r="D32" s="48" t="str">
        <f t="shared" si="2"/>
        <v>網站負責人:賴斐瓔</v>
      </c>
      <c r="E32" s="48" t="str">
        <f t="shared" si="3"/>
        <v>1</v>
      </c>
      <c r="F32" s="48" t="str">
        <f t="shared" si="4"/>
        <v>吳榮正</v>
      </c>
      <c r="G32" s="48">
        <f t="shared" si="5"/>
        <v>2</v>
      </c>
      <c r="H32" s="48">
        <f t="shared" si="6"/>
        <v>3</v>
      </c>
      <c r="I32" s="48">
        <f t="shared" si="7"/>
        <v>2</v>
      </c>
      <c r="J32" s="48">
        <f t="shared" si="8"/>
        <v>3</v>
      </c>
      <c r="K32" s="49">
        <f t="shared" si="9"/>
        <v>3</v>
      </c>
      <c r="L32" s="49">
        <f t="shared" si="10"/>
        <v>9</v>
      </c>
      <c r="M32" s="119" t="s">
        <v>102</v>
      </c>
      <c r="N32" s="120" t="s">
        <v>102</v>
      </c>
      <c r="O32" s="121" t="s">
        <v>102</v>
      </c>
      <c r="P32" s="122" t="s">
        <v>82</v>
      </c>
      <c r="Q32" s="123" t="s">
        <v>82</v>
      </c>
      <c r="R32" s="123" t="s">
        <v>82</v>
      </c>
      <c r="S32" s="123" t="s">
        <v>82</v>
      </c>
      <c r="T32" s="9" t="s">
        <v>155</v>
      </c>
      <c r="U32" s="9">
        <v>1</v>
      </c>
      <c r="V32" s="172" t="s">
        <v>207</v>
      </c>
      <c r="W32" s="9">
        <v>3</v>
      </c>
      <c r="X32" s="8" t="s">
        <v>156</v>
      </c>
      <c r="Y32" s="23">
        <f t="shared" si="11"/>
        <v>9</v>
      </c>
      <c r="Z32" s="66"/>
    </row>
    <row r="33" spans="1:26">
      <c r="A33" s="47" t="str">
        <f t="shared" si="12"/>
        <v>材1-1-PE-02</v>
      </c>
      <c r="B33" s="48">
        <f t="shared" si="0"/>
        <v>0</v>
      </c>
      <c r="C33" s="48" t="str">
        <f t="shared" si="1"/>
        <v>網站負責人</v>
      </c>
      <c r="D33" s="48" t="str">
        <f t="shared" si="2"/>
        <v>網站負責人:賴斐瓔</v>
      </c>
      <c r="E33" s="48" t="str">
        <f t="shared" si="3"/>
        <v>1</v>
      </c>
      <c r="F33" s="48" t="str">
        <f t="shared" si="4"/>
        <v>吳榮正</v>
      </c>
      <c r="G33" s="48">
        <f t="shared" si="5"/>
        <v>2</v>
      </c>
      <c r="H33" s="48">
        <f t="shared" si="6"/>
        <v>3</v>
      </c>
      <c r="I33" s="48">
        <f t="shared" si="7"/>
        <v>2</v>
      </c>
      <c r="J33" s="48">
        <f t="shared" si="8"/>
        <v>3</v>
      </c>
      <c r="K33" s="49">
        <f t="shared" si="9"/>
        <v>3</v>
      </c>
      <c r="L33" s="49">
        <f t="shared" si="10"/>
        <v>9</v>
      </c>
      <c r="M33" s="124" t="s">
        <v>105</v>
      </c>
      <c r="N33" s="125"/>
      <c r="O33" s="126"/>
      <c r="P33" s="122" t="s">
        <v>104</v>
      </c>
      <c r="Q33" s="123"/>
      <c r="R33" s="123"/>
      <c r="S33" s="123"/>
      <c r="T33" s="9" t="s">
        <v>109</v>
      </c>
      <c r="U33" s="9"/>
      <c r="V33" s="8"/>
      <c r="W33" s="9"/>
      <c r="X33" s="8"/>
      <c r="Y33" s="23" t="str">
        <f t="shared" si="11"/>
        <v>不適用</v>
      </c>
      <c r="Z33" s="66"/>
    </row>
    <row r="34" spans="1:26">
      <c r="A34" s="47" t="str">
        <f t="shared" si="12"/>
        <v>材1-1-PE-02</v>
      </c>
      <c r="B34" s="48">
        <f t="shared" si="0"/>
        <v>0</v>
      </c>
      <c r="C34" s="48" t="str">
        <f t="shared" si="1"/>
        <v>網站負責人</v>
      </c>
      <c r="D34" s="48" t="str">
        <f t="shared" si="2"/>
        <v>網站負責人:賴斐瓔</v>
      </c>
      <c r="E34" s="48" t="str">
        <f t="shared" si="3"/>
        <v>1</v>
      </c>
      <c r="F34" s="48" t="str">
        <f t="shared" si="4"/>
        <v>吳榮正</v>
      </c>
      <c r="G34" s="48">
        <f t="shared" si="5"/>
        <v>2</v>
      </c>
      <c r="H34" s="48">
        <f t="shared" si="6"/>
        <v>3</v>
      </c>
      <c r="I34" s="48">
        <f t="shared" si="7"/>
        <v>2</v>
      </c>
      <c r="J34" s="48">
        <f t="shared" si="8"/>
        <v>3</v>
      </c>
      <c r="K34" s="49">
        <f t="shared" si="9"/>
        <v>3</v>
      </c>
      <c r="L34" s="49">
        <f t="shared" si="10"/>
        <v>9</v>
      </c>
      <c r="M34" s="127" t="s">
        <v>105</v>
      </c>
      <c r="N34" s="128"/>
      <c r="O34" s="129"/>
      <c r="P34" s="122" t="s">
        <v>106</v>
      </c>
      <c r="Q34" s="123"/>
      <c r="R34" s="123"/>
      <c r="S34" s="123"/>
      <c r="T34" s="9" t="s">
        <v>109</v>
      </c>
      <c r="U34" s="9"/>
      <c r="V34" s="8"/>
      <c r="W34" s="9"/>
      <c r="X34" s="8"/>
      <c r="Y34" s="23" t="str">
        <f t="shared" si="11"/>
        <v>不適用</v>
      </c>
      <c r="Z34" s="66"/>
    </row>
    <row r="35" spans="1:26" ht="31">
      <c r="A35" s="47" t="str">
        <f>$N$3</f>
        <v>材1-1-PE-02</v>
      </c>
      <c r="B35" s="48">
        <f t="shared" si="0"/>
        <v>0</v>
      </c>
      <c r="C35" s="48" t="str">
        <f t="shared" si="1"/>
        <v>網站負責人</v>
      </c>
      <c r="D35" s="48" t="str">
        <f t="shared" si="2"/>
        <v>網站負責人:賴斐瓔</v>
      </c>
      <c r="E35" s="48" t="str">
        <f t="shared" si="3"/>
        <v>1</v>
      </c>
      <c r="F35" s="48" t="str">
        <f t="shared" si="4"/>
        <v>吳榮正</v>
      </c>
      <c r="G35" s="48">
        <f t="shared" si="5"/>
        <v>2</v>
      </c>
      <c r="H35" s="48">
        <f t="shared" si="6"/>
        <v>3</v>
      </c>
      <c r="I35" s="48">
        <f t="shared" si="7"/>
        <v>2</v>
      </c>
      <c r="J35" s="48">
        <f t="shared" si="8"/>
        <v>3</v>
      </c>
      <c r="K35" s="49">
        <f t="shared" si="9"/>
        <v>3</v>
      </c>
      <c r="L35" s="49">
        <f t="shared" si="10"/>
        <v>9</v>
      </c>
      <c r="M35" s="130" t="s">
        <v>192</v>
      </c>
      <c r="N35" s="131"/>
      <c r="O35" s="132"/>
      <c r="P35" s="133" t="s">
        <v>193</v>
      </c>
      <c r="Q35" s="134"/>
      <c r="R35" s="134"/>
      <c r="S35" s="122"/>
      <c r="T35" s="9" t="s">
        <v>80</v>
      </c>
      <c r="U35" s="9">
        <v>1</v>
      </c>
      <c r="V35" s="8" t="s">
        <v>194</v>
      </c>
      <c r="W35" s="9">
        <v>2</v>
      </c>
      <c r="X35" s="8" t="s">
        <v>195</v>
      </c>
      <c r="Y35" s="23">
        <f t="shared" si="11"/>
        <v>6</v>
      </c>
      <c r="Z35" s="66"/>
    </row>
    <row r="36" spans="1:26" ht="46.5">
      <c r="A36" s="47" t="str">
        <f>$N$3</f>
        <v>材1-1-PE-02</v>
      </c>
      <c r="B36" s="48">
        <f t="shared" si="0"/>
        <v>0</v>
      </c>
      <c r="C36" s="48" t="str">
        <f t="shared" si="1"/>
        <v>網站負責人</v>
      </c>
      <c r="D36" s="48" t="str">
        <f t="shared" si="2"/>
        <v>網站負責人:賴斐瓔</v>
      </c>
      <c r="E36" s="48" t="str">
        <f t="shared" si="3"/>
        <v>1</v>
      </c>
      <c r="F36" s="48" t="str">
        <f t="shared" si="4"/>
        <v>吳榮正</v>
      </c>
      <c r="G36" s="48">
        <f t="shared" si="5"/>
        <v>2</v>
      </c>
      <c r="H36" s="48">
        <f t="shared" si="6"/>
        <v>3</v>
      </c>
      <c r="I36" s="48">
        <f t="shared" si="7"/>
        <v>2</v>
      </c>
      <c r="J36" s="48">
        <f t="shared" si="8"/>
        <v>3</v>
      </c>
      <c r="K36" s="49">
        <f t="shared" si="9"/>
        <v>3</v>
      </c>
      <c r="L36" s="49">
        <f t="shared" si="10"/>
        <v>9</v>
      </c>
      <c r="M36" s="135"/>
      <c r="N36" s="136"/>
      <c r="O36" s="137"/>
      <c r="P36" s="133" t="s">
        <v>196</v>
      </c>
      <c r="Q36" s="134"/>
      <c r="R36" s="134"/>
      <c r="S36" s="122"/>
      <c r="T36" s="9" t="s">
        <v>80</v>
      </c>
      <c r="U36" s="9">
        <v>1</v>
      </c>
      <c r="V36" s="8" t="s">
        <v>194</v>
      </c>
      <c r="W36" s="9">
        <v>2</v>
      </c>
      <c r="X36" s="8" t="s">
        <v>197</v>
      </c>
      <c r="Y36" s="23">
        <f t="shared" si="11"/>
        <v>6</v>
      </c>
      <c r="Z36" s="66"/>
    </row>
    <row r="37" spans="1:26" ht="16" thickBot="1">
      <c r="A37" s="52" t="str">
        <f t="shared" si="12"/>
        <v>材1-1-PE-02</v>
      </c>
      <c r="B37" s="53">
        <f t="shared" si="0"/>
        <v>0</v>
      </c>
      <c r="C37" s="53" t="str">
        <f t="shared" si="1"/>
        <v>網站負責人</v>
      </c>
      <c r="D37" s="53" t="str">
        <f t="shared" si="2"/>
        <v>網站負責人:賴斐瓔</v>
      </c>
      <c r="E37" s="53" t="str">
        <f t="shared" si="3"/>
        <v>1</v>
      </c>
      <c r="F37" s="53" t="str">
        <f t="shared" si="4"/>
        <v>吳榮正</v>
      </c>
      <c r="G37" s="53">
        <f t="shared" si="5"/>
        <v>2</v>
      </c>
      <c r="H37" s="53">
        <f t="shared" si="6"/>
        <v>3</v>
      </c>
      <c r="I37" s="53">
        <f t="shared" si="7"/>
        <v>2</v>
      </c>
      <c r="J37" s="53">
        <f t="shared" si="8"/>
        <v>3</v>
      </c>
      <c r="K37" s="54">
        <f t="shared" si="9"/>
        <v>3</v>
      </c>
      <c r="L37" s="54">
        <f t="shared" si="10"/>
        <v>9</v>
      </c>
      <c r="M37" s="113" t="s">
        <v>107</v>
      </c>
      <c r="N37" s="114"/>
      <c r="O37" s="115"/>
      <c r="P37" s="116" t="s">
        <v>108</v>
      </c>
      <c r="Q37" s="117"/>
      <c r="R37" s="117"/>
      <c r="S37" s="118"/>
      <c r="T37" s="67" t="s">
        <v>109</v>
      </c>
      <c r="U37" s="67"/>
      <c r="V37" s="67"/>
      <c r="W37" s="67"/>
      <c r="X37" s="72"/>
      <c r="Y37" s="68" t="str">
        <f t="shared" si="11"/>
        <v>不適用</v>
      </c>
      <c r="Z37" s="69"/>
    </row>
    <row r="42" spans="1:26">
      <c r="M42" s="7"/>
    </row>
  </sheetData>
  <sheetProtection formatCells="0" formatColumns="0" formatRows="0" insertColumns="0" insertRows="0" insertHyperlinks="0" deleteColumns="0" deleteRows="0" sort="0" autoFilter="0" pivotTables="0"/>
  <autoFilter ref="M10:Z10" xr:uid="{00000000-0009-0000-0000-000004000000}">
    <filterColumn colId="0" showButton="0"/>
    <filterColumn colId="1" showButton="0"/>
    <filterColumn colId="3" showButton="0"/>
    <filterColumn colId="4" showButton="0"/>
    <filterColumn colId="5" showButton="0"/>
  </autoFilter>
  <mergeCells count="63">
    <mergeCell ref="M12:O12"/>
    <mergeCell ref="P12:S12"/>
    <mergeCell ref="M1:Z1"/>
    <mergeCell ref="N2:P2"/>
    <mergeCell ref="N3:P3"/>
    <mergeCell ref="N4:P4"/>
    <mergeCell ref="N5:P5"/>
    <mergeCell ref="N6:P6"/>
    <mergeCell ref="N7:P7"/>
    <mergeCell ref="M10:O10"/>
    <mergeCell ref="P10:S10"/>
    <mergeCell ref="M11:O11"/>
    <mergeCell ref="P11:S11"/>
    <mergeCell ref="M13:O13"/>
    <mergeCell ref="P13:S13"/>
    <mergeCell ref="M14:O14"/>
    <mergeCell ref="P14:S14"/>
    <mergeCell ref="M15:O15"/>
    <mergeCell ref="P15:S15"/>
    <mergeCell ref="M16:O16"/>
    <mergeCell ref="P16:S16"/>
    <mergeCell ref="M17:O17"/>
    <mergeCell ref="P17:S17"/>
    <mergeCell ref="M18:O18"/>
    <mergeCell ref="P18:S18"/>
    <mergeCell ref="M24:O24"/>
    <mergeCell ref="P24:S24"/>
    <mergeCell ref="M19:O19"/>
    <mergeCell ref="P19:S19"/>
    <mergeCell ref="M20:O20"/>
    <mergeCell ref="P20:S20"/>
    <mergeCell ref="M21:O21"/>
    <mergeCell ref="P21:S21"/>
    <mergeCell ref="M22:O22"/>
    <mergeCell ref="P22:S22"/>
    <mergeCell ref="M23:O23"/>
    <mergeCell ref="P23:S23"/>
    <mergeCell ref="M32:O32"/>
    <mergeCell ref="P32:S32"/>
    <mergeCell ref="M33:O33"/>
    <mergeCell ref="P33:S33"/>
    <mergeCell ref="M28:O28"/>
    <mergeCell ref="P28:S28"/>
    <mergeCell ref="M29:O29"/>
    <mergeCell ref="P29:S29"/>
    <mergeCell ref="M30:O30"/>
    <mergeCell ref="P30:S30"/>
    <mergeCell ref="M31:O31"/>
    <mergeCell ref="P31:S31"/>
    <mergeCell ref="M25:O25"/>
    <mergeCell ref="P25:S25"/>
    <mergeCell ref="M26:O26"/>
    <mergeCell ref="P26:S26"/>
    <mergeCell ref="M27:O27"/>
    <mergeCell ref="P27:S27"/>
    <mergeCell ref="M34:O34"/>
    <mergeCell ref="P34:S34"/>
    <mergeCell ref="M37:O37"/>
    <mergeCell ref="P37:S37"/>
    <mergeCell ref="M35:O35"/>
    <mergeCell ref="P35:S35"/>
    <mergeCell ref="M36:O36"/>
    <mergeCell ref="P36:S36"/>
  </mergeCells>
  <phoneticPr fontId="1" type="noConversion"/>
  <dataValidations count="2">
    <dataValidation type="list" allowBlank="1" showInputMessage="1" showErrorMessage="1" sqref="T65549:T65572 JI65549:JI65572 TE65549:TE65572 ADA65549:ADA65572 AMW65549:AMW65572 AWS65549:AWS65572 BGO65549:BGO65572 BQK65549:BQK65572 CAG65549:CAG65572 CKC65549:CKC65572 CTY65549:CTY65572 DDU65549:DDU65572 DNQ65549:DNQ65572 DXM65549:DXM65572 EHI65549:EHI65572 ERE65549:ERE65572 FBA65549:FBA65572 FKW65549:FKW65572 FUS65549:FUS65572 GEO65549:GEO65572 GOK65549:GOK65572 GYG65549:GYG65572 HIC65549:HIC65572 HRY65549:HRY65572 IBU65549:IBU65572 ILQ65549:ILQ65572 IVM65549:IVM65572 JFI65549:JFI65572 JPE65549:JPE65572 JZA65549:JZA65572 KIW65549:KIW65572 KSS65549:KSS65572 LCO65549:LCO65572 LMK65549:LMK65572 LWG65549:LWG65572 MGC65549:MGC65572 MPY65549:MPY65572 MZU65549:MZU65572 NJQ65549:NJQ65572 NTM65549:NTM65572 ODI65549:ODI65572 ONE65549:ONE65572 OXA65549:OXA65572 PGW65549:PGW65572 PQS65549:PQS65572 QAO65549:QAO65572 QKK65549:QKK65572 QUG65549:QUG65572 REC65549:REC65572 RNY65549:RNY65572 RXU65549:RXU65572 SHQ65549:SHQ65572 SRM65549:SRM65572 TBI65549:TBI65572 TLE65549:TLE65572 TVA65549:TVA65572 UEW65549:UEW65572 UOS65549:UOS65572 UYO65549:UYO65572 VIK65549:VIK65572 VSG65549:VSG65572 WCC65549:WCC65572 WLY65549:WLY65572 WVU65549:WVU65572 T131085:T131108 JI131085:JI131108 TE131085:TE131108 ADA131085:ADA131108 AMW131085:AMW131108 AWS131085:AWS131108 BGO131085:BGO131108 BQK131085:BQK131108 CAG131085:CAG131108 CKC131085:CKC131108 CTY131085:CTY131108 DDU131085:DDU131108 DNQ131085:DNQ131108 DXM131085:DXM131108 EHI131085:EHI131108 ERE131085:ERE131108 FBA131085:FBA131108 FKW131085:FKW131108 FUS131085:FUS131108 GEO131085:GEO131108 GOK131085:GOK131108 GYG131085:GYG131108 HIC131085:HIC131108 HRY131085:HRY131108 IBU131085:IBU131108 ILQ131085:ILQ131108 IVM131085:IVM131108 JFI131085:JFI131108 JPE131085:JPE131108 JZA131085:JZA131108 KIW131085:KIW131108 KSS131085:KSS131108 LCO131085:LCO131108 LMK131085:LMK131108 LWG131085:LWG131108 MGC131085:MGC131108 MPY131085:MPY131108 MZU131085:MZU131108 NJQ131085:NJQ131108 NTM131085:NTM131108 ODI131085:ODI131108 ONE131085:ONE131108 OXA131085:OXA131108 PGW131085:PGW131108 PQS131085:PQS131108 QAO131085:QAO131108 QKK131085:QKK131108 QUG131085:QUG131108 REC131085:REC131108 RNY131085:RNY131108 RXU131085:RXU131108 SHQ131085:SHQ131108 SRM131085:SRM131108 TBI131085:TBI131108 TLE131085:TLE131108 TVA131085:TVA131108 UEW131085:UEW131108 UOS131085:UOS131108 UYO131085:UYO131108 VIK131085:VIK131108 VSG131085:VSG131108 WCC131085:WCC131108 WLY131085:WLY131108 WVU131085:WVU131108 T196621:T196644 JI196621:JI196644 TE196621:TE196644 ADA196621:ADA196644 AMW196621:AMW196644 AWS196621:AWS196644 BGO196621:BGO196644 BQK196621:BQK196644 CAG196621:CAG196644 CKC196621:CKC196644 CTY196621:CTY196644 DDU196621:DDU196644 DNQ196621:DNQ196644 DXM196621:DXM196644 EHI196621:EHI196644 ERE196621:ERE196644 FBA196621:FBA196644 FKW196621:FKW196644 FUS196621:FUS196644 GEO196621:GEO196644 GOK196621:GOK196644 GYG196621:GYG196644 HIC196621:HIC196644 HRY196621:HRY196644 IBU196621:IBU196644 ILQ196621:ILQ196644 IVM196621:IVM196644 JFI196621:JFI196644 JPE196621:JPE196644 JZA196621:JZA196644 KIW196621:KIW196644 KSS196621:KSS196644 LCO196621:LCO196644 LMK196621:LMK196644 LWG196621:LWG196644 MGC196621:MGC196644 MPY196621:MPY196644 MZU196621:MZU196644 NJQ196621:NJQ196644 NTM196621:NTM196644 ODI196621:ODI196644 ONE196621:ONE196644 OXA196621:OXA196644 PGW196621:PGW196644 PQS196621:PQS196644 QAO196621:QAO196644 QKK196621:QKK196644 QUG196621:QUG196644 REC196621:REC196644 RNY196621:RNY196644 RXU196621:RXU196644 SHQ196621:SHQ196644 SRM196621:SRM196644 TBI196621:TBI196644 TLE196621:TLE196644 TVA196621:TVA196644 UEW196621:UEW196644 UOS196621:UOS196644 UYO196621:UYO196644 VIK196621:VIK196644 VSG196621:VSG196644 WCC196621:WCC196644 WLY196621:WLY196644 WVU196621:WVU196644 T262157:T262180 JI262157:JI262180 TE262157:TE262180 ADA262157:ADA262180 AMW262157:AMW262180 AWS262157:AWS262180 BGO262157:BGO262180 BQK262157:BQK262180 CAG262157:CAG262180 CKC262157:CKC262180 CTY262157:CTY262180 DDU262157:DDU262180 DNQ262157:DNQ262180 DXM262157:DXM262180 EHI262157:EHI262180 ERE262157:ERE262180 FBA262157:FBA262180 FKW262157:FKW262180 FUS262157:FUS262180 GEO262157:GEO262180 GOK262157:GOK262180 GYG262157:GYG262180 HIC262157:HIC262180 HRY262157:HRY262180 IBU262157:IBU262180 ILQ262157:ILQ262180 IVM262157:IVM262180 JFI262157:JFI262180 JPE262157:JPE262180 JZA262157:JZA262180 KIW262157:KIW262180 KSS262157:KSS262180 LCO262157:LCO262180 LMK262157:LMK262180 LWG262157:LWG262180 MGC262157:MGC262180 MPY262157:MPY262180 MZU262157:MZU262180 NJQ262157:NJQ262180 NTM262157:NTM262180 ODI262157:ODI262180 ONE262157:ONE262180 OXA262157:OXA262180 PGW262157:PGW262180 PQS262157:PQS262180 QAO262157:QAO262180 QKK262157:QKK262180 QUG262157:QUG262180 REC262157:REC262180 RNY262157:RNY262180 RXU262157:RXU262180 SHQ262157:SHQ262180 SRM262157:SRM262180 TBI262157:TBI262180 TLE262157:TLE262180 TVA262157:TVA262180 UEW262157:UEW262180 UOS262157:UOS262180 UYO262157:UYO262180 VIK262157:VIK262180 VSG262157:VSG262180 WCC262157:WCC262180 WLY262157:WLY262180 WVU262157:WVU262180 T327693:T327716 JI327693:JI327716 TE327693:TE327716 ADA327693:ADA327716 AMW327693:AMW327716 AWS327693:AWS327716 BGO327693:BGO327716 BQK327693:BQK327716 CAG327693:CAG327716 CKC327693:CKC327716 CTY327693:CTY327716 DDU327693:DDU327716 DNQ327693:DNQ327716 DXM327693:DXM327716 EHI327693:EHI327716 ERE327693:ERE327716 FBA327693:FBA327716 FKW327693:FKW327716 FUS327693:FUS327716 GEO327693:GEO327716 GOK327693:GOK327716 GYG327693:GYG327716 HIC327693:HIC327716 HRY327693:HRY327716 IBU327693:IBU327716 ILQ327693:ILQ327716 IVM327693:IVM327716 JFI327693:JFI327716 JPE327693:JPE327716 JZA327693:JZA327716 KIW327693:KIW327716 KSS327693:KSS327716 LCO327693:LCO327716 LMK327693:LMK327716 LWG327693:LWG327716 MGC327693:MGC327716 MPY327693:MPY327716 MZU327693:MZU327716 NJQ327693:NJQ327716 NTM327693:NTM327716 ODI327693:ODI327716 ONE327693:ONE327716 OXA327693:OXA327716 PGW327693:PGW327716 PQS327693:PQS327716 QAO327693:QAO327716 QKK327693:QKK327716 QUG327693:QUG327716 REC327693:REC327716 RNY327693:RNY327716 RXU327693:RXU327716 SHQ327693:SHQ327716 SRM327693:SRM327716 TBI327693:TBI327716 TLE327693:TLE327716 TVA327693:TVA327716 UEW327693:UEW327716 UOS327693:UOS327716 UYO327693:UYO327716 VIK327693:VIK327716 VSG327693:VSG327716 WCC327693:WCC327716 WLY327693:WLY327716 WVU327693:WVU327716 T393229:T393252 JI393229:JI393252 TE393229:TE393252 ADA393229:ADA393252 AMW393229:AMW393252 AWS393229:AWS393252 BGO393229:BGO393252 BQK393229:BQK393252 CAG393229:CAG393252 CKC393229:CKC393252 CTY393229:CTY393252 DDU393229:DDU393252 DNQ393229:DNQ393252 DXM393229:DXM393252 EHI393229:EHI393252 ERE393229:ERE393252 FBA393229:FBA393252 FKW393229:FKW393252 FUS393229:FUS393252 GEO393229:GEO393252 GOK393229:GOK393252 GYG393229:GYG393252 HIC393229:HIC393252 HRY393229:HRY393252 IBU393229:IBU393252 ILQ393229:ILQ393252 IVM393229:IVM393252 JFI393229:JFI393252 JPE393229:JPE393252 JZA393229:JZA393252 KIW393229:KIW393252 KSS393229:KSS393252 LCO393229:LCO393252 LMK393229:LMK393252 LWG393229:LWG393252 MGC393229:MGC393252 MPY393229:MPY393252 MZU393229:MZU393252 NJQ393229:NJQ393252 NTM393229:NTM393252 ODI393229:ODI393252 ONE393229:ONE393252 OXA393229:OXA393252 PGW393229:PGW393252 PQS393229:PQS393252 QAO393229:QAO393252 QKK393229:QKK393252 QUG393229:QUG393252 REC393229:REC393252 RNY393229:RNY393252 RXU393229:RXU393252 SHQ393229:SHQ393252 SRM393229:SRM393252 TBI393229:TBI393252 TLE393229:TLE393252 TVA393229:TVA393252 UEW393229:UEW393252 UOS393229:UOS393252 UYO393229:UYO393252 VIK393229:VIK393252 VSG393229:VSG393252 WCC393229:WCC393252 WLY393229:WLY393252 WVU393229:WVU393252 T458765:T458788 JI458765:JI458788 TE458765:TE458788 ADA458765:ADA458788 AMW458765:AMW458788 AWS458765:AWS458788 BGO458765:BGO458788 BQK458765:BQK458788 CAG458765:CAG458788 CKC458765:CKC458788 CTY458765:CTY458788 DDU458765:DDU458788 DNQ458765:DNQ458788 DXM458765:DXM458788 EHI458765:EHI458788 ERE458765:ERE458788 FBA458765:FBA458788 FKW458765:FKW458788 FUS458765:FUS458788 GEO458765:GEO458788 GOK458765:GOK458788 GYG458765:GYG458788 HIC458765:HIC458788 HRY458765:HRY458788 IBU458765:IBU458788 ILQ458765:ILQ458788 IVM458765:IVM458788 JFI458765:JFI458788 JPE458765:JPE458788 JZA458765:JZA458788 KIW458765:KIW458788 KSS458765:KSS458788 LCO458765:LCO458788 LMK458765:LMK458788 LWG458765:LWG458788 MGC458765:MGC458788 MPY458765:MPY458788 MZU458765:MZU458788 NJQ458765:NJQ458788 NTM458765:NTM458788 ODI458765:ODI458788 ONE458765:ONE458788 OXA458765:OXA458788 PGW458765:PGW458788 PQS458765:PQS458788 QAO458765:QAO458788 QKK458765:QKK458788 QUG458765:QUG458788 REC458765:REC458788 RNY458765:RNY458788 RXU458765:RXU458788 SHQ458765:SHQ458788 SRM458765:SRM458788 TBI458765:TBI458788 TLE458765:TLE458788 TVA458765:TVA458788 UEW458765:UEW458788 UOS458765:UOS458788 UYO458765:UYO458788 VIK458765:VIK458788 VSG458765:VSG458788 WCC458765:WCC458788 WLY458765:WLY458788 WVU458765:WVU458788 T524301:T524324 JI524301:JI524324 TE524301:TE524324 ADA524301:ADA524324 AMW524301:AMW524324 AWS524301:AWS524324 BGO524301:BGO524324 BQK524301:BQK524324 CAG524301:CAG524324 CKC524301:CKC524324 CTY524301:CTY524324 DDU524301:DDU524324 DNQ524301:DNQ524324 DXM524301:DXM524324 EHI524301:EHI524324 ERE524301:ERE524324 FBA524301:FBA524324 FKW524301:FKW524324 FUS524301:FUS524324 GEO524301:GEO524324 GOK524301:GOK524324 GYG524301:GYG524324 HIC524301:HIC524324 HRY524301:HRY524324 IBU524301:IBU524324 ILQ524301:ILQ524324 IVM524301:IVM524324 JFI524301:JFI524324 JPE524301:JPE524324 JZA524301:JZA524324 KIW524301:KIW524324 KSS524301:KSS524324 LCO524301:LCO524324 LMK524301:LMK524324 LWG524301:LWG524324 MGC524301:MGC524324 MPY524301:MPY524324 MZU524301:MZU524324 NJQ524301:NJQ524324 NTM524301:NTM524324 ODI524301:ODI524324 ONE524301:ONE524324 OXA524301:OXA524324 PGW524301:PGW524324 PQS524301:PQS524324 QAO524301:QAO524324 QKK524301:QKK524324 QUG524301:QUG524324 REC524301:REC524324 RNY524301:RNY524324 RXU524301:RXU524324 SHQ524301:SHQ524324 SRM524301:SRM524324 TBI524301:TBI524324 TLE524301:TLE524324 TVA524301:TVA524324 UEW524301:UEW524324 UOS524301:UOS524324 UYO524301:UYO524324 VIK524301:VIK524324 VSG524301:VSG524324 WCC524301:WCC524324 WLY524301:WLY524324 WVU524301:WVU524324 T589837:T589860 JI589837:JI589860 TE589837:TE589860 ADA589837:ADA589860 AMW589837:AMW589860 AWS589837:AWS589860 BGO589837:BGO589860 BQK589837:BQK589860 CAG589837:CAG589860 CKC589837:CKC589860 CTY589837:CTY589860 DDU589837:DDU589860 DNQ589837:DNQ589860 DXM589837:DXM589860 EHI589837:EHI589860 ERE589837:ERE589860 FBA589837:FBA589860 FKW589837:FKW589860 FUS589837:FUS589860 GEO589837:GEO589860 GOK589837:GOK589860 GYG589837:GYG589860 HIC589837:HIC589860 HRY589837:HRY589860 IBU589837:IBU589860 ILQ589837:ILQ589860 IVM589837:IVM589860 JFI589837:JFI589860 JPE589837:JPE589860 JZA589837:JZA589860 KIW589837:KIW589860 KSS589837:KSS589860 LCO589837:LCO589860 LMK589837:LMK589860 LWG589837:LWG589860 MGC589837:MGC589860 MPY589837:MPY589860 MZU589837:MZU589860 NJQ589837:NJQ589860 NTM589837:NTM589860 ODI589837:ODI589860 ONE589837:ONE589860 OXA589837:OXA589860 PGW589837:PGW589860 PQS589837:PQS589860 QAO589837:QAO589860 QKK589837:QKK589860 QUG589837:QUG589860 REC589837:REC589860 RNY589837:RNY589860 RXU589837:RXU589860 SHQ589837:SHQ589860 SRM589837:SRM589860 TBI589837:TBI589860 TLE589837:TLE589860 TVA589837:TVA589860 UEW589837:UEW589860 UOS589837:UOS589860 UYO589837:UYO589860 VIK589837:VIK589860 VSG589837:VSG589860 WCC589837:WCC589860 WLY589837:WLY589860 WVU589837:WVU589860 T655373:T655396 JI655373:JI655396 TE655373:TE655396 ADA655373:ADA655396 AMW655373:AMW655396 AWS655373:AWS655396 BGO655373:BGO655396 BQK655373:BQK655396 CAG655373:CAG655396 CKC655373:CKC655396 CTY655373:CTY655396 DDU655373:DDU655396 DNQ655373:DNQ655396 DXM655373:DXM655396 EHI655373:EHI655396 ERE655373:ERE655396 FBA655373:FBA655396 FKW655373:FKW655396 FUS655373:FUS655396 GEO655373:GEO655396 GOK655373:GOK655396 GYG655373:GYG655396 HIC655373:HIC655396 HRY655373:HRY655396 IBU655373:IBU655396 ILQ655373:ILQ655396 IVM655373:IVM655396 JFI655373:JFI655396 JPE655373:JPE655396 JZA655373:JZA655396 KIW655373:KIW655396 KSS655373:KSS655396 LCO655373:LCO655396 LMK655373:LMK655396 LWG655373:LWG655396 MGC655373:MGC655396 MPY655373:MPY655396 MZU655373:MZU655396 NJQ655373:NJQ655396 NTM655373:NTM655396 ODI655373:ODI655396 ONE655373:ONE655396 OXA655373:OXA655396 PGW655373:PGW655396 PQS655373:PQS655396 QAO655373:QAO655396 QKK655373:QKK655396 QUG655373:QUG655396 REC655373:REC655396 RNY655373:RNY655396 RXU655373:RXU655396 SHQ655373:SHQ655396 SRM655373:SRM655396 TBI655373:TBI655396 TLE655373:TLE655396 TVA655373:TVA655396 UEW655373:UEW655396 UOS655373:UOS655396 UYO655373:UYO655396 VIK655373:VIK655396 VSG655373:VSG655396 WCC655373:WCC655396 WLY655373:WLY655396 WVU655373:WVU655396 T720909:T720932 JI720909:JI720932 TE720909:TE720932 ADA720909:ADA720932 AMW720909:AMW720932 AWS720909:AWS720932 BGO720909:BGO720932 BQK720909:BQK720932 CAG720909:CAG720932 CKC720909:CKC720932 CTY720909:CTY720932 DDU720909:DDU720932 DNQ720909:DNQ720932 DXM720909:DXM720932 EHI720909:EHI720932 ERE720909:ERE720932 FBA720909:FBA720932 FKW720909:FKW720932 FUS720909:FUS720932 GEO720909:GEO720932 GOK720909:GOK720932 GYG720909:GYG720932 HIC720909:HIC720932 HRY720909:HRY720932 IBU720909:IBU720932 ILQ720909:ILQ720932 IVM720909:IVM720932 JFI720909:JFI720932 JPE720909:JPE720932 JZA720909:JZA720932 KIW720909:KIW720932 KSS720909:KSS720932 LCO720909:LCO720932 LMK720909:LMK720932 LWG720909:LWG720932 MGC720909:MGC720932 MPY720909:MPY720932 MZU720909:MZU720932 NJQ720909:NJQ720932 NTM720909:NTM720932 ODI720909:ODI720932 ONE720909:ONE720932 OXA720909:OXA720932 PGW720909:PGW720932 PQS720909:PQS720932 QAO720909:QAO720932 QKK720909:QKK720932 QUG720909:QUG720932 REC720909:REC720932 RNY720909:RNY720932 RXU720909:RXU720932 SHQ720909:SHQ720932 SRM720909:SRM720932 TBI720909:TBI720932 TLE720909:TLE720932 TVA720909:TVA720932 UEW720909:UEW720932 UOS720909:UOS720932 UYO720909:UYO720932 VIK720909:VIK720932 VSG720909:VSG720932 WCC720909:WCC720932 WLY720909:WLY720932 WVU720909:WVU720932 T786445:T786468 JI786445:JI786468 TE786445:TE786468 ADA786445:ADA786468 AMW786445:AMW786468 AWS786445:AWS786468 BGO786445:BGO786468 BQK786445:BQK786468 CAG786445:CAG786468 CKC786445:CKC786468 CTY786445:CTY786468 DDU786445:DDU786468 DNQ786445:DNQ786468 DXM786445:DXM786468 EHI786445:EHI786468 ERE786445:ERE786468 FBA786445:FBA786468 FKW786445:FKW786468 FUS786445:FUS786468 GEO786445:GEO786468 GOK786445:GOK786468 GYG786445:GYG786468 HIC786445:HIC786468 HRY786445:HRY786468 IBU786445:IBU786468 ILQ786445:ILQ786468 IVM786445:IVM786468 JFI786445:JFI786468 JPE786445:JPE786468 JZA786445:JZA786468 KIW786445:KIW786468 KSS786445:KSS786468 LCO786445:LCO786468 LMK786445:LMK786468 LWG786445:LWG786468 MGC786445:MGC786468 MPY786445:MPY786468 MZU786445:MZU786468 NJQ786445:NJQ786468 NTM786445:NTM786468 ODI786445:ODI786468 ONE786445:ONE786468 OXA786445:OXA786468 PGW786445:PGW786468 PQS786445:PQS786468 QAO786445:QAO786468 QKK786445:QKK786468 QUG786445:QUG786468 REC786445:REC786468 RNY786445:RNY786468 RXU786445:RXU786468 SHQ786445:SHQ786468 SRM786445:SRM786468 TBI786445:TBI786468 TLE786445:TLE786468 TVA786445:TVA786468 UEW786445:UEW786468 UOS786445:UOS786468 UYO786445:UYO786468 VIK786445:VIK786468 VSG786445:VSG786468 WCC786445:WCC786468 WLY786445:WLY786468 WVU786445:WVU786468 T851981:T852004 JI851981:JI852004 TE851981:TE852004 ADA851981:ADA852004 AMW851981:AMW852004 AWS851981:AWS852004 BGO851981:BGO852004 BQK851981:BQK852004 CAG851981:CAG852004 CKC851981:CKC852004 CTY851981:CTY852004 DDU851981:DDU852004 DNQ851981:DNQ852004 DXM851981:DXM852004 EHI851981:EHI852004 ERE851981:ERE852004 FBA851981:FBA852004 FKW851981:FKW852004 FUS851981:FUS852004 GEO851981:GEO852004 GOK851981:GOK852004 GYG851981:GYG852004 HIC851981:HIC852004 HRY851981:HRY852004 IBU851981:IBU852004 ILQ851981:ILQ852004 IVM851981:IVM852004 JFI851981:JFI852004 JPE851981:JPE852004 JZA851981:JZA852004 KIW851981:KIW852004 KSS851981:KSS852004 LCO851981:LCO852004 LMK851981:LMK852004 LWG851981:LWG852004 MGC851981:MGC852004 MPY851981:MPY852004 MZU851981:MZU852004 NJQ851981:NJQ852004 NTM851981:NTM852004 ODI851981:ODI852004 ONE851981:ONE852004 OXA851981:OXA852004 PGW851981:PGW852004 PQS851981:PQS852004 QAO851981:QAO852004 QKK851981:QKK852004 QUG851981:QUG852004 REC851981:REC852004 RNY851981:RNY852004 RXU851981:RXU852004 SHQ851981:SHQ852004 SRM851981:SRM852004 TBI851981:TBI852004 TLE851981:TLE852004 TVA851981:TVA852004 UEW851981:UEW852004 UOS851981:UOS852004 UYO851981:UYO852004 VIK851981:VIK852004 VSG851981:VSG852004 WCC851981:WCC852004 WLY851981:WLY852004 WVU851981:WVU852004 T917517:T917540 JI917517:JI917540 TE917517:TE917540 ADA917517:ADA917540 AMW917517:AMW917540 AWS917517:AWS917540 BGO917517:BGO917540 BQK917517:BQK917540 CAG917517:CAG917540 CKC917517:CKC917540 CTY917517:CTY917540 DDU917517:DDU917540 DNQ917517:DNQ917540 DXM917517:DXM917540 EHI917517:EHI917540 ERE917517:ERE917540 FBA917517:FBA917540 FKW917517:FKW917540 FUS917517:FUS917540 GEO917517:GEO917540 GOK917517:GOK917540 GYG917517:GYG917540 HIC917517:HIC917540 HRY917517:HRY917540 IBU917517:IBU917540 ILQ917517:ILQ917540 IVM917517:IVM917540 JFI917517:JFI917540 JPE917517:JPE917540 JZA917517:JZA917540 KIW917517:KIW917540 KSS917517:KSS917540 LCO917517:LCO917540 LMK917517:LMK917540 LWG917517:LWG917540 MGC917517:MGC917540 MPY917517:MPY917540 MZU917517:MZU917540 NJQ917517:NJQ917540 NTM917517:NTM917540 ODI917517:ODI917540 ONE917517:ONE917540 OXA917517:OXA917540 PGW917517:PGW917540 PQS917517:PQS917540 QAO917517:QAO917540 QKK917517:QKK917540 QUG917517:QUG917540 REC917517:REC917540 RNY917517:RNY917540 RXU917517:RXU917540 SHQ917517:SHQ917540 SRM917517:SRM917540 TBI917517:TBI917540 TLE917517:TLE917540 TVA917517:TVA917540 UEW917517:UEW917540 UOS917517:UOS917540 UYO917517:UYO917540 VIK917517:VIK917540 VSG917517:VSG917540 WCC917517:WCC917540 WLY917517:WLY917540 WVU917517:WVU917540 T983053:T983076 JI983053:JI983076 TE983053:TE983076 ADA983053:ADA983076 AMW983053:AMW983076 AWS983053:AWS983076 BGO983053:BGO983076 BQK983053:BQK983076 CAG983053:CAG983076 CKC983053:CKC983076 CTY983053:CTY983076 DDU983053:DDU983076 DNQ983053:DNQ983076 DXM983053:DXM983076 EHI983053:EHI983076 ERE983053:ERE983076 FBA983053:FBA983076 FKW983053:FKW983076 FUS983053:FUS983076 GEO983053:GEO983076 GOK983053:GOK983076 GYG983053:GYG983076 HIC983053:HIC983076 HRY983053:HRY983076 IBU983053:IBU983076 ILQ983053:ILQ983076 IVM983053:IVM983076 JFI983053:JFI983076 JPE983053:JPE983076 JZA983053:JZA983076 KIW983053:KIW983076 KSS983053:KSS983076 LCO983053:LCO983076 LMK983053:LMK983076 LWG983053:LWG983076 MGC983053:MGC983076 MPY983053:MPY983076 MZU983053:MZU983076 NJQ983053:NJQ983076 NTM983053:NTM983076 ODI983053:ODI983076 ONE983053:ONE983076 OXA983053:OXA983076 PGW983053:PGW983076 PQS983053:PQS983076 QAO983053:QAO983076 QKK983053:QKK983076 QUG983053:QUG983076 REC983053:REC983076 RNY983053:RNY983076 RXU983053:RXU983076 SHQ983053:SHQ983076 SRM983053:SRM983076 TBI983053:TBI983076 TLE983053:TLE983076 TVA983053:TVA983076 UEW983053:UEW983076 UOS983053:UOS983076 UYO983053:UYO983076 VIK983053:VIK983076 VSG983053:VSG983076 WCC983053:WCC983076 WLY983053:WLY983076 WVU983053:WVU983076 WWB11:WWB36 WMF11:WMF36 WCJ11:WCJ36 VSN11:VSN36 VIR11:VIR36 UYV11:UYV36 UOZ11:UOZ36 UFD11:UFD36 TVH11:TVH36 TLL11:TLL36 TBP11:TBP36 SRT11:SRT36 SHX11:SHX36 RYB11:RYB36 ROF11:ROF36 REJ11:REJ36 QUN11:QUN36 QKR11:QKR36 QAV11:QAV36 PQZ11:PQZ36 PHD11:PHD36 OXH11:OXH36 ONL11:ONL36 ODP11:ODP36 NTT11:NTT36 NJX11:NJX36 NAB11:NAB36 MQF11:MQF36 MGJ11:MGJ36 LWN11:LWN36 LMR11:LMR36 LCV11:LCV36 KSZ11:KSZ36 KJD11:KJD36 JZH11:JZH36 JPL11:JPL36 JFP11:JFP36 IVT11:IVT36 ILX11:ILX36 ICB11:ICB36 HSF11:HSF36 HIJ11:HIJ36 GYN11:GYN36 GOR11:GOR36 GEV11:GEV36 FUZ11:FUZ36 FLD11:FLD36 FBH11:FBH36 ERL11:ERL36 EHP11:EHP36 DXT11:DXT36 DNX11:DNX36 DEB11:DEB36 CUF11:CUF36 CKJ11:CKJ36 CAN11:CAN36 BQR11:BQR36 BGV11:BGV36 AWZ11:AWZ36 AND11:AND36 ADH11:ADH36 TL11:TL36 T11:T37 JP11:JP36" xr:uid="{00000000-0002-0000-0400-000000000000}">
      <formula1>"Y,N"</formula1>
    </dataValidation>
    <dataValidation type="list" allowBlank="1" showInputMessage="1" showErrorMessage="1" sqref="WVX983053:WVX983076 JH5:JH7 TD5:TD7 ACZ5:ACZ7 AMV5:AMV7 AWR5:AWR7 BGN5:BGN7 BQJ5:BQJ7 CAF5:CAF7 CKB5:CKB7 CTX5:CTX7 DDT5:DDT7 DNP5:DNP7 DXL5:DXL7 EHH5:EHH7 ERD5:ERD7 FAZ5:FAZ7 FKV5:FKV7 FUR5:FUR7 GEN5:GEN7 GOJ5:GOJ7 GYF5:GYF7 HIB5:HIB7 HRX5:HRX7 IBT5:IBT7 ILP5:ILP7 IVL5:IVL7 JFH5:JFH7 JPD5:JPD7 JYZ5:JYZ7 KIV5:KIV7 KSR5:KSR7 LCN5:LCN7 LMJ5:LMJ7 LWF5:LWF7 MGB5:MGB7 MPX5:MPX7 MZT5:MZT7 NJP5:NJP7 NTL5:NTL7 ODH5:ODH7 OND5:OND7 OWZ5:OWZ7 PGV5:PGV7 PQR5:PQR7 QAN5:QAN7 QKJ5:QKJ7 QUF5:QUF7 REB5:REB7 RNX5:RNX7 RXT5:RXT7 SHP5:SHP7 SRL5:SRL7 TBH5:TBH7 TLD5:TLD7 TUZ5:TUZ7 UEV5:UEV7 UOR5:UOR7 UYN5:UYN7 VIJ5:VIJ7 VSF5:VSF7 WCB5:WCB7 WLX5:WLX7 WVT5:WVT7 S65543:S65545 JH65543:JH65545 TD65543:TD65545 ACZ65543:ACZ65545 AMV65543:AMV65545 AWR65543:AWR65545 BGN65543:BGN65545 BQJ65543:BQJ65545 CAF65543:CAF65545 CKB65543:CKB65545 CTX65543:CTX65545 DDT65543:DDT65545 DNP65543:DNP65545 DXL65543:DXL65545 EHH65543:EHH65545 ERD65543:ERD65545 FAZ65543:FAZ65545 FKV65543:FKV65545 FUR65543:FUR65545 GEN65543:GEN65545 GOJ65543:GOJ65545 GYF65543:GYF65545 HIB65543:HIB65545 HRX65543:HRX65545 IBT65543:IBT65545 ILP65543:ILP65545 IVL65543:IVL65545 JFH65543:JFH65545 JPD65543:JPD65545 JYZ65543:JYZ65545 KIV65543:KIV65545 KSR65543:KSR65545 LCN65543:LCN65545 LMJ65543:LMJ65545 LWF65543:LWF65545 MGB65543:MGB65545 MPX65543:MPX65545 MZT65543:MZT65545 NJP65543:NJP65545 NTL65543:NTL65545 ODH65543:ODH65545 OND65543:OND65545 OWZ65543:OWZ65545 PGV65543:PGV65545 PQR65543:PQR65545 QAN65543:QAN65545 QKJ65543:QKJ65545 QUF65543:QUF65545 REB65543:REB65545 RNX65543:RNX65545 RXT65543:RXT65545 SHP65543:SHP65545 SRL65543:SRL65545 TBH65543:TBH65545 TLD65543:TLD65545 TUZ65543:TUZ65545 UEV65543:UEV65545 UOR65543:UOR65545 UYN65543:UYN65545 VIJ65543:VIJ65545 VSF65543:VSF65545 WCB65543:WCB65545 WLX65543:WLX65545 WVT65543:WVT65545 S131079:S131081 JH131079:JH131081 TD131079:TD131081 ACZ131079:ACZ131081 AMV131079:AMV131081 AWR131079:AWR131081 BGN131079:BGN131081 BQJ131079:BQJ131081 CAF131079:CAF131081 CKB131079:CKB131081 CTX131079:CTX131081 DDT131079:DDT131081 DNP131079:DNP131081 DXL131079:DXL131081 EHH131079:EHH131081 ERD131079:ERD131081 FAZ131079:FAZ131081 FKV131079:FKV131081 FUR131079:FUR131081 GEN131079:GEN131081 GOJ131079:GOJ131081 GYF131079:GYF131081 HIB131079:HIB131081 HRX131079:HRX131081 IBT131079:IBT131081 ILP131079:ILP131081 IVL131079:IVL131081 JFH131079:JFH131081 JPD131079:JPD131081 JYZ131079:JYZ131081 KIV131079:KIV131081 KSR131079:KSR131081 LCN131079:LCN131081 LMJ131079:LMJ131081 LWF131079:LWF131081 MGB131079:MGB131081 MPX131079:MPX131081 MZT131079:MZT131081 NJP131079:NJP131081 NTL131079:NTL131081 ODH131079:ODH131081 OND131079:OND131081 OWZ131079:OWZ131081 PGV131079:PGV131081 PQR131079:PQR131081 QAN131079:QAN131081 QKJ131079:QKJ131081 QUF131079:QUF131081 REB131079:REB131081 RNX131079:RNX131081 RXT131079:RXT131081 SHP131079:SHP131081 SRL131079:SRL131081 TBH131079:TBH131081 TLD131079:TLD131081 TUZ131079:TUZ131081 UEV131079:UEV131081 UOR131079:UOR131081 UYN131079:UYN131081 VIJ131079:VIJ131081 VSF131079:VSF131081 WCB131079:WCB131081 WLX131079:WLX131081 WVT131079:WVT131081 S196615:S196617 JH196615:JH196617 TD196615:TD196617 ACZ196615:ACZ196617 AMV196615:AMV196617 AWR196615:AWR196617 BGN196615:BGN196617 BQJ196615:BQJ196617 CAF196615:CAF196617 CKB196615:CKB196617 CTX196615:CTX196617 DDT196615:DDT196617 DNP196615:DNP196617 DXL196615:DXL196617 EHH196615:EHH196617 ERD196615:ERD196617 FAZ196615:FAZ196617 FKV196615:FKV196617 FUR196615:FUR196617 GEN196615:GEN196617 GOJ196615:GOJ196617 GYF196615:GYF196617 HIB196615:HIB196617 HRX196615:HRX196617 IBT196615:IBT196617 ILP196615:ILP196617 IVL196615:IVL196617 JFH196615:JFH196617 JPD196615:JPD196617 JYZ196615:JYZ196617 KIV196615:KIV196617 KSR196615:KSR196617 LCN196615:LCN196617 LMJ196615:LMJ196617 LWF196615:LWF196617 MGB196615:MGB196617 MPX196615:MPX196617 MZT196615:MZT196617 NJP196615:NJP196617 NTL196615:NTL196617 ODH196615:ODH196617 OND196615:OND196617 OWZ196615:OWZ196617 PGV196615:PGV196617 PQR196615:PQR196617 QAN196615:QAN196617 QKJ196615:QKJ196617 QUF196615:QUF196617 REB196615:REB196617 RNX196615:RNX196617 RXT196615:RXT196617 SHP196615:SHP196617 SRL196615:SRL196617 TBH196615:TBH196617 TLD196615:TLD196617 TUZ196615:TUZ196617 UEV196615:UEV196617 UOR196615:UOR196617 UYN196615:UYN196617 VIJ196615:VIJ196617 VSF196615:VSF196617 WCB196615:WCB196617 WLX196615:WLX196617 WVT196615:WVT196617 S262151:S262153 JH262151:JH262153 TD262151:TD262153 ACZ262151:ACZ262153 AMV262151:AMV262153 AWR262151:AWR262153 BGN262151:BGN262153 BQJ262151:BQJ262153 CAF262151:CAF262153 CKB262151:CKB262153 CTX262151:CTX262153 DDT262151:DDT262153 DNP262151:DNP262153 DXL262151:DXL262153 EHH262151:EHH262153 ERD262151:ERD262153 FAZ262151:FAZ262153 FKV262151:FKV262153 FUR262151:FUR262153 GEN262151:GEN262153 GOJ262151:GOJ262153 GYF262151:GYF262153 HIB262151:HIB262153 HRX262151:HRX262153 IBT262151:IBT262153 ILP262151:ILP262153 IVL262151:IVL262153 JFH262151:JFH262153 JPD262151:JPD262153 JYZ262151:JYZ262153 KIV262151:KIV262153 KSR262151:KSR262153 LCN262151:LCN262153 LMJ262151:LMJ262153 LWF262151:LWF262153 MGB262151:MGB262153 MPX262151:MPX262153 MZT262151:MZT262153 NJP262151:NJP262153 NTL262151:NTL262153 ODH262151:ODH262153 OND262151:OND262153 OWZ262151:OWZ262153 PGV262151:PGV262153 PQR262151:PQR262153 QAN262151:QAN262153 QKJ262151:QKJ262153 QUF262151:QUF262153 REB262151:REB262153 RNX262151:RNX262153 RXT262151:RXT262153 SHP262151:SHP262153 SRL262151:SRL262153 TBH262151:TBH262153 TLD262151:TLD262153 TUZ262151:TUZ262153 UEV262151:UEV262153 UOR262151:UOR262153 UYN262151:UYN262153 VIJ262151:VIJ262153 VSF262151:VSF262153 WCB262151:WCB262153 WLX262151:WLX262153 WVT262151:WVT262153 S327687:S327689 JH327687:JH327689 TD327687:TD327689 ACZ327687:ACZ327689 AMV327687:AMV327689 AWR327687:AWR327689 BGN327687:BGN327689 BQJ327687:BQJ327689 CAF327687:CAF327689 CKB327687:CKB327689 CTX327687:CTX327689 DDT327687:DDT327689 DNP327687:DNP327689 DXL327687:DXL327689 EHH327687:EHH327689 ERD327687:ERD327689 FAZ327687:FAZ327689 FKV327687:FKV327689 FUR327687:FUR327689 GEN327687:GEN327689 GOJ327687:GOJ327689 GYF327687:GYF327689 HIB327687:HIB327689 HRX327687:HRX327689 IBT327687:IBT327689 ILP327687:ILP327689 IVL327687:IVL327689 JFH327687:JFH327689 JPD327687:JPD327689 JYZ327687:JYZ327689 KIV327687:KIV327689 KSR327687:KSR327689 LCN327687:LCN327689 LMJ327687:LMJ327689 LWF327687:LWF327689 MGB327687:MGB327689 MPX327687:MPX327689 MZT327687:MZT327689 NJP327687:NJP327689 NTL327687:NTL327689 ODH327687:ODH327689 OND327687:OND327689 OWZ327687:OWZ327689 PGV327687:PGV327689 PQR327687:PQR327689 QAN327687:QAN327689 QKJ327687:QKJ327689 QUF327687:QUF327689 REB327687:REB327689 RNX327687:RNX327689 RXT327687:RXT327689 SHP327687:SHP327689 SRL327687:SRL327689 TBH327687:TBH327689 TLD327687:TLD327689 TUZ327687:TUZ327689 UEV327687:UEV327689 UOR327687:UOR327689 UYN327687:UYN327689 VIJ327687:VIJ327689 VSF327687:VSF327689 WCB327687:WCB327689 WLX327687:WLX327689 WVT327687:WVT327689 S393223:S393225 JH393223:JH393225 TD393223:TD393225 ACZ393223:ACZ393225 AMV393223:AMV393225 AWR393223:AWR393225 BGN393223:BGN393225 BQJ393223:BQJ393225 CAF393223:CAF393225 CKB393223:CKB393225 CTX393223:CTX393225 DDT393223:DDT393225 DNP393223:DNP393225 DXL393223:DXL393225 EHH393223:EHH393225 ERD393223:ERD393225 FAZ393223:FAZ393225 FKV393223:FKV393225 FUR393223:FUR393225 GEN393223:GEN393225 GOJ393223:GOJ393225 GYF393223:GYF393225 HIB393223:HIB393225 HRX393223:HRX393225 IBT393223:IBT393225 ILP393223:ILP393225 IVL393223:IVL393225 JFH393223:JFH393225 JPD393223:JPD393225 JYZ393223:JYZ393225 KIV393223:KIV393225 KSR393223:KSR393225 LCN393223:LCN393225 LMJ393223:LMJ393225 LWF393223:LWF393225 MGB393223:MGB393225 MPX393223:MPX393225 MZT393223:MZT393225 NJP393223:NJP393225 NTL393223:NTL393225 ODH393223:ODH393225 OND393223:OND393225 OWZ393223:OWZ393225 PGV393223:PGV393225 PQR393223:PQR393225 QAN393223:QAN393225 QKJ393223:QKJ393225 QUF393223:QUF393225 REB393223:REB393225 RNX393223:RNX393225 RXT393223:RXT393225 SHP393223:SHP393225 SRL393223:SRL393225 TBH393223:TBH393225 TLD393223:TLD393225 TUZ393223:TUZ393225 UEV393223:UEV393225 UOR393223:UOR393225 UYN393223:UYN393225 VIJ393223:VIJ393225 VSF393223:VSF393225 WCB393223:WCB393225 WLX393223:WLX393225 WVT393223:WVT393225 S458759:S458761 JH458759:JH458761 TD458759:TD458761 ACZ458759:ACZ458761 AMV458759:AMV458761 AWR458759:AWR458761 BGN458759:BGN458761 BQJ458759:BQJ458761 CAF458759:CAF458761 CKB458759:CKB458761 CTX458759:CTX458761 DDT458759:DDT458761 DNP458759:DNP458761 DXL458759:DXL458761 EHH458759:EHH458761 ERD458759:ERD458761 FAZ458759:FAZ458761 FKV458759:FKV458761 FUR458759:FUR458761 GEN458759:GEN458761 GOJ458759:GOJ458761 GYF458759:GYF458761 HIB458759:HIB458761 HRX458759:HRX458761 IBT458759:IBT458761 ILP458759:ILP458761 IVL458759:IVL458761 JFH458759:JFH458761 JPD458759:JPD458761 JYZ458759:JYZ458761 KIV458759:KIV458761 KSR458759:KSR458761 LCN458759:LCN458761 LMJ458759:LMJ458761 LWF458759:LWF458761 MGB458759:MGB458761 MPX458759:MPX458761 MZT458759:MZT458761 NJP458759:NJP458761 NTL458759:NTL458761 ODH458759:ODH458761 OND458759:OND458761 OWZ458759:OWZ458761 PGV458759:PGV458761 PQR458759:PQR458761 QAN458759:QAN458761 QKJ458759:QKJ458761 QUF458759:QUF458761 REB458759:REB458761 RNX458759:RNX458761 RXT458759:RXT458761 SHP458759:SHP458761 SRL458759:SRL458761 TBH458759:TBH458761 TLD458759:TLD458761 TUZ458759:TUZ458761 UEV458759:UEV458761 UOR458759:UOR458761 UYN458759:UYN458761 VIJ458759:VIJ458761 VSF458759:VSF458761 WCB458759:WCB458761 WLX458759:WLX458761 WVT458759:WVT458761 S524295:S524297 JH524295:JH524297 TD524295:TD524297 ACZ524295:ACZ524297 AMV524295:AMV524297 AWR524295:AWR524297 BGN524295:BGN524297 BQJ524295:BQJ524297 CAF524295:CAF524297 CKB524295:CKB524297 CTX524295:CTX524297 DDT524295:DDT524297 DNP524295:DNP524297 DXL524295:DXL524297 EHH524295:EHH524297 ERD524295:ERD524297 FAZ524295:FAZ524297 FKV524295:FKV524297 FUR524295:FUR524297 GEN524295:GEN524297 GOJ524295:GOJ524297 GYF524295:GYF524297 HIB524295:HIB524297 HRX524295:HRX524297 IBT524295:IBT524297 ILP524295:ILP524297 IVL524295:IVL524297 JFH524295:JFH524297 JPD524295:JPD524297 JYZ524295:JYZ524297 KIV524295:KIV524297 KSR524295:KSR524297 LCN524295:LCN524297 LMJ524295:LMJ524297 LWF524295:LWF524297 MGB524295:MGB524297 MPX524295:MPX524297 MZT524295:MZT524297 NJP524295:NJP524297 NTL524295:NTL524297 ODH524295:ODH524297 OND524295:OND524297 OWZ524295:OWZ524297 PGV524295:PGV524297 PQR524295:PQR524297 QAN524295:QAN524297 QKJ524295:QKJ524297 QUF524295:QUF524297 REB524295:REB524297 RNX524295:RNX524297 RXT524295:RXT524297 SHP524295:SHP524297 SRL524295:SRL524297 TBH524295:TBH524297 TLD524295:TLD524297 TUZ524295:TUZ524297 UEV524295:UEV524297 UOR524295:UOR524297 UYN524295:UYN524297 VIJ524295:VIJ524297 VSF524295:VSF524297 WCB524295:WCB524297 WLX524295:WLX524297 WVT524295:WVT524297 S589831:S589833 JH589831:JH589833 TD589831:TD589833 ACZ589831:ACZ589833 AMV589831:AMV589833 AWR589831:AWR589833 BGN589831:BGN589833 BQJ589831:BQJ589833 CAF589831:CAF589833 CKB589831:CKB589833 CTX589831:CTX589833 DDT589831:DDT589833 DNP589831:DNP589833 DXL589831:DXL589833 EHH589831:EHH589833 ERD589831:ERD589833 FAZ589831:FAZ589833 FKV589831:FKV589833 FUR589831:FUR589833 GEN589831:GEN589833 GOJ589831:GOJ589833 GYF589831:GYF589833 HIB589831:HIB589833 HRX589831:HRX589833 IBT589831:IBT589833 ILP589831:ILP589833 IVL589831:IVL589833 JFH589831:JFH589833 JPD589831:JPD589833 JYZ589831:JYZ589833 KIV589831:KIV589833 KSR589831:KSR589833 LCN589831:LCN589833 LMJ589831:LMJ589833 LWF589831:LWF589833 MGB589831:MGB589833 MPX589831:MPX589833 MZT589831:MZT589833 NJP589831:NJP589833 NTL589831:NTL589833 ODH589831:ODH589833 OND589831:OND589833 OWZ589831:OWZ589833 PGV589831:PGV589833 PQR589831:PQR589833 QAN589831:QAN589833 QKJ589831:QKJ589833 QUF589831:QUF589833 REB589831:REB589833 RNX589831:RNX589833 RXT589831:RXT589833 SHP589831:SHP589833 SRL589831:SRL589833 TBH589831:TBH589833 TLD589831:TLD589833 TUZ589831:TUZ589833 UEV589831:UEV589833 UOR589831:UOR589833 UYN589831:UYN589833 VIJ589831:VIJ589833 VSF589831:VSF589833 WCB589831:WCB589833 WLX589831:WLX589833 WVT589831:WVT589833 S655367:S655369 JH655367:JH655369 TD655367:TD655369 ACZ655367:ACZ655369 AMV655367:AMV655369 AWR655367:AWR655369 BGN655367:BGN655369 BQJ655367:BQJ655369 CAF655367:CAF655369 CKB655367:CKB655369 CTX655367:CTX655369 DDT655367:DDT655369 DNP655367:DNP655369 DXL655367:DXL655369 EHH655367:EHH655369 ERD655367:ERD655369 FAZ655367:FAZ655369 FKV655367:FKV655369 FUR655367:FUR655369 GEN655367:GEN655369 GOJ655367:GOJ655369 GYF655367:GYF655369 HIB655367:HIB655369 HRX655367:HRX655369 IBT655367:IBT655369 ILP655367:ILP655369 IVL655367:IVL655369 JFH655367:JFH655369 JPD655367:JPD655369 JYZ655367:JYZ655369 KIV655367:KIV655369 KSR655367:KSR655369 LCN655367:LCN655369 LMJ655367:LMJ655369 LWF655367:LWF655369 MGB655367:MGB655369 MPX655367:MPX655369 MZT655367:MZT655369 NJP655367:NJP655369 NTL655367:NTL655369 ODH655367:ODH655369 OND655367:OND655369 OWZ655367:OWZ655369 PGV655367:PGV655369 PQR655367:PQR655369 QAN655367:QAN655369 QKJ655367:QKJ655369 QUF655367:QUF655369 REB655367:REB655369 RNX655367:RNX655369 RXT655367:RXT655369 SHP655367:SHP655369 SRL655367:SRL655369 TBH655367:TBH655369 TLD655367:TLD655369 TUZ655367:TUZ655369 UEV655367:UEV655369 UOR655367:UOR655369 UYN655367:UYN655369 VIJ655367:VIJ655369 VSF655367:VSF655369 WCB655367:WCB655369 WLX655367:WLX655369 WVT655367:WVT655369 S720903:S720905 JH720903:JH720905 TD720903:TD720905 ACZ720903:ACZ720905 AMV720903:AMV720905 AWR720903:AWR720905 BGN720903:BGN720905 BQJ720903:BQJ720905 CAF720903:CAF720905 CKB720903:CKB720905 CTX720903:CTX720905 DDT720903:DDT720905 DNP720903:DNP720905 DXL720903:DXL720905 EHH720903:EHH720905 ERD720903:ERD720905 FAZ720903:FAZ720905 FKV720903:FKV720905 FUR720903:FUR720905 GEN720903:GEN720905 GOJ720903:GOJ720905 GYF720903:GYF720905 HIB720903:HIB720905 HRX720903:HRX720905 IBT720903:IBT720905 ILP720903:ILP720905 IVL720903:IVL720905 JFH720903:JFH720905 JPD720903:JPD720905 JYZ720903:JYZ720905 KIV720903:KIV720905 KSR720903:KSR720905 LCN720903:LCN720905 LMJ720903:LMJ720905 LWF720903:LWF720905 MGB720903:MGB720905 MPX720903:MPX720905 MZT720903:MZT720905 NJP720903:NJP720905 NTL720903:NTL720905 ODH720903:ODH720905 OND720903:OND720905 OWZ720903:OWZ720905 PGV720903:PGV720905 PQR720903:PQR720905 QAN720903:QAN720905 QKJ720903:QKJ720905 QUF720903:QUF720905 REB720903:REB720905 RNX720903:RNX720905 RXT720903:RXT720905 SHP720903:SHP720905 SRL720903:SRL720905 TBH720903:TBH720905 TLD720903:TLD720905 TUZ720903:TUZ720905 UEV720903:UEV720905 UOR720903:UOR720905 UYN720903:UYN720905 VIJ720903:VIJ720905 VSF720903:VSF720905 WCB720903:WCB720905 WLX720903:WLX720905 WVT720903:WVT720905 S786439:S786441 JH786439:JH786441 TD786439:TD786441 ACZ786439:ACZ786441 AMV786439:AMV786441 AWR786439:AWR786441 BGN786439:BGN786441 BQJ786439:BQJ786441 CAF786439:CAF786441 CKB786439:CKB786441 CTX786439:CTX786441 DDT786439:DDT786441 DNP786439:DNP786441 DXL786439:DXL786441 EHH786439:EHH786441 ERD786439:ERD786441 FAZ786439:FAZ786441 FKV786439:FKV786441 FUR786439:FUR786441 GEN786439:GEN786441 GOJ786439:GOJ786441 GYF786439:GYF786441 HIB786439:HIB786441 HRX786439:HRX786441 IBT786439:IBT786441 ILP786439:ILP786441 IVL786439:IVL786441 JFH786439:JFH786441 JPD786439:JPD786441 JYZ786439:JYZ786441 KIV786439:KIV786441 KSR786439:KSR786441 LCN786439:LCN786441 LMJ786439:LMJ786441 LWF786439:LWF786441 MGB786439:MGB786441 MPX786439:MPX786441 MZT786439:MZT786441 NJP786439:NJP786441 NTL786439:NTL786441 ODH786439:ODH786441 OND786439:OND786441 OWZ786439:OWZ786441 PGV786439:PGV786441 PQR786439:PQR786441 QAN786439:QAN786441 QKJ786439:QKJ786441 QUF786439:QUF786441 REB786439:REB786441 RNX786439:RNX786441 RXT786439:RXT786441 SHP786439:SHP786441 SRL786439:SRL786441 TBH786439:TBH786441 TLD786439:TLD786441 TUZ786439:TUZ786441 UEV786439:UEV786441 UOR786439:UOR786441 UYN786439:UYN786441 VIJ786439:VIJ786441 VSF786439:VSF786441 WCB786439:WCB786441 WLX786439:WLX786441 WVT786439:WVT786441 S851975:S851977 JH851975:JH851977 TD851975:TD851977 ACZ851975:ACZ851977 AMV851975:AMV851977 AWR851975:AWR851977 BGN851975:BGN851977 BQJ851975:BQJ851977 CAF851975:CAF851977 CKB851975:CKB851977 CTX851975:CTX851977 DDT851975:DDT851977 DNP851975:DNP851977 DXL851975:DXL851977 EHH851975:EHH851977 ERD851975:ERD851977 FAZ851975:FAZ851977 FKV851975:FKV851977 FUR851975:FUR851977 GEN851975:GEN851977 GOJ851975:GOJ851977 GYF851975:GYF851977 HIB851975:HIB851977 HRX851975:HRX851977 IBT851975:IBT851977 ILP851975:ILP851977 IVL851975:IVL851977 JFH851975:JFH851977 JPD851975:JPD851977 JYZ851975:JYZ851977 KIV851975:KIV851977 KSR851975:KSR851977 LCN851975:LCN851977 LMJ851975:LMJ851977 LWF851975:LWF851977 MGB851975:MGB851977 MPX851975:MPX851977 MZT851975:MZT851977 NJP851975:NJP851977 NTL851975:NTL851977 ODH851975:ODH851977 OND851975:OND851977 OWZ851975:OWZ851977 PGV851975:PGV851977 PQR851975:PQR851977 QAN851975:QAN851977 QKJ851975:QKJ851977 QUF851975:QUF851977 REB851975:REB851977 RNX851975:RNX851977 RXT851975:RXT851977 SHP851975:SHP851977 SRL851975:SRL851977 TBH851975:TBH851977 TLD851975:TLD851977 TUZ851975:TUZ851977 UEV851975:UEV851977 UOR851975:UOR851977 UYN851975:UYN851977 VIJ851975:VIJ851977 VSF851975:VSF851977 WCB851975:WCB851977 WLX851975:WLX851977 WVT851975:WVT851977 S917511:S917513 JH917511:JH917513 TD917511:TD917513 ACZ917511:ACZ917513 AMV917511:AMV917513 AWR917511:AWR917513 BGN917511:BGN917513 BQJ917511:BQJ917513 CAF917511:CAF917513 CKB917511:CKB917513 CTX917511:CTX917513 DDT917511:DDT917513 DNP917511:DNP917513 DXL917511:DXL917513 EHH917511:EHH917513 ERD917511:ERD917513 FAZ917511:FAZ917513 FKV917511:FKV917513 FUR917511:FUR917513 GEN917511:GEN917513 GOJ917511:GOJ917513 GYF917511:GYF917513 HIB917511:HIB917513 HRX917511:HRX917513 IBT917511:IBT917513 ILP917511:ILP917513 IVL917511:IVL917513 JFH917511:JFH917513 JPD917511:JPD917513 JYZ917511:JYZ917513 KIV917511:KIV917513 KSR917511:KSR917513 LCN917511:LCN917513 LMJ917511:LMJ917513 LWF917511:LWF917513 MGB917511:MGB917513 MPX917511:MPX917513 MZT917511:MZT917513 NJP917511:NJP917513 NTL917511:NTL917513 ODH917511:ODH917513 OND917511:OND917513 OWZ917511:OWZ917513 PGV917511:PGV917513 PQR917511:PQR917513 QAN917511:QAN917513 QKJ917511:QKJ917513 QUF917511:QUF917513 REB917511:REB917513 RNX917511:RNX917513 RXT917511:RXT917513 SHP917511:SHP917513 SRL917511:SRL917513 TBH917511:TBH917513 TLD917511:TLD917513 TUZ917511:TUZ917513 UEV917511:UEV917513 UOR917511:UOR917513 UYN917511:UYN917513 VIJ917511:VIJ917513 VSF917511:VSF917513 WCB917511:WCB917513 WLX917511:WLX917513 WVT917511:WVT917513 S983047:S983049 JH983047:JH983049 TD983047:TD983049 ACZ983047:ACZ983049 AMV983047:AMV983049 AWR983047:AWR983049 BGN983047:BGN983049 BQJ983047:BQJ983049 CAF983047:CAF983049 CKB983047:CKB983049 CTX983047:CTX983049 DDT983047:DDT983049 DNP983047:DNP983049 DXL983047:DXL983049 EHH983047:EHH983049 ERD983047:ERD983049 FAZ983047:FAZ983049 FKV983047:FKV983049 FUR983047:FUR983049 GEN983047:GEN983049 GOJ983047:GOJ983049 GYF983047:GYF983049 HIB983047:HIB983049 HRX983047:HRX983049 IBT983047:IBT983049 ILP983047:ILP983049 IVL983047:IVL983049 JFH983047:JFH983049 JPD983047:JPD983049 JYZ983047:JYZ983049 KIV983047:KIV983049 KSR983047:KSR983049 LCN983047:LCN983049 LMJ983047:LMJ983049 LWF983047:LWF983049 MGB983047:MGB983049 MPX983047:MPX983049 MZT983047:MZT983049 NJP983047:NJP983049 NTL983047:NTL983049 ODH983047:ODH983049 OND983047:OND983049 OWZ983047:OWZ983049 PGV983047:PGV983049 PQR983047:PQR983049 QAN983047:QAN983049 QKJ983047:QKJ983049 QUF983047:QUF983049 REB983047:REB983049 RNX983047:RNX983049 RXT983047:RXT983049 SHP983047:SHP983049 SRL983047:SRL983049 TBH983047:TBH983049 TLD983047:TLD983049 TUZ983047:TUZ983049 UEV983047:UEV983049 UOR983047:UOR983049 UYN983047:UYN983049 VIJ983047:VIJ983049 VSF983047:VSF983049 WCB983047:WCB983049 WLX983047:WLX983049 WVT983047:WVT983049 U65549:U65572 JJ65549:JJ65572 TF65549:TF65572 ADB65549:ADB65572 AMX65549:AMX65572 AWT65549:AWT65572 BGP65549:BGP65572 BQL65549:BQL65572 CAH65549:CAH65572 CKD65549:CKD65572 CTZ65549:CTZ65572 DDV65549:DDV65572 DNR65549:DNR65572 DXN65549:DXN65572 EHJ65549:EHJ65572 ERF65549:ERF65572 FBB65549:FBB65572 FKX65549:FKX65572 FUT65549:FUT65572 GEP65549:GEP65572 GOL65549:GOL65572 GYH65549:GYH65572 HID65549:HID65572 HRZ65549:HRZ65572 IBV65549:IBV65572 ILR65549:ILR65572 IVN65549:IVN65572 JFJ65549:JFJ65572 JPF65549:JPF65572 JZB65549:JZB65572 KIX65549:KIX65572 KST65549:KST65572 LCP65549:LCP65572 LML65549:LML65572 LWH65549:LWH65572 MGD65549:MGD65572 MPZ65549:MPZ65572 MZV65549:MZV65572 NJR65549:NJR65572 NTN65549:NTN65572 ODJ65549:ODJ65572 ONF65549:ONF65572 OXB65549:OXB65572 PGX65549:PGX65572 PQT65549:PQT65572 QAP65549:QAP65572 QKL65549:QKL65572 QUH65549:QUH65572 RED65549:RED65572 RNZ65549:RNZ65572 RXV65549:RXV65572 SHR65549:SHR65572 SRN65549:SRN65572 TBJ65549:TBJ65572 TLF65549:TLF65572 TVB65549:TVB65572 UEX65549:UEX65572 UOT65549:UOT65572 UYP65549:UYP65572 VIL65549:VIL65572 VSH65549:VSH65572 WCD65549:WCD65572 WLZ65549:WLZ65572 WVV65549:WVV65572 U131085:U131108 JJ131085:JJ131108 TF131085:TF131108 ADB131085:ADB131108 AMX131085:AMX131108 AWT131085:AWT131108 BGP131085:BGP131108 BQL131085:BQL131108 CAH131085:CAH131108 CKD131085:CKD131108 CTZ131085:CTZ131108 DDV131085:DDV131108 DNR131085:DNR131108 DXN131085:DXN131108 EHJ131085:EHJ131108 ERF131085:ERF131108 FBB131085:FBB131108 FKX131085:FKX131108 FUT131085:FUT131108 GEP131085:GEP131108 GOL131085:GOL131108 GYH131085:GYH131108 HID131085:HID131108 HRZ131085:HRZ131108 IBV131085:IBV131108 ILR131085:ILR131108 IVN131085:IVN131108 JFJ131085:JFJ131108 JPF131085:JPF131108 JZB131085:JZB131108 KIX131085:KIX131108 KST131085:KST131108 LCP131085:LCP131108 LML131085:LML131108 LWH131085:LWH131108 MGD131085:MGD131108 MPZ131085:MPZ131108 MZV131085:MZV131108 NJR131085:NJR131108 NTN131085:NTN131108 ODJ131085:ODJ131108 ONF131085:ONF131108 OXB131085:OXB131108 PGX131085:PGX131108 PQT131085:PQT131108 QAP131085:QAP131108 QKL131085:QKL131108 QUH131085:QUH131108 RED131085:RED131108 RNZ131085:RNZ131108 RXV131085:RXV131108 SHR131085:SHR131108 SRN131085:SRN131108 TBJ131085:TBJ131108 TLF131085:TLF131108 TVB131085:TVB131108 UEX131085:UEX131108 UOT131085:UOT131108 UYP131085:UYP131108 VIL131085:VIL131108 VSH131085:VSH131108 WCD131085:WCD131108 WLZ131085:WLZ131108 WVV131085:WVV131108 U196621:U196644 JJ196621:JJ196644 TF196621:TF196644 ADB196621:ADB196644 AMX196621:AMX196644 AWT196621:AWT196644 BGP196621:BGP196644 BQL196621:BQL196644 CAH196621:CAH196644 CKD196621:CKD196644 CTZ196621:CTZ196644 DDV196621:DDV196644 DNR196621:DNR196644 DXN196621:DXN196644 EHJ196621:EHJ196644 ERF196621:ERF196644 FBB196621:FBB196644 FKX196621:FKX196644 FUT196621:FUT196644 GEP196621:GEP196644 GOL196621:GOL196644 GYH196621:GYH196644 HID196621:HID196644 HRZ196621:HRZ196644 IBV196621:IBV196644 ILR196621:ILR196644 IVN196621:IVN196644 JFJ196621:JFJ196644 JPF196621:JPF196644 JZB196621:JZB196644 KIX196621:KIX196644 KST196621:KST196644 LCP196621:LCP196644 LML196621:LML196644 LWH196621:LWH196644 MGD196621:MGD196644 MPZ196621:MPZ196644 MZV196621:MZV196644 NJR196621:NJR196644 NTN196621:NTN196644 ODJ196621:ODJ196644 ONF196621:ONF196644 OXB196621:OXB196644 PGX196621:PGX196644 PQT196621:PQT196644 QAP196621:QAP196644 QKL196621:QKL196644 QUH196621:QUH196644 RED196621:RED196644 RNZ196621:RNZ196644 RXV196621:RXV196644 SHR196621:SHR196644 SRN196621:SRN196644 TBJ196621:TBJ196644 TLF196621:TLF196644 TVB196621:TVB196644 UEX196621:UEX196644 UOT196621:UOT196644 UYP196621:UYP196644 VIL196621:VIL196644 VSH196621:VSH196644 WCD196621:WCD196644 WLZ196621:WLZ196644 WVV196621:WVV196644 U262157:U262180 JJ262157:JJ262180 TF262157:TF262180 ADB262157:ADB262180 AMX262157:AMX262180 AWT262157:AWT262180 BGP262157:BGP262180 BQL262157:BQL262180 CAH262157:CAH262180 CKD262157:CKD262180 CTZ262157:CTZ262180 DDV262157:DDV262180 DNR262157:DNR262180 DXN262157:DXN262180 EHJ262157:EHJ262180 ERF262157:ERF262180 FBB262157:FBB262180 FKX262157:FKX262180 FUT262157:FUT262180 GEP262157:GEP262180 GOL262157:GOL262180 GYH262157:GYH262180 HID262157:HID262180 HRZ262157:HRZ262180 IBV262157:IBV262180 ILR262157:ILR262180 IVN262157:IVN262180 JFJ262157:JFJ262180 JPF262157:JPF262180 JZB262157:JZB262180 KIX262157:KIX262180 KST262157:KST262180 LCP262157:LCP262180 LML262157:LML262180 LWH262157:LWH262180 MGD262157:MGD262180 MPZ262157:MPZ262180 MZV262157:MZV262180 NJR262157:NJR262180 NTN262157:NTN262180 ODJ262157:ODJ262180 ONF262157:ONF262180 OXB262157:OXB262180 PGX262157:PGX262180 PQT262157:PQT262180 QAP262157:QAP262180 QKL262157:QKL262180 QUH262157:QUH262180 RED262157:RED262180 RNZ262157:RNZ262180 RXV262157:RXV262180 SHR262157:SHR262180 SRN262157:SRN262180 TBJ262157:TBJ262180 TLF262157:TLF262180 TVB262157:TVB262180 UEX262157:UEX262180 UOT262157:UOT262180 UYP262157:UYP262180 VIL262157:VIL262180 VSH262157:VSH262180 WCD262157:WCD262180 WLZ262157:WLZ262180 WVV262157:WVV262180 U327693:U327716 JJ327693:JJ327716 TF327693:TF327716 ADB327693:ADB327716 AMX327693:AMX327716 AWT327693:AWT327716 BGP327693:BGP327716 BQL327693:BQL327716 CAH327693:CAH327716 CKD327693:CKD327716 CTZ327693:CTZ327716 DDV327693:DDV327716 DNR327693:DNR327716 DXN327693:DXN327716 EHJ327693:EHJ327716 ERF327693:ERF327716 FBB327693:FBB327716 FKX327693:FKX327716 FUT327693:FUT327716 GEP327693:GEP327716 GOL327693:GOL327716 GYH327693:GYH327716 HID327693:HID327716 HRZ327693:HRZ327716 IBV327693:IBV327716 ILR327693:ILR327716 IVN327693:IVN327716 JFJ327693:JFJ327716 JPF327693:JPF327716 JZB327693:JZB327716 KIX327693:KIX327716 KST327693:KST327716 LCP327693:LCP327716 LML327693:LML327716 LWH327693:LWH327716 MGD327693:MGD327716 MPZ327693:MPZ327716 MZV327693:MZV327716 NJR327693:NJR327716 NTN327693:NTN327716 ODJ327693:ODJ327716 ONF327693:ONF327716 OXB327693:OXB327716 PGX327693:PGX327716 PQT327693:PQT327716 QAP327693:QAP327716 QKL327693:QKL327716 QUH327693:QUH327716 RED327693:RED327716 RNZ327693:RNZ327716 RXV327693:RXV327716 SHR327693:SHR327716 SRN327693:SRN327716 TBJ327693:TBJ327716 TLF327693:TLF327716 TVB327693:TVB327716 UEX327693:UEX327716 UOT327693:UOT327716 UYP327693:UYP327716 VIL327693:VIL327716 VSH327693:VSH327716 WCD327693:WCD327716 WLZ327693:WLZ327716 WVV327693:WVV327716 U393229:U393252 JJ393229:JJ393252 TF393229:TF393252 ADB393229:ADB393252 AMX393229:AMX393252 AWT393229:AWT393252 BGP393229:BGP393252 BQL393229:BQL393252 CAH393229:CAH393252 CKD393229:CKD393252 CTZ393229:CTZ393252 DDV393229:DDV393252 DNR393229:DNR393252 DXN393229:DXN393252 EHJ393229:EHJ393252 ERF393229:ERF393252 FBB393229:FBB393252 FKX393229:FKX393252 FUT393229:FUT393252 GEP393229:GEP393252 GOL393229:GOL393252 GYH393229:GYH393252 HID393229:HID393252 HRZ393229:HRZ393252 IBV393229:IBV393252 ILR393229:ILR393252 IVN393229:IVN393252 JFJ393229:JFJ393252 JPF393229:JPF393252 JZB393229:JZB393252 KIX393229:KIX393252 KST393229:KST393252 LCP393229:LCP393252 LML393229:LML393252 LWH393229:LWH393252 MGD393229:MGD393252 MPZ393229:MPZ393252 MZV393229:MZV393252 NJR393229:NJR393252 NTN393229:NTN393252 ODJ393229:ODJ393252 ONF393229:ONF393252 OXB393229:OXB393252 PGX393229:PGX393252 PQT393229:PQT393252 QAP393229:QAP393252 QKL393229:QKL393252 QUH393229:QUH393252 RED393229:RED393252 RNZ393229:RNZ393252 RXV393229:RXV393252 SHR393229:SHR393252 SRN393229:SRN393252 TBJ393229:TBJ393252 TLF393229:TLF393252 TVB393229:TVB393252 UEX393229:UEX393252 UOT393229:UOT393252 UYP393229:UYP393252 VIL393229:VIL393252 VSH393229:VSH393252 WCD393229:WCD393252 WLZ393229:WLZ393252 WVV393229:WVV393252 U458765:U458788 JJ458765:JJ458788 TF458765:TF458788 ADB458765:ADB458788 AMX458765:AMX458788 AWT458765:AWT458788 BGP458765:BGP458788 BQL458765:BQL458788 CAH458765:CAH458788 CKD458765:CKD458788 CTZ458765:CTZ458788 DDV458765:DDV458788 DNR458765:DNR458788 DXN458765:DXN458788 EHJ458765:EHJ458788 ERF458765:ERF458788 FBB458765:FBB458788 FKX458765:FKX458788 FUT458765:FUT458788 GEP458765:GEP458788 GOL458765:GOL458788 GYH458765:GYH458788 HID458765:HID458788 HRZ458765:HRZ458788 IBV458765:IBV458788 ILR458765:ILR458788 IVN458765:IVN458788 JFJ458765:JFJ458788 JPF458765:JPF458788 JZB458765:JZB458788 KIX458765:KIX458788 KST458765:KST458788 LCP458765:LCP458788 LML458765:LML458788 LWH458765:LWH458788 MGD458765:MGD458788 MPZ458765:MPZ458788 MZV458765:MZV458788 NJR458765:NJR458788 NTN458765:NTN458788 ODJ458765:ODJ458788 ONF458765:ONF458788 OXB458765:OXB458788 PGX458765:PGX458788 PQT458765:PQT458788 QAP458765:QAP458788 QKL458765:QKL458788 QUH458765:QUH458788 RED458765:RED458788 RNZ458765:RNZ458788 RXV458765:RXV458788 SHR458765:SHR458788 SRN458765:SRN458788 TBJ458765:TBJ458788 TLF458765:TLF458788 TVB458765:TVB458788 UEX458765:UEX458788 UOT458765:UOT458788 UYP458765:UYP458788 VIL458765:VIL458788 VSH458765:VSH458788 WCD458765:WCD458788 WLZ458765:WLZ458788 WVV458765:WVV458788 U524301:U524324 JJ524301:JJ524324 TF524301:TF524324 ADB524301:ADB524324 AMX524301:AMX524324 AWT524301:AWT524324 BGP524301:BGP524324 BQL524301:BQL524324 CAH524301:CAH524324 CKD524301:CKD524324 CTZ524301:CTZ524324 DDV524301:DDV524324 DNR524301:DNR524324 DXN524301:DXN524324 EHJ524301:EHJ524324 ERF524301:ERF524324 FBB524301:FBB524324 FKX524301:FKX524324 FUT524301:FUT524324 GEP524301:GEP524324 GOL524301:GOL524324 GYH524301:GYH524324 HID524301:HID524324 HRZ524301:HRZ524324 IBV524301:IBV524324 ILR524301:ILR524324 IVN524301:IVN524324 JFJ524301:JFJ524324 JPF524301:JPF524324 JZB524301:JZB524324 KIX524301:KIX524324 KST524301:KST524324 LCP524301:LCP524324 LML524301:LML524324 LWH524301:LWH524324 MGD524301:MGD524324 MPZ524301:MPZ524324 MZV524301:MZV524324 NJR524301:NJR524324 NTN524301:NTN524324 ODJ524301:ODJ524324 ONF524301:ONF524324 OXB524301:OXB524324 PGX524301:PGX524324 PQT524301:PQT524324 QAP524301:QAP524324 QKL524301:QKL524324 QUH524301:QUH524324 RED524301:RED524324 RNZ524301:RNZ524324 RXV524301:RXV524324 SHR524301:SHR524324 SRN524301:SRN524324 TBJ524301:TBJ524324 TLF524301:TLF524324 TVB524301:TVB524324 UEX524301:UEX524324 UOT524301:UOT524324 UYP524301:UYP524324 VIL524301:VIL524324 VSH524301:VSH524324 WCD524301:WCD524324 WLZ524301:WLZ524324 WVV524301:WVV524324 U589837:U589860 JJ589837:JJ589860 TF589837:TF589860 ADB589837:ADB589860 AMX589837:AMX589860 AWT589837:AWT589860 BGP589837:BGP589860 BQL589837:BQL589860 CAH589837:CAH589860 CKD589837:CKD589860 CTZ589837:CTZ589860 DDV589837:DDV589860 DNR589837:DNR589860 DXN589837:DXN589860 EHJ589837:EHJ589860 ERF589837:ERF589860 FBB589837:FBB589860 FKX589837:FKX589860 FUT589837:FUT589860 GEP589837:GEP589860 GOL589837:GOL589860 GYH589837:GYH589860 HID589837:HID589860 HRZ589837:HRZ589860 IBV589837:IBV589860 ILR589837:ILR589860 IVN589837:IVN589860 JFJ589837:JFJ589860 JPF589837:JPF589860 JZB589837:JZB589860 KIX589837:KIX589860 KST589837:KST589860 LCP589837:LCP589860 LML589837:LML589860 LWH589837:LWH589860 MGD589837:MGD589860 MPZ589837:MPZ589860 MZV589837:MZV589860 NJR589837:NJR589860 NTN589837:NTN589860 ODJ589837:ODJ589860 ONF589837:ONF589860 OXB589837:OXB589860 PGX589837:PGX589860 PQT589837:PQT589860 QAP589837:QAP589860 QKL589837:QKL589860 QUH589837:QUH589860 RED589837:RED589860 RNZ589837:RNZ589860 RXV589837:RXV589860 SHR589837:SHR589860 SRN589837:SRN589860 TBJ589837:TBJ589860 TLF589837:TLF589860 TVB589837:TVB589860 UEX589837:UEX589860 UOT589837:UOT589860 UYP589837:UYP589860 VIL589837:VIL589860 VSH589837:VSH589860 WCD589837:WCD589860 WLZ589837:WLZ589860 WVV589837:WVV589860 U655373:U655396 JJ655373:JJ655396 TF655373:TF655396 ADB655373:ADB655396 AMX655373:AMX655396 AWT655373:AWT655396 BGP655373:BGP655396 BQL655373:BQL655396 CAH655373:CAH655396 CKD655373:CKD655396 CTZ655373:CTZ655396 DDV655373:DDV655396 DNR655373:DNR655396 DXN655373:DXN655396 EHJ655373:EHJ655396 ERF655373:ERF655396 FBB655373:FBB655396 FKX655373:FKX655396 FUT655373:FUT655396 GEP655373:GEP655396 GOL655373:GOL655396 GYH655373:GYH655396 HID655373:HID655396 HRZ655373:HRZ655396 IBV655373:IBV655396 ILR655373:ILR655396 IVN655373:IVN655396 JFJ655373:JFJ655396 JPF655373:JPF655396 JZB655373:JZB655396 KIX655373:KIX655396 KST655373:KST655396 LCP655373:LCP655396 LML655373:LML655396 LWH655373:LWH655396 MGD655373:MGD655396 MPZ655373:MPZ655396 MZV655373:MZV655396 NJR655373:NJR655396 NTN655373:NTN655396 ODJ655373:ODJ655396 ONF655373:ONF655396 OXB655373:OXB655396 PGX655373:PGX655396 PQT655373:PQT655396 QAP655373:QAP655396 QKL655373:QKL655396 QUH655373:QUH655396 RED655373:RED655396 RNZ655373:RNZ655396 RXV655373:RXV655396 SHR655373:SHR655396 SRN655373:SRN655396 TBJ655373:TBJ655396 TLF655373:TLF655396 TVB655373:TVB655396 UEX655373:UEX655396 UOT655373:UOT655396 UYP655373:UYP655396 VIL655373:VIL655396 VSH655373:VSH655396 WCD655373:WCD655396 WLZ655373:WLZ655396 WVV655373:WVV655396 U720909:U720932 JJ720909:JJ720932 TF720909:TF720932 ADB720909:ADB720932 AMX720909:AMX720932 AWT720909:AWT720932 BGP720909:BGP720932 BQL720909:BQL720932 CAH720909:CAH720932 CKD720909:CKD720932 CTZ720909:CTZ720932 DDV720909:DDV720932 DNR720909:DNR720932 DXN720909:DXN720932 EHJ720909:EHJ720932 ERF720909:ERF720932 FBB720909:FBB720932 FKX720909:FKX720932 FUT720909:FUT720932 GEP720909:GEP720932 GOL720909:GOL720932 GYH720909:GYH720932 HID720909:HID720932 HRZ720909:HRZ720932 IBV720909:IBV720932 ILR720909:ILR720932 IVN720909:IVN720932 JFJ720909:JFJ720932 JPF720909:JPF720932 JZB720909:JZB720932 KIX720909:KIX720932 KST720909:KST720932 LCP720909:LCP720932 LML720909:LML720932 LWH720909:LWH720932 MGD720909:MGD720932 MPZ720909:MPZ720932 MZV720909:MZV720932 NJR720909:NJR720932 NTN720909:NTN720932 ODJ720909:ODJ720932 ONF720909:ONF720932 OXB720909:OXB720932 PGX720909:PGX720932 PQT720909:PQT720932 QAP720909:QAP720932 QKL720909:QKL720932 QUH720909:QUH720932 RED720909:RED720932 RNZ720909:RNZ720932 RXV720909:RXV720932 SHR720909:SHR720932 SRN720909:SRN720932 TBJ720909:TBJ720932 TLF720909:TLF720932 TVB720909:TVB720932 UEX720909:UEX720932 UOT720909:UOT720932 UYP720909:UYP720932 VIL720909:VIL720932 VSH720909:VSH720932 WCD720909:WCD720932 WLZ720909:WLZ720932 WVV720909:WVV720932 U786445:U786468 JJ786445:JJ786468 TF786445:TF786468 ADB786445:ADB786468 AMX786445:AMX786468 AWT786445:AWT786468 BGP786445:BGP786468 BQL786445:BQL786468 CAH786445:CAH786468 CKD786445:CKD786468 CTZ786445:CTZ786468 DDV786445:DDV786468 DNR786445:DNR786468 DXN786445:DXN786468 EHJ786445:EHJ786468 ERF786445:ERF786468 FBB786445:FBB786468 FKX786445:FKX786468 FUT786445:FUT786468 GEP786445:GEP786468 GOL786445:GOL786468 GYH786445:GYH786468 HID786445:HID786468 HRZ786445:HRZ786468 IBV786445:IBV786468 ILR786445:ILR786468 IVN786445:IVN786468 JFJ786445:JFJ786468 JPF786445:JPF786468 JZB786445:JZB786468 KIX786445:KIX786468 KST786445:KST786468 LCP786445:LCP786468 LML786445:LML786468 LWH786445:LWH786468 MGD786445:MGD786468 MPZ786445:MPZ786468 MZV786445:MZV786468 NJR786445:NJR786468 NTN786445:NTN786468 ODJ786445:ODJ786468 ONF786445:ONF786468 OXB786445:OXB786468 PGX786445:PGX786468 PQT786445:PQT786468 QAP786445:QAP786468 QKL786445:QKL786468 QUH786445:QUH786468 RED786445:RED786468 RNZ786445:RNZ786468 RXV786445:RXV786468 SHR786445:SHR786468 SRN786445:SRN786468 TBJ786445:TBJ786468 TLF786445:TLF786468 TVB786445:TVB786468 UEX786445:UEX786468 UOT786445:UOT786468 UYP786445:UYP786468 VIL786445:VIL786468 VSH786445:VSH786468 WCD786445:WCD786468 WLZ786445:WLZ786468 WVV786445:WVV786468 U851981:U852004 JJ851981:JJ852004 TF851981:TF852004 ADB851981:ADB852004 AMX851981:AMX852004 AWT851981:AWT852004 BGP851981:BGP852004 BQL851981:BQL852004 CAH851981:CAH852004 CKD851981:CKD852004 CTZ851981:CTZ852004 DDV851981:DDV852004 DNR851981:DNR852004 DXN851981:DXN852004 EHJ851981:EHJ852004 ERF851981:ERF852004 FBB851981:FBB852004 FKX851981:FKX852004 FUT851981:FUT852004 GEP851981:GEP852004 GOL851981:GOL852004 GYH851981:GYH852004 HID851981:HID852004 HRZ851981:HRZ852004 IBV851981:IBV852004 ILR851981:ILR852004 IVN851981:IVN852004 JFJ851981:JFJ852004 JPF851981:JPF852004 JZB851981:JZB852004 KIX851981:KIX852004 KST851981:KST852004 LCP851981:LCP852004 LML851981:LML852004 LWH851981:LWH852004 MGD851981:MGD852004 MPZ851981:MPZ852004 MZV851981:MZV852004 NJR851981:NJR852004 NTN851981:NTN852004 ODJ851981:ODJ852004 ONF851981:ONF852004 OXB851981:OXB852004 PGX851981:PGX852004 PQT851981:PQT852004 QAP851981:QAP852004 QKL851981:QKL852004 QUH851981:QUH852004 RED851981:RED852004 RNZ851981:RNZ852004 RXV851981:RXV852004 SHR851981:SHR852004 SRN851981:SRN852004 TBJ851981:TBJ852004 TLF851981:TLF852004 TVB851981:TVB852004 UEX851981:UEX852004 UOT851981:UOT852004 UYP851981:UYP852004 VIL851981:VIL852004 VSH851981:VSH852004 WCD851981:WCD852004 WLZ851981:WLZ852004 WVV851981:WVV852004 U917517:U917540 JJ917517:JJ917540 TF917517:TF917540 ADB917517:ADB917540 AMX917517:AMX917540 AWT917517:AWT917540 BGP917517:BGP917540 BQL917517:BQL917540 CAH917517:CAH917540 CKD917517:CKD917540 CTZ917517:CTZ917540 DDV917517:DDV917540 DNR917517:DNR917540 DXN917517:DXN917540 EHJ917517:EHJ917540 ERF917517:ERF917540 FBB917517:FBB917540 FKX917517:FKX917540 FUT917517:FUT917540 GEP917517:GEP917540 GOL917517:GOL917540 GYH917517:GYH917540 HID917517:HID917540 HRZ917517:HRZ917540 IBV917517:IBV917540 ILR917517:ILR917540 IVN917517:IVN917540 JFJ917517:JFJ917540 JPF917517:JPF917540 JZB917517:JZB917540 KIX917517:KIX917540 KST917517:KST917540 LCP917517:LCP917540 LML917517:LML917540 LWH917517:LWH917540 MGD917517:MGD917540 MPZ917517:MPZ917540 MZV917517:MZV917540 NJR917517:NJR917540 NTN917517:NTN917540 ODJ917517:ODJ917540 ONF917517:ONF917540 OXB917517:OXB917540 PGX917517:PGX917540 PQT917517:PQT917540 QAP917517:QAP917540 QKL917517:QKL917540 QUH917517:QUH917540 RED917517:RED917540 RNZ917517:RNZ917540 RXV917517:RXV917540 SHR917517:SHR917540 SRN917517:SRN917540 TBJ917517:TBJ917540 TLF917517:TLF917540 TVB917517:TVB917540 UEX917517:UEX917540 UOT917517:UOT917540 UYP917517:UYP917540 VIL917517:VIL917540 VSH917517:VSH917540 WCD917517:WCD917540 WLZ917517:WLZ917540 WVV917517:WVV917540 U983053:U983076 JJ983053:JJ983076 TF983053:TF983076 ADB983053:ADB983076 AMX983053:AMX983076 AWT983053:AWT983076 BGP983053:BGP983076 BQL983053:BQL983076 CAH983053:CAH983076 CKD983053:CKD983076 CTZ983053:CTZ983076 DDV983053:DDV983076 DNR983053:DNR983076 DXN983053:DXN983076 EHJ983053:EHJ983076 ERF983053:ERF983076 FBB983053:FBB983076 FKX983053:FKX983076 FUT983053:FUT983076 GEP983053:GEP983076 GOL983053:GOL983076 GYH983053:GYH983076 HID983053:HID983076 HRZ983053:HRZ983076 IBV983053:IBV983076 ILR983053:ILR983076 IVN983053:IVN983076 JFJ983053:JFJ983076 JPF983053:JPF983076 JZB983053:JZB983076 KIX983053:KIX983076 KST983053:KST983076 LCP983053:LCP983076 LML983053:LML983076 LWH983053:LWH983076 MGD983053:MGD983076 MPZ983053:MPZ983076 MZV983053:MZV983076 NJR983053:NJR983076 NTN983053:NTN983076 ODJ983053:ODJ983076 ONF983053:ONF983076 OXB983053:OXB983076 PGX983053:PGX983076 PQT983053:PQT983076 QAP983053:QAP983076 QKL983053:QKL983076 QUH983053:QUH983076 RED983053:RED983076 RNZ983053:RNZ983076 RXV983053:RXV983076 SHR983053:SHR983076 SRN983053:SRN983076 TBJ983053:TBJ983076 TLF983053:TLF983076 TVB983053:TVB983076 UEX983053:UEX983076 UOT983053:UOT983076 UYP983053:UYP983076 VIL983053:VIL983076 VSH983053:VSH983076 WCD983053:WCD983076 WLZ983053:WLZ983076 WVV983053:WVV983076 JL65549:JL65572 TH65549:TH65572 ADD65549:ADD65572 AMZ65549:AMZ65572 AWV65549:AWV65572 BGR65549:BGR65572 BQN65549:BQN65572 CAJ65549:CAJ65572 CKF65549:CKF65572 CUB65549:CUB65572 DDX65549:DDX65572 DNT65549:DNT65572 DXP65549:DXP65572 EHL65549:EHL65572 ERH65549:ERH65572 FBD65549:FBD65572 FKZ65549:FKZ65572 FUV65549:FUV65572 GER65549:GER65572 GON65549:GON65572 GYJ65549:GYJ65572 HIF65549:HIF65572 HSB65549:HSB65572 IBX65549:IBX65572 ILT65549:ILT65572 IVP65549:IVP65572 JFL65549:JFL65572 JPH65549:JPH65572 JZD65549:JZD65572 KIZ65549:KIZ65572 KSV65549:KSV65572 LCR65549:LCR65572 LMN65549:LMN65572 LWJ65549:LWJ65572 MGF65549:MGF65572 MQB65549:MQB65572 MZX65549:MZX65572 NJT65549:NJT65572 NTP65549:NTP65572 ODL65549:ODL65572 ONH65549:ONH65572 OXD65549:OXD65572 PGZ65549:PGZ65572 PQV65549:PQV65572 QAR65549:QAR65572 QKN65549:QKN65572 QUJ65549:QUJ65572 REF65549:REF65572 ROB65549:ROB65572 RXX65549:RXX65572 SHT65549:SHT65572 SRP65549:SRP65572 TBL65549:TBL65572 TLH65549:TLH65572 TVD65549:TVD65572 UEZ65549:UEZ65572 UOV65549:UOV65572 UYR65549:UYR65572 VIN65549:VIN65572 VSJ65549:VSJ65572 WCF65549:WCF65572 WMB65549:WMB65572 WVX65549:WVX65572 JL131085:JL131108 TH131085:TH131108 ADD131085:ADD131108 AMZ131085:AMZ131108 AWV131085:AWV131108 BGR131085:BGR131108 BQN131085:BQN131108 CAJ131085:CAJ131108 CKF131085:CKF131108 CUB131085:CUB131108 DDX131085:DDX131108 DNT131085:DNT131108 DXP131085:DXP131108 EHL131085:EHL131108 ERH131085:ERH131108 FBD131085:FBD131108 FKZ131085:FKZ131108 FUV131085:FUV131108 GER131085:GER131108 GON131085:GON131108 GYJ131085:GYJ131108 HIF131085:HIF131108 HSB131085:HSB131108 IBX131085:IBX131108 ILT131085:ILT131108 IVP131085:IVP131108 JFL131085:JFL131108 JPH131085:JPH131108 JZD131085:JZD131108 KIZ131085:KIZ131108 KSV131085:KSV131108 LCR131085:LCR131108 LMN131085:LMN131108 LWJ131085:LWJ131108 MGF131085:MGF131108 MQB131085:MQB131108 MZX131085:MZX131108 NJT131085:NJT131108 NTP131085:NTP131108 ODL131085:ODL131108 ONH131085:ONH131108 OXD131085:OXD131108 PGZ131085:PGZ131108 PQV131085:PQV131108 QAR131085:QAR131108 QKN131085:QKN131108 QUJ131085:QUJ131108 REF131085:REF131108 ROB131085:ROB131108 RXX131085:RXX131108 SHT131085:SHT131108 SRP131085:SRP131108 TBL131085:TBL131108 TLH131085:TLH131108 TVD131085:TVD131108 UEZ131085:UEZ131108 UOV131085:UOV131108 UYR131085:UYR131108 VIN131085:VIN131108 VSJ131085:VSJ131108 WCF131085:WCF131108 WMB131085:WMB131108 WVX131085:WVX131108 JL196621:JL196644 TH196621:TH196644 ADD196621:ADD196644 AMZ196621:AMZ196644 AWV196621:AWV196644 BGR196621:BGR196644 BQN196621:BQN196644 CAJ196621:CAJ196644 CKF196621:CKF196644 CUB196621:CUB196644 DDX196621:DDX196644 DNT196621:DNT196644 DXP196621:DXP196644 EHL196621:EHL196644 ERH196621:ERH196644 FBD196621:FBD196644 FKZ196621:FKZ196644 FUV196621:FUV196644 GER196621:GER196644 GON196621:GON196644 GYJ196621:GYJ196644 HIF196621:HIF196644 HSB196621:HSB196644 IBX196621:IBX196644 ILT196621:ILT196644 IVP196621:IVP196644 JFL196621:JFL196644 JPH196621:JPH196644 JZD196621:JZD196644 KIZ196621:KIZ196644 KSV196621:KSV196644 LCR196621:LCR196644 LMN196621:LMN196644 LWJ196621:LWJ196644 MGF196621:MGF196644 MQB196621:MQB196644 MZX196621:MZX196644 NJT196621:NJT196644 NTP196621:NTP196644 ODL196621:ODL196644 ONH196621:ONH196644 OXD196621:OXD196644 PGZ196621:PGZ196644 PQV196621:PQV196644 QAR196621:QAR196644 QKN196621:QKN196644 QUJ196621:QUJ196644 REF196621:REF196644 ROB196621:ROB196644 RXX196621:RXX196644 SHT196621:SHT196644 SRP196621:SRP196644 TBL196621:TBL196644 TLH196621:TLH196644 TVD196621:TVD196644 UEZ196621:UEZ196644 UOV196621:UOV196644 UYR196621:UYR196644 VIN196621:VIN196644 VSJ196621:VSJ196644 WCF196621:WCF196644 WMB196621:WMB196644 WVX196621:WVX196644 JL262157:JL262180 TH262157:TH262180 ADD262157:ADD262180 AMZ262157:AMZ262180 AWV262157:AWV262180 BGR262157:BGR262180 BQN262157:BQN262180 CAJ262157:CAJ262180 CKF262157:CKF262180 CUB262157:CUB262180 DDX262157:DDX262180 DNT262157:DNT262180 DXP262157:DXP262180 EHL262157:EHL262180 ERH262157:ERH262180 FBD262157:FBD262180 FKZ262157:FKZ262180 FUV262157:FUV262180 GER262157:GER262180 GON262157:GON262180 GYJ262157:GYJ262180 HIF262157:HIF262180 HSB262157:HSB262180 IBX262157:IBX262180 ILT262157:ILT262180 IVP262157:IVP262180 JFL262157:JFL262180 JPH262157:JPH262180 JZD262157:JZD262180 KIZ262157:KIZ262180 KSV262157:KSV262180 LCR262157:LCR262180 LMN262157:LMN262180 LWJ262157:LWJ262180 MGF262157:MGF262180 MQB262157:MQB262180 MZX262157:MZX262180 NJT262157:NJT262180 NTP262157:NTP262180 ODL262157:ODL262180 ONH262157:ONH262180 OXD262157:OXD262180 PGZ262157:PGZ262180 PQV262157:PQV262180 QAR262157:QAR262180 QKN262157:QKN262180 QUJ262157:QUJ262180 REF262157:REF262180 ROB262157:ROB262180 RXX262157:RXX262180 SHT262157:SHT262180 SRP262157:SRP262180 TBL262157:TBL262180 TLH262157:TLH262180 TVD262157:TVD262180 UEZ262157:UEZ262180 UOV262157:UOV262180 UYR262157:UYR262180 VIN262157:VIN262180 VSJ262157:VSJ262180 WCF262157:WCF262180 WMB262157:WMB262180 WVX262157:WVX262180 JL327693:JL327716 TH327693:TH327716 ADD327693:ADD327716 AMZ327693:AMZ327716 AWV327693:AWV327716 BGR327693:BGR327716 BQN327693:BQN327716 CAJ327693:CAJ327716 CKF327693:CKF327716 CUB327693:CUB327716 DDX327693:DDX327716 DNT327693:DNT327716 DXP327693:DXP327716 EHL327693:EHL327716 ERH327693:ERH327716 FBD327693:FBD327716 FKZ327693:FKZ327716 FUV327693:FUV327716 GER327693:GER327716 GON327693:GON327716 GYJ327693:GYJ327716 HIF327693:HIF327716 HSB327693:HSB327716 IBX327693:IBX327716 ILT327693:ILT327716 IVP327693:IVP327716 JFL327693:JFL327716 JPH327693:JPH327716 JZD327693:JZD327716 KIZ327693:KIZ327716 KSV327693:KSV327716 LCR327693:LCR327716 LMN327693:LMN327716 LWJ327693:LWJ327716 MGF327693:MGF327716 MQB327693:MQB327716 MZX327693:MZX327716 NJT327693:NJT327716 NTP327693:NTP327716 ODL327693:ODL327716 ONH327693:ONH327716 OXD327693:OXD327716 PGZ327693:PGZ327716 PQV327693:PQV327716 QAR327693:QAR327716 QKN327693:QKN327716 QUJ327693:QUJ327716 REF327693:REF327716 ROB327693:ROB327716 RXX327693:RXX327716 SHT327693:SHT327716 SRP327693:SRP327716 TBL327693:TBL327716 TLH327693:TLH327716 TVD327693:TVD327716 UEZ327693:UEZ327716 UOV327693:UOV327716 UYR327693:UYR327716 VIN327693:VIN327716 VSJ327693:VSJ327716 WCF327693:WCF327716 WMB327693:WMB327716 WVX327693:WVX327716 JL393229:JL393252 TH393229:TH393252 ADD393229:ADD393252 AMZ393229:AMZ393252 AWV393229:AWV393252 BGR393229:BGR393252 BQN393229:BQN393252 CAJ393229:CAJ393252 CKF393229:CKF393252 CUB393229:CUB393252 DDX393229:DDX393252 DNT393229:DNT393252 DXP393229:DXP393252 EHL393229:EHL393252 ERH393229:ERH393252 FBD393229:FBD393252 FKZ393229:FKZ393252 FUV393229:FUV393252 GER393229:GER393252 GON393229:GON393252 GYJ393229:GYJ393252 HIF393229:HIF393252 HSB393229:HSB393252 IBX393229:IBX393252 ILT393229:ILT393252 IVP393229:IVP393252 JFL393229:JFL393252 JPH393229:JPH393252 JZD393229:JZD393252 KIZ393229:KIZ393252 KSV393229:KSV393252 LCR393229:LCR393252 LMN393229:LMN393252 LWJ393229:LWJ393252 MGF393229:MGF393252 MQB393229:MQB393252 MZX393229:MZX393252 NJT393229:NJT393252 NTP393229:NTP393252 ODL393229:ODL393252 ONH393229:ONH393252 OXD393229:OXD393252 PGZ393229:PGZ393252 PQV393229:PQV393252 QAR393229:QAR393252 QKN393229:QKN393252 QUJ393229:QUJ393252 REF393229:REF393252 ROB393229:ROB393252 RXX393229:RXX393252 SHT393229:SHT393252 SRP393229:SRP393252 TBL393229:TBL393252 TLH393229:TLH393252 TVD393229:TVD393252 UEZ393229:UEZ393252 UOV393229:UOV393252 UYR393229:UYR393252 VIN393229:VIN393252 VSJ393229:VSJ393252 WCF393229:WCF393252 WMB393229:WMB393252 WVX393229:WVX393252 JL458765:JL458788 TH458765:TH458788 ADD458765:ADD458788 AMZ458765:AMZ458788 AWV458765:AWV458788 BGR458765:BGR458788 BQN458765:BQN458788 CAJ458765:CAJ458788 CKF458765:CKF458788 CUB458765:CUB458788 DDX458765:DDX458788 DNT458765:DNT458788 DXP458765:DXP458788 EHL458765:EHL458788 ERH458765:ERH458788 FBD458765:FBD458788 FKZ458765:FKZ458788 FUV458765:FUV458788 GER458765:GER458788 GON458765:GON458788 GYJ458765:GYJ458788 HIF458765:HIF458788 HSB458765:HSB458788 IBX458765:IBX458788 ILT458765:ILT458788 IVP458765:IVP458788 JFL458765:JFL458788 JPH458765:JPH458788 JZD458765:JZD458788 KIZ458765:KIZ458788 KSV458765:KSV458788 LCR458765:LCR458788 LMN458765:LMN458788 LWJ458765:LWJ458788 MGF458765:MGF458788 MQB458765:MQB458788 MZX458765:MZX458788 NJT458765:NJT458788 NTP458765:NTP458788 ODL458765:ODL458788 ONH458765:ONH458788 OXD458765:OXD458788 PGZ458765:PGZ458788 PQV458765:PQV458788 QAR458765:QAR458788 QKN458765:QKN458788 QUJ458765:QUJ458788 REF458765:REF458788 ROB458765:ROB458788 RXX458765:RXX458788 SHT458765:SHT458788 SRP458765:SRP458788 TBL458765:TBL458788 TLH458765:TLH458788 TVD458765:TVD458788 UEZ458765:UEZ458788 UOV458765:UOV458788 UYR458765:UYR458788 VIN458765:VIN458788 VSJ458765:VSJ458788 WCF458765:WCF458788 WMB458765:WMB458788 WVX458765:WVX458788 JL524301:JL524324 TH524301:TH524324 ADD524301:ADD524324 AMZ524301:AMZ524324 AWV524301:AWV524324 BGR524301:BGR524324 BQN524301:BQN524324 CAJ524301:CAJ524324 CKF524301:CKF524324 CUB524301:CUB524324 DDX524301:DDX524324 DNT524301:DNT524324 DXP524301:DXP524324 EHL524301:EHL524324 ERH524301:ERH524324 FBD524301:FBD524324 FKZ524301:FKZ524324 FUV524301:FUV524324 GER524301:GER524324 GON524301:GON524324 GYJ524301:GYJ524324 HIF524301:HIF524324 HSB524301:HSB524324 IBX524301:IBX524324 ILT524301:ILT524324 IVP524301:IVP524324 JFL524301:JFL524324 JPH524301:JPH524324 JZD524301:JZD524324 KIZ524301:KIZ524324 KSV524301:KSV524324 LCR524301:LCR524324 LMN524301:LMN524324 LWJ524301:LWJ524324 MGF524301:MGF524324 MQB524301:MQB524324 MZX524301:MZX524324 NJT524301:NJT524324 NTP524301:NTP524324 ODL524301:ODL524324 ONH524301:ONH524324 OXD524301:OXD524324 PGZ524301:PGZ524324 PQV524301:PQV524324 QAR524301:QAR524324 QKN524301:QKN524324 QUJ524301:QUJ524324 REF524301:REF524324 ROB524301:ROB524324 RXX524301:RXX524324 SHT524301:SHT524324 SRP524301:SRP524324 TBL524301:TBL524324 TLH524301:TLH524324 TVD524301:TVD524324 UEZ524301:UEZ524324 UOV524301:UOV524324 UYR524301:UYR524324 VIN524301:VIN524324 VSJ524301:VSJ524324 WCF524301:WCF524324 WMB524301:WMB524324 WVX524301:WVX524324 JL589837:JL589860 TH589837:TH589860 ADD589837:ADD589860 AMZ589837:AMZ589860 AWV589837:AWV589860 BGR589837:BGR589860 BQN589837:BQN589860 CAJ589837:CAJ589860 CKF589837:CKF589860 CUB589837:CUB589860 DDX589837:DDX589860 DNT589837:DNT589860 DXP589837:DXP589860 EHL589837:EHL589860 ERH589837:ERH589860 FBD589837:FBD589860 FKZ589837:FKZ589860 FUV589837:FUV589860 GER589837:GER589860 GON589837:GON589860 GYJ589837:GYJ589860 HIF589837:HIF589860 HSB589837:HSB589860 IBX589837:IBX589860 ILT589837:ILT589860 IVP589837:IVP589860 JFL589837:JFL589860 JPH589837:JPH589860 JZD589837:JZD589860 KIZ589837:KIZ589860 KSV589837:KSV589860 LCR589837:LCR589860 LMN589837:LMN589860 LWJ589837:LWJ589860 MGF589837:MGF589860 MQB589837:MQB589860 MZX589837:MZX589860 NJT589837:NJT589860 NTP589837:NTP589860 ODL589837:ODL589860 ONH589837:ONH589860 OXD589837:OXD589860 PGZ589837:PGZ589860 PQV589837:PQV589860 QAR589837:QAR589860 QKN589837:QKN589860 QUJ589837:QUJ589860 REF589837:REF589860 ROB589837:ROB589860 RXX589837:RXX589860 SHT589837:SHT589860 SRP589837:SRP589860 TBL589837:TBL589860 TLH589837:TLH589860 TVD589837:TVD589860 UEZ589837:UEZ589860 UOV589837:UOV589860 UYR589837:UYR589860 VIN589837:VIN589860 VSJ589837:VSJ589860 WCF589837:WCF589860 WMB589837:WMB589860 WVX589837:WVX589860 JL655373:JL655396 TH655373:TH655396 ADD655373:ADD655396 AMZ655373:AMZ655396 AWV655373:AWV655396 BGR655373:BGR655396 BQN655373:BQN655396 CAJ655373:CAJ655396 CKF655373:CKF655396 CUB655373:CUB655396 DDX655373:DDX655396 DNT655373:DNT655396 DXP655373:DXP655396 EHL655373:EHL655396 ERH655373:ERH655396 FBD655373:FBD655396 FKZ655373:FKZ655396 FUV655373:FUV655396 GER655373:GER655396 GON655373:GON655396 GYJ655373:GYJ655396 HIF655373:HIF655396 HSB655373:HSB655396 IBX655373:IBX655396 ILT655373:ILT655396 IVP655373:IVP655396 JFL655373:JFL655396 JPH655373:JPH655396 JZD655373:JZD655396 KIZ655373:KIZ655396 KSV655373:KSV655396 LCR655373:LCR655396 LMN655373:LMN655396 LWJ655373:LWJ655396 MGF655373:MGF655396 MQB655373:MQB655396 MZX655373:MZX655396 NJT655373:NJT655396 NTP655373:NTP655396 ODL655373:ODL655396 ONH655373:ONH655396 OXD655373:OXD655396 PGZ655373:PGZ655396 PQV655373:PQV655396 QAR655373:QAR655396 QKN655373:QKN655396 QUJ655373:QUJ655396 REF655373:REF655396 ROB655373:ROB655396 RXX655373:RXX655396 SHT655373:SHT655396 SRP655373:SRP655396 TBL655373:TBL655396 TLH655373:TLH655396 TVD655373:TVD655396 UEZ655373:UEZ655396 UOV655373:UOV655396 UYR655373:UYR655396 VIN655373:VIN655396 VSJ655373:VSJ655396 WCF655373:WCF655396 WMB655373:WMB655396 WVX655373:WVX655396 JL720909:JL720932 TH720909:TH720932 ADD720909:ADD720932 AMZ720909:AMZ720932 AWV720909:AWV720932 BGR720909:BGR720932 BQN720909:BQN720932 CAJ720909:CAJ720932 CKF720909:CKF720932 CUB720909:CUB720932 DDX720909:DDX720932 DNT720909:DNT720932 DXP720909:DXP720932 EHL720909:EHL720932 ERH720909:ERH720932 FBD720909:FBD720932 FKZ720909:FKZ720932 FUV720909:FUV720932 GER720909:GER720932 GON720909:GON720932 GYJ720909:GYJ720932 HIF720909:HIF720932 HSB720909:HSB720932 IBX720909:IBX720932 ILT720909:ILT720932 IVP720909:IVP720932 JFL720909:JFL720932 JPH720909:JPH720932 JZD720909:JZD720932 KIZ720909:KIZ720932 KSV720909:KSV720932 LCR720909:LCR720932 LMN720909:LMN720932 LWJ720909:LWJ720932 MGF720909:MGF720932 MQB720909:MQB720932 MZX720909:MZX720932 NJT720909:NJT720932 NTP720909:NTP720932 ODL720909:ODL720932 ONH720909:ONH720932 OXD720909:OXD720932 PGZ720909:PGZ720932 PQV720909:PQV720932 QAR720909:QAR720932 QKN720909:QKN720932 QUJ720909:QUJ720932 REF720909:REF720932 ROB720909:ROB720932 RXX720909:RXX720932 SHT720909:SHT720932 SRP720909:SRP720932 TBL720909:TBL720932 TLH720909:TLH720932 TVD720909:TVD720932 UEZ720909:UEZ720932 UOV720909:UOV720932 UYR720909:UYR720932 VIN720909:VIN720932 VSJ720909:VSJ720932 WCF720909:WCF720932 WMB720909:WMB720932 WVX720909:WVX720932 JL786445:JL786468 TH786445:TH786468 ADD786445:ADD786468 AMZ786445:AMZ786468 AWV786445:AWV786468 BGR786445:BGR786468 BQN786445:BQN786468 CAJ786445:CAJ786468 CKF786445:CKF786468 CUB786445:CUB786468 DDX786445:DDX786468 DNT786445:DNT786468 DXP786445:DXP786468 EHL786445:EHL786468 ERH786445:ERH786468 FBD786445:FBD786468 FKZ786445:FKZ786468 FUV786445:FUV786468 GER786445:GER786468 GON786445:GON786468 GYJ786445:GYJ786468 HIF786445:HIF786468 HSB786445:HSB786468 IBX786445:IBX786468 ILT786445:ILT786468 IVP786445:IVP786468 JFL786445:JFL786468 JPH786445:JPH786468 JZD786445:JZD786468 KIZ786445:KIZ786468 KSV786445:KSV786468 LCR786445:LCR786468 LMN786445:LMN786468 LWJ786445:LWJ786468 MGF786445:MGF786468 MQB786445:MQB786468 MZX786445:MZX786468 NJT786445:NJT786468 NTP786445:NTP786468 ODL786445:ODL786468 ONH786445:ONH786468 OXD786445:OXD786468 PGZ786445:PGZ786468 PQV786445:PQV786468 QAR786445:QAR786468 QKN786445:QKN786468 QUJ786445:QUJ786468 REF786445:REF786468 ROB786445:ROB786468 RXX786445:RXX786468 SHT786445:SHT786468 SRP786445:SRP786468 TBL786445:TBL786468 TLH786445:TLH786468 TVD786445:TVD786468 UEZ786445:UEZ786468 UOV786445:UOV786468 UYR786445:UYR786468 VIN786445:VIN786468 VSJ786445:VSJ786468 WCF786445:WCF786468 WMB786445:WMB786468 WVX786445:WVX786468 JL851981:JL852004 TH851981:TH852004 ADD851981:ADD852004 AMZ851981:AMZ852004 AWV851981:AWV852004 BGR851981:BGR852004 BQN851981:BQN852004 CAJ851981:CAJ852004 CKF851981:CKF852004 CUB851981:CUB852004 DDX851981:DDX852004 DNT851981:DNT852004 DXP851981:DXP852004 EHL851981:EHL852004 ERH851981:ERH852004 FBD851981:FBD852004 FKZ851981:FKZ852004 FUV851981:FUV852004 GER851981:GER852004 GON851981:GON852004 GYJ851981:GYJ852004 HIF851981:HIF852004 HSB851981:HSB852004 IBX851981:IBX852004 ILT851981:ILT852004 IVP851981:IVP852004 JFL851981:JFL852004 JPH851981:JPH852004 JZD851981:JZD852004 KIZ851981:KIZ852004 KSV851981:KSV852004 LCR851981:LCR852004 LMN851981:LMN852004 LWJ851981:LWJ852004 MGF851981:MGF852004 MQB851981:MQB852004 MZX851981:MZX852004 NJT851981:NJT852004 NTP851981:NTP852004 ODL851981:ODL852004 ONH851981:ONH852004 OXD851981:OXD852004 PGZ851981:PGZ852004 PQV851981:PQV852004 QAR851981:QAR852004 QKN851981:QKN852004 QUJ851981:QUJ852004 REF851981:REF852004 ROB851981:ROB852004 RXX851981:RXX852004 SHT851981:SHT852004 SRP851981:SRP852004 TBL851981:TBL852004 TLH851981:TLH852004 TVD851981:TVD852004 UEZ851981:UEZ852004 UOV851981:UOV852004 UYR851981:UYR852004 VIN851981:VIN852004 VSJ851981:VSJ852004 WCF851981:WCF852004 WMB851981:WMB852004 WVX851981:WVX852004 JL917517:JL917540 TH917517:TH917540 ADD917517:ADD917540 AMZ917517:AMZ917540 AWV917517:AWV917540 BGR917517:BGR917540 BQN917517:BQN917540 CAJ917517:CAJ917540 CKF917517:CKF917540 CUB917517:CUB917540 DDX917517:DDX917540 DNT917517:DNT917540 DXP917517:DXP917540 EHL917517:EHL917540 ERH917517:ERH917540 FBD917517:FBD917540 FKZ917517:FKZ917540 FUV917517:FUV917540 GER917517:GER917540 GON917517:GON917540 GYJ917517:GYJ917540 HIF917517:HIF917540 HSB917517:HSB917540 IBX917517:IBX917540 ILT917517:ILT917540 IVP917517:IVP917540 JFL917517:JFL917540 JPH917517:JPH917540 JZD917517:JZD917540 KIZ917517:KIZ917540 KSV917517:KSV917540 LCR917517:LCR917540 LMN917517:LMN917540 LWJ917517:LWJ917540 MGF917517:MGF917540 MQB917517:MQB917540 MZX917517:MZX917540 NJT917517:NJT917540 NTP917517:NTP917540 ODL917517:ODL917540 ONH917517:ONH917540 OXD917517:OXD917540 PGZ917517:PGZ917540 PQV917517:PQV917540 QAR917517:QAR917540 QKN917517:QKN917540 QUJ917517:QUJ917540 REF917517:REF917540 ROB917517:ROB917540 RXX917517:RXX917540 SHT917517:SHT917540 SRP917517:SRP917540 TBL917517:TBL917540 TLH917517:TLH917540 TVD917517:TVD917540 UEZ917517:UEZ917540 UOV917517:UOV917540 UYR917517:UYR917540 VIN917517:VIN917540 VSJ917517:VSJ917540 WCF917517:WCF917540 WMB917517:WMB917540 WVX917517:WVX917540 JL983053:JL983076 TH983053:TH983076 ADD983053:ADD983076 AMZ983053:AMZ983076 AWV983053:AWV983076 BGR983053:BGR983076 BQN983053:BQN983076 CAJ983053:CAJ983076 CKF983053:CKF983076 CUB983053:CUB983076 DDX983053:DDX983076 DNT983053:DNT983076 DXP983053:DXP983076 EHL983053:EHL983076 ERH983053:ERH983076 FBD983053:FBD983076 FKZ983053:FKZ983076 FUV983053:FUV983076 GER983053:GER983076 GON983053:GON983076 GYJ983053:GYJ983076 HIF983053:HIF983076 HSB983053:HSB983076 IBX983053:IBX983076 ILT983053:ILT983076 IVP983053:IVP983076 JFL983053:JFL983076 JPH983053:JPH983076 JZD983053:JZD983076 KIZ983053:KIZ983076 KSV983053:KSV983076 LCR983053:LCR983076 LMN983053:LMN983076 LWJ983053:LWJ983076 MGF983053:MGF983076 MQB983053:MQB983076 MZX983053:MZX983076 NJT983053:NJT983076 NTP983053:NTP983076 ODL983053:ODL983076 ONH983053:ONH983076 OXD983053:OXD983076 PGZ983053:PGZ983076 PQV983053:PQV983076 QAR983053:QAR983076 QKN983053:QKN983076 QUJ983053:QUJ983076 REF983053:REF983076 ROB983053:ROB983076 RXX983053:RXX983076 SHT983053:SHT983076 SRP983053:SRP983076 TBL983053:TBL983076 TLH983053:TLH983076 TVD983053:TVD983076 UEZ983053:UEZ983076 UOV983053:UOV983076 UYR983053:UYR983076 VIN983053:VIN983076 VSJ983053:VSJ983076 WCF983053:WCF983076 WMB983053:WMB983076 ADI11:ADI36 WWE11:WWE36 WMI11:WMI36 WCM11:WCM36 VSQ11:VSQ36 VIU11:VIU36 UYY11:UYY36 UPC11:UPC36 UFG11:UFG36 TVK11:TVK36 TLO11:TLO36 TBS11:TBS36 SRW11:SRW36 SIA11:SIA36 RYE11:RYE36 ROI11:ROI36 REM11:REM36 QUQ11:QUQ36 QKU11:QKU36 QAY11:QAY36 PRC11:PRC36 PHG11:PHG36 OXK11:OXK36 ONO11:ONO36 ODS11:ODS36 NTW11:NTW36 NKA11:NKA36 NAE11:NAE36 MQI11:MQI36 MGM11:MGM36 LWQ11:LWQ36 LMU11:LMU36 LCY11:LCY36 KTC11:KTC36 KJG11:KJG36 JZK11:JZK36 JPO11:JPO36 JFS11:JFS36 IVW11:IVW36 IMA11:IMA36 ICE11:ICE36 HSI11:HSI36 HIM11:HIM36 GYQ11:GYQ36 GOU11:GOU36 GEY11:GEY36 FVC11:FVC36 FLG11:FLG36 FBK11:FBK36 ERO11:ERO36 EHS11:EHS36 DXW11:DXW36 DOA11:DOA36 DEE11:DEE36 CUI11:CUI36 CKM11:CKM36 CAQ11:CAQ36 BQU11:BQU36 BGY11:BGY36 AXC11:AXC36 ANG11:ANG36 ADK11:ADK36 TO11:TO36 JS11:JS36 JQ11:JQ36 WWC11:WWC36 WMG11:WMG36 WCK11:WCK36 VSO11:VSO36 VIS11:VIS36 UYW11:UYW36 UPA11:UPA36 UFE11:UFE36 TVI11:TVI36 TLM11:TLM36 TBQ11:TBQ36 SRU11:SRU36 SHY11:SHY36 RYC11:RYC36 ROG11:ROG36 REK11:REK36 QUO11:QUO36 QKS11:QKS36 QAW11:QAW36 PRA11:PRA36 PHE11:PHE36 OXI11:OXI36 ONM11:ONM36 ODQ11:ODQ36 NTU11:NTU36 NJY11:NJY36 NAC11:NAC36 MQG11:MQG36 MGK11:MGK36 LWO11:LWO36 LMS11:LMS36 LCW11:LCW36 KTA11:KTA36 KJE11:KJE36 JZI11:JZI36 JPM11:JPM36 JFQ11:JFQ36 IVU11:IVU36 ILY11:ILY36 ICC11:ICC36 HSG11:HSG36 HIK11:HIK36 GYO11:GYO36 GOS11:GOS36 GEW11:GEW36 FVA11:FVA36 FLE11:FLE36 FBI11:FBI36 ERM11:ERM36 EHQ11:EHQ36 DXU11:DXU36 DNY11:DNY36 DEC11:DEC36 CUG11:CUG36 CKK11:CKK36 CAO11:CAO36 BQS11:BQS36 BGW11:BGW36 AXA11:AXA36 ANE11:ANE36 W11:W37 U11:U37 TM11:TM36" xr:uid="{00000000-0002-0000-0400-000001000000}">
      <formula1>"1,2,3,4"</formula1>
    </dataValidation>
  </dataValidations>
  <pageMargins left="0" right="0" top="0.39370078740157483" bottom="0.59055118110236227" header="0.51181102362204722" footer="0.39370078740157483"/>
  <pageSetup paperSize="9" scale="82" fitToHeight="0" orientation="landscape" r:id="rId1"/>
  <headerFooter alignWithMargins="0">
    <oddFooter>第 &amp;P 頁，共 &amp;N 頁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>
    <tabColor rgb="FFFF0000"/>
    <pageSetUpPr fitToPage="1"/>
  </sheetPr>
  <dimension ref="A1:AB42"/>
  <sheetViews>
    <sheetView tabSelected="1" topLeftCell="M31" zoomScaleNormal="100" workbookViewId="0">
      <selection activeCell="V33" sqref="V33"/>
    </sheetView>
  </sheetViews>
  <sheetFormatPr defaultRowHeight="15.5"/>
  <cols>
    <col min="1" max="1" width="7.90625" style="40" hidden="1" customWidth="1"/>
    <col min="2" max="2" width="11.90625" style="40" hidden="1" customWidth="1"/>
    <col min="3" max="4" width="9.90625" style="40" hidden="1" customWidth="1"/>
    <col min="5" max="5" width="5.90625" style="40" hidden="1" customWidth="1"/>
    <col min="6" max="6" width="7.90625" style="40" hidden="1" customWidth="1"/>
    <col min="7" max="7" width="3.08984375" style="40" hidden="1" customWidth="1"/>
    <col min="8" max="8" width="2.26953125" style="40" hidden="1" customWidth="1"/>
    <col min="9" max="9" width="3.08984375" style="40" hidden="1" customWidth="1"/>
    <col min="10" max="10" width="5.26953125" style="40" hidden="1" customWidth="1"/>
    <col min="11" max="11" width="9.90625" style="40" hidden="1" customWidth="1"/>
    <col min="12" max="12" width="5.90625" style="40" hidden="1" customWidth="1"/>
    <col min="13" max="13" width="21.08984375" style="6" customWidth="1"/>
    <col min="14" max="14" width="8.90625" style="6" customWidth="1"/>
    <col min="15" max="15" width="11.453125" style="6" customWidth="1"/>
    <col min="16" max="16" width="8.90625" style="6" customWidth="1"/>
    <col min="17" max="17" width="8.90625" style="41" customWidth="1"/>
    <col min="18" max="18" width="16.90625" style="6" customWidth="1"/>
    <col min="19" max="19" width="16.90625" style="41" customWidth="1"/>
    <col min="20" max="20" width="10" style="6" customWidth="1"/>
    <col min="21" max="21" width="10" style="41" customWidth="1"/>
    <col min="22" max="22" width="17.6328125" style="6" customWidth="1"/>
    <col min="23" max="23" width="10" style="6" customWidth="1"/>
    <col min="24" max="24" width="17.6328125" style="6" customWidth="1"/>
    <col min="25" max="25" width="10" style="6" customWidth="1"/>
    <col min="26" max="26" width="5.90625" style="6" customWidth="1"/>
    <col min="27" max="261" width="9" style="6"/>
    <col min="262" max="262" width="16.26953125" style="6" customWidth="1"/>
    <col min="263" max="263" width="9" style="6"/>
    <col min="264" max="264" width="11.453125" style="6" customWidth="1"/>
    <col min="265" max="266" width="9" style="6"/>
    <col min="267" max="267" width="23" style="6" bestFit="1" customWidth="1"/>
    <col min="268" max="268" width="10" style="6" customWidth="1"/>
    <col min="269" max="269" width="6.26953125" style="6" bestFit="1" customWidth="1"/>
    <col min="270" max="270" width="7.26953125" style="6" bestFit="1" customWidth="1"/>
    <col min="271" max="271" width="16.6328125" style="6" customWidth="1"/>
    <col min="272" max="272" width="7.26953125" style="6" bestFit="1" customWidth="1"/>
    <col min="273" max="273" width="16.6328125" style="6" customWidth="1"/>
    <col min="274" max="517" width="9" style="6"/>
    <col min="518" max="518" width="16.26953125" style="6" customWidth="1"/>
    <col min="519" max="519" width="9" style="6"/>
    <col min="520" max="520" width="11.453125" style="6" customWidth="1"/>
    <col min="521" max="522" width="9" style="6"/>
    <col min="523" max="523" width="23" style="6" bestFit="1" customWidth="1"/>
    <col min="524" max="524" width="10" style="6" customWidth="1"/>
    <col min="525" max="525" width="6.26953125" style="6" bestFit="1" customWidth="1"/>
    <col min="526" max="526" width="7.26953125" style="6" bestFit="1" customWidth="1"/>
    <col min="527" max="527" width="16.6328125" style="6" customWidth="1"/>
    <col min="528" max="528" width="7.26953125" style="6" bestFit="1" customWidth="1"/>
    <col min="529" max="529" width="16.6328125" style="6" customWidth="1"/>
    <col min="530" max="773" width="9" style="6"/>
    <col min="774" max="774" width="16.26953125" style="6" customWidth="1"/>
    <col min="775" max="775" width="9" style="6"/>
    <col min="776" max="776" width="11.453125" style="6" customWidth="1"/>
    <col min="777" max="778" width="9" style="6"/>
    <col min="779" max="779" width="23" style="6" bestFit="1" customWidth="1"/>
    <col min="780" max="780" width="10" style="6" customWidth="1"/>
    <col min="781" max="781" width="6.26953125" style="6" bestFit="1" customWidth="1"/>
    <col min="782" max="782" width="7.26953125" style="6" bestFit="1" customWidth="1"/>
    <col min="783" max="783" width="16.6328125" style="6" customWidth="1"/>
    <col min="784" max="784" width="7.26953125" style="6" bestFit="1" customWidth="1"/>
    <col min="785" max="785" width="16.6328125" style="6" customWidth="1"/>
    <col min="786" max="1029" width="9" style="6"/>
    <col min="1030" max="1030" width="16.26953125" style="6" customWidth="1"/>
    <col min="1031" max="1031" width="9" style="6"/>
    <col min="1032" max="1032" width="11.453125" style="6" customWidth="1"/>
    <col min="1033" max="1034" width="9" style="6"/>
    <col min="1035" max="1035" width="23" style="6" bestFit="1" customWidth="1"/>
    <col min="1036" max="1036" width="10" style="6" customWidth="1"/>
    <col min="1037" max="1037" width="6.26953125" style="6" bestFit="1" customWidth="1"/>
    <col min="1038" max="1038" width="7.26953125" style="6" bestFit="1" customWidth="1"/>
    <col min="1039" max="1039" width="16.6328125" style="6" customWidth="1"/>
    <col min="1040" max="1040" width="7.26953125" style="6" bestFit="1" customWidth="1"/>
    <col min="1041" max="1041" width="16.6328125" style="6" customWidth="1"/>
    <col min="1042" max="1285" width="9" style="6"/>
    <col min="1286" max="1286" width="16.26953125" style="6" customWidth="1"/>
    <col min="1287" max="1287" width="9" style="6"/>
    <col min="1288" max="1288" width="11.453125" style="6" customWidth="1"/>
    <col min="1289" max="1290" width="9" style="6"/>
    <col min="1291" max="1291" width="23" style="6" bestFit="1" customWidth="1"/>
    <col min="1292" max="1292" width="10" style="6" customWidth="1"/>
    <col min="1293" max="1293" width="6.26953125" style="6" bestFit="1" customWidth="1"/>
    <col min="1294" max="1294" width="7.26953125" style="6" bestFit="1" customWidth="1"/>
    <col min="1295" max="1295" width="16.6328125" style="6" customWidth="1"/>
    <col min="1296" max="1296" width="7.26953125" style="6" bestFit="1" customWidth="1"/>
    <col min="1297" max="1297" width="16.6328125" style="6" customWidth="1"/>
    <col min="1298" max="1541" width="9" style="6"/>
    <col min="1542" max="1542" width="16.26953125" style="6" customWidth="1"/>
    <col min="1543" max="1543" width="9" style="6"/>
    <col min="1544" max="1544" width="11.453125" style="6" customWidth="1"/>
    <col min="1545" max="1546" width="9" style="6"/>
    <col min="1547" max="1547" width="23" style="6" bestFit="1" customWidth="1"/>
    <col min="1548" max="1548" width="10" style="6" customWidth="1"/>
    <col min="1549" max="1549" width="6.26953125" style="6" bestFit="1" customWidth="1"/>
    <col min="1550" max="1550" width="7.26953125" style="6" bestFit="1" customWidth="1"/>
    <col min="1551" max="1551" width="16.6328125" style="6" customWidth="1"/>
    <col min="1552" max="1552" width="7.26953125" style="6" bestFit="1" customWidth="1"/>
    <col min="1553" max="1553" width="16.6328125" style="6" customWidth="1"/>
    <col min="1554" max="1797" width="9" style="6"/>
    <col min="1798" max="1798" width="16.26953125" style="6" customWidth="1"/>
    <col min="1799" max="1799" width="9" style="6"/>
    <col min="1800" max="1800" width="11.453125" style="6" customWidth="1"/>
    <col min="1801" max="1802" width="9" style="6"/>
    <col min="1803" max="1803" width="23" style="6" bestFit="1" customWidth="1"/>
    <col min="1804" max="1804" width="10" style="6" customWidth="1"/>
    <col min="1805" max="1805" width="6.26953125" style="6" bestFit="1" customWidth="1"/>
    <col min="1806" max="1806" width="7.26953125" style="6" bestFit="1" customWidth="1"/>
    <col min="1807" max="1807" width="16.6328125" style="6" customWidth="1"/>
    <col min="1808" max="1808" width="7.26953125" style="6" bestFit="1" customWidth="1"/>
    <col min="1809" max="1809" width="16.6328125" style="6" customWidth="1"/>
    <col min="1810" max="2053" width="9" style="6"/>
    <col min="2054" max="2054" width="16.26953125" style="6" customWidth="1"/>
    <col min="2055" max="2055" width="9" style="6"/>
    <col min="2056" max="2056" width="11.453125" style="6" customWidth="1"/>
    <col min="2057" max="2058" width="9" style="6"/>
    <col min="2059" max="2059" width="23" style="6" bestFit="1" customWidth="1"/>
    <col min="2060" max="2060" width="10" style="6" customWidth="1"/>
    <col min="2061" max="2061" width="6.26953125" style="6" bestFit="1" customWidth="1"/>
    <col min="2062" max="2062" width="7.26953125" style="6" bestFit="1" customWidth="1"/>
    <col min="2063" max="2063" width="16.6328125" style="6" customWidth="1"/>
    <col min="2064" max="2064" width="7.26953125" style="6" bestFit="1" customWidth="1"/>
    <col min="2065" max="2065" width="16.6328125" style="6" customWidth="1"/>
    <col min="2066" max="2309" width="9" style="6"/>
    <col min="2310" max="2310" width="16.26953125" style="6" customWidth="1"/>
    <col min="2311" max="2311" width="9" style="6"/>
    <col min="2312" max="2312" width="11.453125" style="6" customWidth="1"/>
    <col min="2313" max="2314" width="9" style="6"/>
    <col min="2315" max="2315" width="23" style="6" bestFit="1" customWidth="1"/>
    <col min="2316" max="2316" width="10" style="6" customWidth="1"/>
    <col min="2317" max="2317" width="6.26953125" style="6" bestFit="1" customWidth="1"/>
    <col min="2318" max="2318" width="7.26953125" style="6" bestFit="1" customWidth="1"/>
    <col min="2319" max="2319" width="16.6328125" style="6" customWidth="1"/>
    <col min="2320" max="2320" width="7.26953125" style="6" bestFit="1" customWidth="1"/>
    <col min="2321" max="2321" width="16.6328125" style="6" customWidth="1"/>
    <col min="2322" max="2565" width="9" style="6"/>
    <col min="2566" max="2566" width="16.26953125" style="6" customWidth="1"/>
    <col min="2567" max="2567" width="9" style="6"/>
    <col min="2568" max="2568" width="11.453125" style="6" customWidth="1"/>
    <col min="2569" max="2570" width="9" style="6"/>
    <col min="2571" max="2571" width="23" style="6" bestFit="1" customWidth="1"/>
    <col min="2572" max="2572" width="10" style="6" customWidth="1"/>
    <col min="2573" max="2573" width="6.26953125" style="6" bestFit="1" customWidth="1"/>
    <col min="2574" max="2574" width="7.26953125" style="6" bestFit="1" customWidth="1"/>
    <col min="2575" max="2575" width="16.6328125" style="6" customWidth="1"/>
    <col min="2576" max="2576" width="7.26953125" style="6" bestFit="1" customWidth="1"/>
    <col min="2577" max="2577" width="16.6328125" style="6" customWidth="1"/>
    <col min="2578" max="2821" width="9" style="6"/>
    <col min="2822" max="2822" width="16.26953125" style="6" customWidth="1"/>
    <col min="2823" max="2823" width="9" style="6"/>
    <col min="2824" max="2824" width="11.453125" style="6" customWidth="1"/>
    <col min="2825" max="2826" width="9" style="6"/>
    <col min="2827" max="2827" width="23" style="6" bestFit="1" customWidth="1"/>
    <col min="2828" max="2828" width="10" style="6" customWidth="1"/>
    <col min="2829" max="2829" width="6.26953125" style="6" bestFit="1" customWidth="1"/>
    <col min="2830" max="2830" width="7.26953125" style="6" bestFit="1" customWidth="1"/>
    <col min="2831" max="2831" width="16.6328125" style="6" customWidth="1"/>
    <col min="2832" max="2832" width="7.26953125" style="6" bestFit="1" customWidth="1"/>
    <col min="2833" max="2833" width="16.6328125" style="6" customWidth="1"/>
    <col min="2834" max="3077" width="9" style="6"/>
    <col min="3078" max="3078" width="16.26953125" style="6" customWidth="1"/>
    <col min="3079" max="3079" width="9" style="6"/>
    <col min="3080" max="3080" width="11.453125" style="6" customWidth="1"/>
    <col min="3081" max="3082" width="9" style="6"/>
    <col min="3083" max="3083" width="23" style="6" bestFit="1" customWidth="1"/>
    <col min="3084" max="3084" width="10" style="6" customWidth="1"/>
    <col min="3085" max="3085" width="6.26953125" style="6" bestFit="1" customWidth="1"/>
    <col min="3086" max="3086" width="7.26953125" style="6" bestFit="1" customWidth="1"/>
    <col min="3087" max="3087" width="16.6328125" style="6" customWidth="1"/>
    <col min="3088" max="3088" width="7.26953125" style="6" bestFit="1" customWidth="1"/>
    <col min="3089" max="3089" width="16.6328125" style="6" customWidth="1"/>
    <col min="3090" max="3333" width="9" style="6"/>
    <col min="3334" max="3334" width="16.26953125" style="6" customWidth="1"/>
    <col min="3335" max="3335" width="9" style="6"/>
    <col min="3336" max="3336" width="11.453125" style="6" customWidth="1"/>
    <col min="3337" max="3338" width="9" style="6"/>
    <col min="3339" max="3339" width="23" style="6" bestFit="1" customWidth="1"/>
    <col min="3340" max="3340" width="10" style="6" customWidth="1"/>
    <col min="3341" max="3341" width="6.26953125" style="6" bestFit="1" customWidth="1"/>
    <col min="3342" max="3342" width="7.26953125" style="6" bestFit="1" customWidth="1"/>
    <col min="3343" max="3343" width="16.6328125" style="6" customWidth="1"/>
    <col min="3344" max="3344" width="7.26953125" style="6" bestFit="1" customWidth="1"/>
    <col min="3345" max="3345" width="16.6328125" style="6" customWidth="1"/>
    <col min="3346" max="3589" width="9" style="6"/>
    <col min="3590" max="3590" width="16.26953125" style="6" customWidth="1"/>
    <col min="3591" max="3591" width="9" style="6"/>
    <col min="3592" max="3592" width="11.453125" style="6" customWidth="1"/>
    <col min="3593" max="3594" width="9" style="6"/>
    <col min="3595" max="3595" width="23" style="6" bestFit="1" customWidth="1"/>
    <col min="3596" max="3596" width="10" style="6" customWidth="1"/>
    <col min="3597" max="3597" width="6.26953125" style="6" bestFit="1" customWidth="1"/>
    <col min="3598" max="3598" width="7.26953125" style="6" bestFit="1" customWidth="1"/>
    <col min="3599" max="3599" width="16.6328125" style="6" customWidth="1"/>
    <col min="3600" max="3600" width="7.26953125" style="6" bestFit="1" customWidth="1"/>
    <col min="3601" max="3601" width="16.6328125" style="6" customWidth="1"/>
    <col min="3602" max="3845" width="9" style="6"/>
    <col min="3846" max="3846" width="16.26953125" style="6" customWidth="1"/>
    <col min="3847" max="3847" width="9" style="6"/>
    <col min="3848" max="3848" width="11.453125" style="6" customWidth="1"/>
    <col min="3849" max="3850" width="9" style="6"/>
    <col min="3851" max="3851" width="23" style="6" bestFit="1" customWidth="1"/>
    <col min="3852" max="3852" width="10" style="6" customWidth="1"/>
    <col min="3853" max="3853" width="6.26953125" style="6" bestFit="1" customWidth="1"/>
    <col min="3854" max="3854" width="7.26953125" style="6" bestFit="1" customWidth="1"/>
    <col min="3855" max="3855" width="16.6328125" style="6" customWidth="1"/>
    <col min="3856" max="3856" width="7.26953125" style="6" bestFit="1" customWidth="1"/>
    <col min="3857" max="3857" width="16.6328125" style="6" customWidth="1"/>
    <col min="3858" max="4101" width="9" style="6"/>
    <col min="4102" max="4102" width="16.26953125" style="6" customWidth="1"/>
    <col min="4103" max="4103" width="9" style="6"/>
    <col min="4104" max="4104" width="11.453125" style="6" customWidth="1"/>
    <col min="4105" max="4106" width="9" style="6"/>
    <col min="4107" max="4107" width="23" style="6" bestFit="1" customWidth="1"/>
    <col min="4108" max="4108" width="10" style="6" customWidth="1"/>
    <col min="4109" max="4109" width="6.26953125" style="6" bestFit="1" customWidth="1"/>
    <col min="4110" max="4110" width="7.26953125" style="6" bestFit="1" customWidth="1"/>
    <col min="4111" max="4111" width="16.6328125" style="6" customWidth="1"/>
    <col min="4112" max="4112" width="7.26953125" style="6" bestFit="1" customWidth="1"/>
    <col min="4113" max="4113" width="16.6328125" style="6" customWidth="1"/>
    <col min="4114" max="4357" width="9" style="6"/>
    <col min="4358" max="4358" width="16.26953125" style="6" customWidth="1"/>
    <col min="4359" max="4359" width="9" style="6"/>
    <col min="4360" max="4360" width="11.453125" style="6" customWidth="1"/>
    <col min="4361" max="4362" width="9" style="6"/>
    <col min="4363" max="4363" width="23" style="6" bestFit="1" customWidth="1"/>
    <col min="4364" max="4364" width="10" style="6" customWidth="1"/>
    <col min="4365" max="4365" width="6.26953125" style="6" bestFit="1" customWidth="1"/>
    <col min="4366" max="4366" width="7.26953125" style="6" bestFit="1" customWidth="1"/>
    <col min="4367" max="4367" width="16.6328125" style="6" customWidth="1"/>
    <col min="4368" max="4368" width="7.26953125" style="6" bestFit="1" customWidth="1"/>
    <col min="4369" max="4369" width="16.6328125" style="6" customWidth="1"/>
    <col min="4370" max="4613" width="9" style="6"/>
    <col min="4614" max="4614" width="16.26953125" style="6" customWidth="1"/>
    <col min="4615" max="4615" width="9" style="6"/>
    <col min="4616" max="4616" width="11.453125" style="6" customWidth="1"/>
    <col min="4617" max="4618" width="9" style="6"/>
    <col min="4619" max="4619" width="23" style="6" bestFit="1" customWidth="1"/>
    <col min="4620" max="4620" width="10" style="6" customWidth="1"/>
    <col min="4621" max="4621" width="6.26953125" style="6" bestFit="1" customWidth="1"/>
    <col min="4622" max="4622" width="7.26953125" style="6" bestFit="1" customWidth="1"/>
    <col min="4623" max="4623" width="16.6328125" style="6" customWidth="1"/>
    <col min="4624" max="4624" width="7.26953125" style="6" bestFit="1" customWidth="1"/>
    <col min="4625" max="4625" width="16.6328125" style="6" customWidth="1"/>
    <col min="4626" max="4869" width="9" style="6"/>
    <col min="4870" max="4870" width="16.26953125" style="6" customWidth="1"/>
    <col min="4871" max="4871" width="9" style="6"/>
    <col min="4872" max="4872" width="11.453125" style="6" customWidth="1"/>
    <col min="4873" max="4874" width="9" style="6"/>
    <col min="4875" max="4875" width="23" style="6" bestFit="1" customWidth="1"/>
    <col min="4876" max="4876" width="10" style="6" customWidth="1"/>
    <col min="4877" max="4877" width="6.26953125" style="6" bestFit="1" customWidth="1"/>
    <col min="4878" max="4878" width="7.26953125" style="6" bestFit="1" customWidth="1"/>
    <col min="4879" max="4879" width="16.6328125" style="6" customWidth="1"/>
    <col min="4880" max="4880" width="7.26953125" style="6" bestFit="1" customWidth="1"/>
    <col min="4881" max="4881" width="16.6328125" style="6" customWidth="1"/>
    <col min="4882" max="5125" width="9" style="6"/>
    <col min="5126" max="5126" width="16.26953125" style="6" customWidth="1"/>
    <col min="5127" max="5127" width="9" style="6"/>
    <col min="5128" max="5128" width="11.453125" style="6" customWidth="1"/>
    <col min="5129" max="5130" width="9" style="6"/>
    <col min="5131" max="5131" width="23" style="6" bestFit="1" customWidth="1"/>
    <col min="5132" max="5132" width="10" style="6" customWidth="1"/>
    <col min="5133" max="5133" width="6.26953125" style="6" bestFit="1" customWidth="1"/>
    <col min="5134" max="5134" width="7.26953125" style="6" bestFit="1" customWidth="1"/>
    <col min="5135" max="5135" width="16.6328125" style="6" customWidth="1"/>
    <col min="5136" max="5136" width="7.26953125" style="6" bestFit="1" customWidth="1"/>
    <col min="5137" max="5137" width="16.6328125" style="6" customWidth="1"/>
    <col min="5138" max="5381" width="9" style="6"/>
    <col min="5382" max="5382" width="16.26953125" style="6" customWidth="1"/>
    <col min="5383" max="5383" width="9" style="6"/>
    <col min="5384" max="5384" width="11.453125" style="6" customWidth="1"/>
    <col min="5385" max="5386" width="9" style="6"/>
    <col min="5387" max="5387" width="23" style="6" bestFit="1" customWidth="1"/>
    <col min="5388" max="5388" width="10" style="6" customWidth="1"/>
    <col min="5389" max="5389" width="6.26953125" style="6" bestFit="1" customWidth="1"/>
    <col min="5390" max="5390" width="7.26953125" style="6" bestFit="1" customWidth="1"/>
    <col min="5391" max="5391" width="16.6328125" style="6" customWidth="1"/>
    <col min="5392" max="5392" width="7.26953125" style="6" bestFit="1" customWidth="1"/>
    <col min="5393" max="5393" width="16.6328125" style="6" customWidth="1"/>
    <col min="5394" max="5637" width="9" style="6"/>
    <col min="5638" max="5638" width="16.26953125" style="6" customWidth="1"/>
    <col min="5639" max="5639" width="9" style="6"/>
    <col min="5640" max="5640" width="11.453125" style="6" customWidth="1"/>
    <col min="5641" max="5642" width="9" style="6"/>
    <col min="5643" max="5643" width="23" style="6" bestFit="1" customWidth="1"/>
    <col min="5644" max="5644" width="10" style="6" customWidth="1"/>
    <col min="5645" max="5645" width="6.26953125" style="6" bestFit="1" customWidth="1"/>
    <col min="5646" max="5646" width="7.26953125" style="6" bestFit="1" customWidth="1"/>
    <col min="5647" max="5647" width="16.6328125" style="6" customWidth="1"/>
    <col min="5648" max="5648" width="7.26953125" style="6" bestFit="1" customWidth="1"/>
    <col min="5649" max="5649" width="16.6328125" style="6" customWidth="1"/>
    <col min="5650" max="5893" width="9" style="6"/>
    <col min="5894" max="5894" width="16.26953125" style="6" customWidth="1"/>
    <col min="5895" max="5895" width="9" style="6"/>
    <col min="5896" max="5896" width="11.453125" style="6" customWidth="1"/>
    <col min="5897" max="5898" width="9" style="6"/>
    <col min="5899" max="5899" width="23" style="6" bestFit="1" customWidth="1"/>
    <col min="5900" max="5900" width="10" style="6" customWidth="1"/>
    <col min="5901" max="5901" width="6.26953125" style="6" bestFit="1" customWidth="1"/>
    <col min="5902" max="5902" width="7.26953125" style="6" bestFit="1" customWidth="1"/>
    <col min="5903" max="5903" width="16.6328125" style="6" customWidth="1"/>
    <col min="5904" max="5904" width="7.26953125" style="6" bestFit="1" customWidth="1"/>
    <col min="5905" max="5905" width="16.6328125" style="6" customWidth="1"/>
    <col min="5906" max="6149" width="9" style="6"/>
    <col min="6150" max="6150" width="16.26953125" style="6" customWidth="1"/>
    <col min="6151" max="6151" width="9" style="6"/>
    <col min="6152" max="6152" width="11.453125" style="6" customWidth="1"/>
    <col min="6153" max="6154" width="9" style="6"/>
    <col min="6155" max="6155" width="23" style="6" bestFit="1" customWidth="1"/>
    <col min="6156" max="6156" width="10" style="6" customWidth="1"/>
    <col min="6157" max="6157" width="6.26953125" style="6" bestFit="1" customWidth="1"/>
    <col min="6158" max="6158" width="7.26953125" style="6" bestFit="1" customWidth="1"/>
    <col min="6159" max="6159" width="16.6328125" style="6" customWidth="1"/>
    <col min="6160" max="6160" width="7.26953125" style="6" bestFit="1" customWidth="1"/>
    <col min="6161" max="6161" width="16.6328125" style="6" customWidth="1"/>
    <col min="6162" max="6405" width="9" style="6"/>
    <col min="6406" max="6406" width="16.26953125" style="6" customWidth="1"/>
    <col min="6407" max="6407" width="9" style="6"/>
    <col min="6408" max="6408" width="11.453125" style="6" customWidth="1"/>
    <col min="6409" max="6410" width="9" style="6"/>
    <col min="6411" max="6411" width="23" style="6" bestFit="1" customWidth="1"/>
    <col min="6412" max="6412" width="10" style="6" customWidth="1"/>
    <col min="6413" max="6413" width="6.26953125" style="6" bestFit="1" customWidth="1"/>
    <col min="6414" max="6414" width="7.26953125" style="6" bestFit="1" customWidth="1"/>
    <col min="6415" max="6415" width="16.6328125" style="6" customWidth="1"/>
    <col min="6416" max="6416" width="7.26953125" style="6" bestFit="1" customWidth="1"/>
    <col min="6417" max="6417" width="16.6328125" style="6" customWidth="1"/>
    <col min="6418" max="6661" width="9" style="6"/>
    <col min="6662" max="6662" width="16.26953125" style="6" customWidth="1"/>
    <col min="6663" max="6663" width="9" style="6"/>
    <col min="6664" max="6664" width="11.453125" style="6" customWidth="1"/>
    <col min="6665" max="6666" width="9" style="6"/>
    <col min="6667" max="6667" width="23" style="6" bestFit="1" customWidth="1"/>
    <col min="6668" max="6668" width="10" style="6" customWidth="1"/>
    <col min="6669" max="6669" width="6.26953125" style="6" bestFit="1" customWidth="1"/>
    <col min="6670" max="6670" width="7.26953125" style="6" bestFit="1" customWidth="1"/>
    <col min="6671" max="6671" width="16.6328125" style="6" customWidth="1"/>
    <col min="6672" max="6672" width="7.26953125" style="6" bestFit="1" customWidth="1"/>
    <col min="6673" max="6673" width="16.6328125" style="6" customWidth="1"/>
    <col min="6674" max="6917" width="9" style="6"/>
    <col min="6918" max="6918" width="16.26953125" style="6" customWidth="1"/>
    <col min="6919" max="6919" width="9" style="6"/>
    <col min="6920" max="6920" width="11.453125" style="6" customWidth="1"/>
    <col min="6921" max="6922" width="9" style="6"/>
    <col min="6923" max="6923" width="23" style="6" bestFit="1" customWidth="1"/>
    <col min="6924" max="6924" width="10" style="6" customWidth="1"/>
    <col min="6925" max="6925" width="6.26953125" style="6" bestFit="1" customWidth="1"/>
    <col min="6926" max="6926" width="7.26953125" style="6" bestFit="1" customWidth="1"/>
    <col min="6927" max="6927" width="16.6328125" style="6" customWidth="1"/>
    <col min="6928" max="6928" width="7.26953125" style="6" bestFit="1" customWidth="1"/>
    <col min="6929" max="6929" width="16.6328125" style="6" customWidth="1"/>
    <col min="6930" max="7173" width="9" style="6"/>
    <col min="7174" max="7174" width="16.26953125" style="6" customWidth="1"/>
    <col min="7175" max="7175" width="9" style="6"/>
    <col min="7176" max="7176" width="11.453125" style="6" customWidth="1"/>
    <col min="7177" max="7178" width="9" style="6"/>
    <col min="7179" max="7179" width="23" style="6" bestFit="1" customWidth="1"/>
    <col min="7180" max="7180" width="10" style="6" customWidth="1"/>
    <col min="7181" max="7181" width="6.26953125" style="6" bestFit="1" customWidth="1"/>
    <col min="7182" max="7182" width="7.26953125" style="6" bestFit="1" customWidth="1"/>
    <col min="7183" max="7183" width="16.6328125" style="6" customWidth="1"/>
    <col min="7184" max="7184" width="7.26953125" style="6" bestFit="1" customWidth="1"/>
    <col min="7185" max="7185" width="16.6328125" style="6" customWidth="1"/>
    <col min="7186" max="7429" width="9" style="6"/>
    <col min="7430" max="7430" width="16.26953125" style="6" customWidth="1"/>
    <col min="7431" max="7431" width="9" style="6"/>
    <col min="7432" max="7432" width="11.453125" style="6" customWidth="1"/>
    <col min="7433" max="7434" width="9" style="6"/>
    <col min="7435" max="7435" width="23" style="6" bestFit="1" customWidth="1"/>
    <col min="7436" max="7436" width="10" style="6" customWidth="1"/>
    <col min="7437" max="7437" width="6.26953125" style="6" bestFit="1" customWidth="1"/>
    <col min="7438" max="7438" width="7.26953125" style="6" bestFit="1" customWidth="1"/>
    <col min="7439" max="7439" width="16.6328125" style="6" customWidth="1"/>
    <col min="7440" max="7440" width="7.26953125" style="6" bestFit="1" customWidth="1"/>
    <col min="7441" max="7441" width="16.6328125" style="6" customWidth="1"/>
    <col min="7442" max="7685" width="9" style="6"/>
    <col min="7686" max="7686" width="16.26953125" style="6" customWidth="1"/>
    <col min="7687" max="7687" width="9" style="6"/>
    <col min="7688" max="7688" width="11.453125" style="6" customWidth="1"/>
    <col min="7689" max="7690" width="9" style="6"/>
    <col min="7691" max="7691" width="23" style="6" bestFit="1" customWidth="1"/>
    <col min="7692" max="7692" width="10" style="6" customWidth="1"/>
    <col min="7693" max="7693" width="6.26953125" style="6" bestFit="1" customWidth="1"/>
    <col min="7694" max="7694" width="7.26953125" style="6" bestFit="1" customWidth="1"/>
    <col min="7695" max="7695" width="16.6328125" style="6" customWidth="1"/>
    <col min="7696" max="7696" width="7.26953125" style="6" bestFit="1" customWidth="1"/>
    <col min="7697" max="7697" width="16.6328125" style="6" customWidth="1"/>
    <col min="7698" max="7941" width="9" style="6"/>
    <col min="7942" max="7942" width="16.26953125" style="6" customWidth="1"/>
    <col min="7943" max="7943" width="9" style="6"/>
    <col min="7944" max="7944" width="11.453125" style="6" customWidth="1"/>
    <col min="7945" max="7946" width="9" style="6"/>
    <col min="7947" max="7947" width="23" style="6" bestFit="1" customWidth="1"/>
    <col min="7948" max="7948" width="10" style="6" customWidth="1"/>
    <col min="7949" max="7949" width="6.26953125" style="6" bestFit="1" customWidth="1"/>
    <col min="7950" max="7950" width="7.26953125" style="6" bestFit="1" customWidth="1"/>
    <col min="7951" max="7951" width="16.6328125" style="6" customWidth="1"/>
    <col min="7952" max="7952" width="7.26953125" style="6" bestFit="1" customWidth="1"/>
    <col min="7953" max="7953" width="16.6328125" style="6" customWidth="1"/>
    <col min="7954" max="8197" width="9" style="6"/>
    <col min="8198" max="8198" width="16.26953125" style="6" customWidth="1"/>
    <col min="8199" max="8199" width="9" style="6"/>
    <col min="8200" max="8200" width="11.453125" style="6" customWidth="1"/>
    <col min="8201" max="8202" width="9" style="6"/>
    <col min="8203" max="8203" width="23" style="6" bestFit="1" customWidth="1"/>
    <col min="8204" max="8204" width="10" style="6" customWidth="1"/>
    <col min="8205" max="8205" width="6.26953125" style="6" bestFit="1" customWidth="1"/>
    <col min="8206" max="8206" width="7.26953125" style="6" bestFit="1" customWidth="1"/>
    <col min="8207" max="8207" width="16.6328125" style="6" customWidth="1"/>
    <col min="8208" max="8208" width="7.26953125" style="6" bestFit="1" customWidth="1"/>
    <col min="8209" max="8209" width="16.6328125" style="6" customWidth="1"/>
    <col min="8210" max="8453" width="9" style="6"/>
    <col min="8454" max="8454" width="16.26953125" style="6" customWidth="1"/>
    <col min="8455" max="8455" width="9" style="6"/>
    <col min="8456" max="8456" width="11.453125" style="6" customWidth="1"/>
    <col min="8457" max="8458" width="9" style="6"/>
    <col min="8459" max="8459" width="23" style="6" bestFit="1" customWidth="1"/>
    <col min="8460" max="8460" width="10" style="6" customWidth="1"/>
    <col min="8461" max="8461" width="6.26953125" style="6" bestFit="1" customWidth="1"/>
    <col min="8462" max="8462" width="7.26953125" style="6" bestFit="1" customWidth="1"/>
    <col min="8463" max="8463" width="16.6328125" style="6" customWidth="1"/>
    <col min="8464" max="8464" width="7.26953125" style="6" bestFit="1" customWidth="1"/>
    <col min="8465" max="8465" width="16.6328125" style="6" customWidth="1"/>
    <col min="8466" max="8709" width="9" style="6"/>
    <col min="8710" max="8710" width="16.26953125" style="6" customWidth="1"/>
    <col min="8711" max="8711" width="9" style="6"/>
    <col min="8712" max="8712" width="11.453125" style="6" customWidth="1"/>
    <col min="8713" max="8714" width="9" style="6"/>
    <col min="8715" max="8715" width="23" style="6" bestFit="1" customWidth="1"/>
    <col min="8716" max="8716" width="10" style="6" customWidth="1"/>
    <col min="8717" max="8717" width="6.26953125" style="6" bestFit="1" customWidth="1"/>
    <col min="8718" max="8718" width="7.26953125" style="6" bestFit="1" customWidth="1"/>
    <col min="8719" max="8719" width="16.6328125" style="6" customWidth="1"/>
    <col min="8720" max="8720" width="7.26953125" style="6" bestFit="1" customWidth="1"/>
    <col min="8721" max="8721" width="16.6328125" style="6" customWidth="1"/>
    <col min="8722" max="8965" width="9" style="6"/>
    <col min="8966" max="8966" width="16.26953125" style="6" customWidth="1"/>
    <col min="8967" max="8967" width="9" style="6"/>
    <col min="8968" max="8968" width="11.453125" style="6" customWidth="1"/>
    <col min="8969" max="8970" width="9" style="6"/>
    <col min="8971" max="8971" width="23" style="6" bestFit="1" customWidth="1"/>
    <col min="8972" max="8972" width="10" style="6" customWidth="1"/>
    <col min="8973" max="8973" width="6.26953125" style="6" bestFit="1" customWidth="1"/>
    <col min="8974" max="8974" width="7.26953125" style="6" bestFit="1" customWidth="1"/>
    <col min="8975" max="8975" width="16.6328125" style="6" customWidth="1"/>
    <col min="8976" max="8976" width="7.26953125" style="6" bestFit="1" customWidth="1"/>
    <col min="8977" max="8977" width="16.6328125" style="6" customWidth="1"/>
    <col min="8978" max="9221" width="9" style="6"/>
    <col min="9222" max="9222" width="16.26953125" style="6" customWidth="1"/>
    <col min="9223" max="9223" width="9" style="6"/>
    <col min="9224" max="9224" width="11.453125" style="6" customWidth="1"/>
    <col min="9225" max="9226" width="9" style="6"/>
    <col min="9227" max="9227" width="23" style="6" bestFit="1" customWidth="1"/>
    <col min="9228" max="9228" width="10" style="6" customWidth="1"/>
    <col min="9229" max="9229" width="6.26953125" style="6" bestFit="1" customWidth="1"/>
    <col min="9230" max="9230" width="7.26953125" style="6" bestFit="1" customWidth="1"/>
    <col min="9231" max="9231" width="16.6328125" style="6" customWidth="1"/>
    <col min="9232" max="9232" width="7.26953125" style="6" bestFit="1" customWidth="1"/>
    <col min="9233" max="9233" width="16.6328125" style="6" customWidth="1"/>
    <col min="9234" max="9477" width="9" style="6"/>
    <col min="9478" max="9478" width="16.26953125" style="6" customWidth="1"/>
    <col min="9479" max="9479" width="9" style="6"/>
    <col min="9480" max="9480" width="11.453125" style="6" customWidth="1"/>
    <col min="9481" max="9482" width="9" style="6"/>
    <col min="9483" max="9483" width="23" style="6" bestFit="1" customWidth="1"/>
    <col min="9484" max="9484" width="10" style="6" customWidth="1"/>
    <col min="9485" max="9485" width="6.26953125" style="6" bestFit="1" customWidth="1"/>
    <col min="9486" max="9486" width="7.26953125" style="6" bestFit="1" customWidth="1"/>
    <col min="9487" max="9487" width="16.6328125" style="6" customWidth="1"/>
    <col min="9488" max="9488" width="7.26953125" style="6" bestFit="1" customWidth="1"/>
    <col min="9489" max="9489" width="16.6328125" style="6" customWidth="1"/>
    <col min="9490" max="9733" width="9" style="6"/>
    <col min="9734" max="9734" width="16.26953125" style="6" customWidth="1"/>
    <col min="9735" max="9735" width="9" style="6"/>
    <col min="9736" max="9736" width="11.453125" style="6" customWidth="1"/>
    <col min="9737" max="9738" width="9" style="6"/>
    <col min="9739" max="9739" width="23" style="6" bestFit="1" customWidth="1"/>
    <col min="9740" max="9740" width="10" style="6" customWidth="1"/>
    <col min="9741" max="9741" width="6.26953125" style="6" bestFit="1" customWidth="1"/>
    <col min="9742" max="9742" width="7.26953125" style="6" bestFit="1" customWidth="1"/>
    <col min="9743" max="9743" width="16.6328125" style="6" customWidth="1"/>
    <col min="9744" max="9744" width="7.26953125" style="6" bestFit="1" customWidth="1"/>
    <col min="9745" max="9745" width="16.6328125" style="6" customWidth="1"/>
    <col min="9746" max="9989" width="9" style="6"/>
    <col min="9990" max="9990" width="16.26953125" style="6" customWidth="1"/>
    <col min="9991" max="9991" width="9" style="6"/>
    <col min="9992" max="9992" width="11.453125" style="6" customWidth="1"/>
    <col min="9993" max="9994" width="9" style="6"/>
    <col min="9995" max="9995" width="23" style="6" bestFit="1" customWidth="1"/>
    <col min="9996" max="9996" width="10" style="6" customWidth="1"/>
    <col min="9997" max="9997" width="6.26953125" style="6" bestFit="1" customWidth="1"/>
    <col min="9998" max="9998" width="7.26953125" style="6" bestFit="1" customWidth="1"/>
    <col min="9999" max="9999" width="16.6328125" style="6" customWidth="1"/>
    <col min="10000" max="10000" width="7.26953125" style="6" bestFit="1" customWidth="1"/>
    <col min="10001" max="10001" width="16.6328125" style="6" customWidth="1"/>
    <col min="10002" max="10245" width="9" style="6"/>
    <col min="10246" max="10246" width="16.26953125" style="6" customWidth="1"/>
    <col min="10247" max="10247" width="9" style="6"/>
    <col min="10248" max="10248" width="11.453125" style="6" customWidth="1"/>
    <col min="10249" max="10250" width="9" style="6"/>
    <col min="10251" max="10251" width="23" style="6" bestFit="1" customWidth="1"/>
    <col min="10252" max="10252" width="10" style="6" customWidth="1"/>
    <col min="10253" max="10253" width="6.26953125" style="6" bestFit="1" customWidth="1"/>
    <col min="10254" max="10254" width="7.26953125" style="6" bestFit="1" customWidth="1"/>
    <col min="10255" max="10255" width="16.6328125" style="6" customWidth="1"/>
    <col min="10256" max="10256" width="7.26953125" style="6" bestFit="1" customWidth="1"/>
    <col min="10257" max="10257" width="16.6328125" style="6" customWidth="1"/>
    <col min="10258" max="10501" width="9" style="6"/>
    <col min="10502" max="10502" width="16.26953125" style="6" customWidth="1"/>
    <col min="10503" max="10503" width="9" style="6"/>
    <col min="10504" max="10504" width="11.453125" style="6" customWidth="1"/>
    <col min="10505" max="10506" width="9" style="6"/>
    <col min="10507" max="10507" width="23" style="6" bestFit="1" customWidth="1"/>
    <col min="10508" max="10508" width="10" style="6" customWidth="1"/>
    <col min="10509" max="10509" width="6.26953125" style="6" bestFit="1" customWidth="1"/>
    <col min="10510" max="10510" width="7.26953125" style="6" bestFit="1" customWidth="1"/>
    <col min="10511" max="10511" width="16.6328125" style="6" customWidth="1"/>
    <col min="10512" max="10512" width="7.26953125" style="6" bestFit="1" customWidth="1"/>
    <col min="10513" max="10513" width="16.6328125" style="6" customWidth="1"/>
    <col min="10514" max="10757" width="9" style="6"/>
    <col min="10758" max="10758" width="16.26953125" style="6" customWidth="1"/>
    <col min="10759" max="10759" width="9" style="6"/>
    <col min="10760" max="10760" width="11.453125" style="6" customWidth="1"/>
    <col min="10761" max="10762" width="9" style="6"/>
    <col min="10763" max="10763" width="23" style="6" bestFit="1" customWidth="1"/>
    <col min="10764" max="10764" width="10" style="6" customWidth="1"/>
    <col min="10765" max="10765" width="6.26953125" style="6" bestFit="1" customWidth="1"/>
    <col min="10766" max="10766" width="7.26953125" style="6" bestFit="1" customWidth="1"/>
    <col min="10767" max="10767" width="16.6328125" style="6" customWidth="1"/>
    <col min="10768" max="10768" width="7.26953125" style="6" bestFit="1" customWidth="1"/>
    <col min="10769" max="10769" width="16.6328125" style="6" customWidth="1"/>
    <col min="10770" max="11013" width="9" style="6"/>
    <col min="11014" max="11014" width="16.26953125" style="6" customWidth="1"/>
    <col min="11015" max="11015" width="9" style="6"/>
    <col min="11016" max="11016" width="11.453125" style="6" customWidth="1"/>
    <col min="11017" max="11018" width="9" style="6"/>
    <col min="11019" max="11019" width="23" style="6" bestFit="1" customWidth="1"/>
    <col min="11020" max="11020" width="10" style="6" customWidth="1"/>
    <col min="11021" max="11021" width="6.26953125" style="6" bestFit="1" customWidth="1"/>
    <col min="11022" max="11022" width="7.26953125" style="6" bestFit="1" customWidth="1"/>
    <col min="11023" max="11023" width="16.6328125" style="6" customWidth="1"/>
    <col min="11024" max="11024" width="7.26953125" style="6" bestFit="1" customWidth="1"/>
    <col min="11025" max="11025" width="16.6328125" style="6" customWidth="1"/>
    <col min="11026" max="11269" width="9" style="6"/>
    <col min="11270" max="11270" width="16.26953125" style="6" customWidth="1"/>
    <col min="11271" max="11271" width="9" style="6"/>
    <col min="11272" max="11272" width="11.453125" style="6" customWidth="1"/>
    <col min="11273" max="11274" width="9" style="6"/>
    <col min="11275" max="11275" width="23" style="6" bestFit="1" customWidth="1"/>
    <col min="11276" max="11276" width="10" style="6" customWidth="1"/>
    <col min="11277" max="11277" width="6.26953125" style="6" bestFit="1" customWidth="1"/>
    <col min="11278" max="11278" width="7.26953125" style="6" bestFit="1" customWidth="1"/>
    <col min="11279" max="11279" width="16.6328125" style="6" customWidth="1"/>
    <col min="11280" max="11280" width="7.26953125" style="6" bestFit="1" customWidth="1"/>
    <col min="11281" max="11281" width="16.6328125" style="6" customWidth="1"/>
    <col min="11282" max="11525" width="9" style="6"/>
    <col min="11526" max="11526" width="16.26953125" style="6" customWidth="1"/>
    <col min="11527" max="11527" width="9" style="6"/>
    <col min="11528" max="11528" width="11.453125" style="6" customWidth="1"/>
    <col min="11529" max="11530" width="9" style="6"/>
    <col min="11531" max="11531" width="23" style="6" bestFit="1" customWidth="1"/>
    <col min="11532" max="11532" width="10" style="6" customWidth="1"/>
    <col min="11533" max="11533" width="6.26953125" style="6" bestFit="1" customWidth="1"/>
    <col min="11534" max="11534" width="7.26953125" style="6" bestFit="1" customWidth="1"/>
    <col min="11535" max="11535" width="16.6328125" style="6" customWidth="1"/>
    <col min="11536" max="11536" width="7.26953125" style="6" bestFit="1" customWidth="1"/>
    <col min="11537" max="11537" width="16.6328125" style="6" customWidth="1"/>
    <col min="11538" max="11781" width="9" style="6"/>
    <col min="11782" max="11782" width="16.26953125" style="6" customWidth="1"/>
    <col min="11783" max="11783" width="9" style="6"/>
    <col min="11784" max="11784" width="11.453125" style="6" customWidth="1"/>
    <col min="11785" max="11786" width="9" style="6"/>
    <col min="11787" max="11787" width="23" style="6" bestFit="1" customWidth="1"/>
    <col min="11788" max="11788" width="10" style="6" customWidth="1"/>
    <col min="11789" max="11789" width="6.26953125" style="6" bestFit="1" customWidth="1"/>
    <col min="11790" max="11790" width="7.26953125" style="6" bestFit="1" customWidth="1"/>
    <col min="11791" max="11791" width="16.6328125" style="6" customWidth="1"/>
    <col min="11792" max="11792" width="7.26953125" style="6" bestFit="1" customWidth="1"/>
    <col min="11793" max="11793" width="16.6328125" style="6" customWidth="1"/>
    <col min="11794" max="12037" width="9" style="6"/>
    <col min="12038" max="12038" width="16.26953125" style="6" customWidth="1"/>
    <col min="12039" max="12039" width="9" style="6"/>
    <col min="12040" max="12040" width="11.453125" style="6" customWidth="1"/>
    <col min="12041" max="12042" width="9" style="6"/>
    <col min="12043" max="12043" width="23" style="6" bestFit="1" customWidth="1"/>
    <col min="12044" max="12044" width="10" style="6" customWidth="1"/>
    <col min="12045" max="12045" width="6.26953125" style="6" bestFit="1" customWidth="1"/>
    <col min="12046" max="12046" width="7.26953125" style="6" bestFit="1" customWidth="1"/>
    <col min="12047" max="12047" width="16.6328125" style="6" customWidth="1"/>
    <col min="12048" max="12048" width="7.26953125" style="6" bestFit="1" customWidth="1"/>
    <col min="12049" max="12049" width="16.6328125" style="6" customWidth="1"/>
    <col min="12050" max="12293" width="9" style="6"/>
    <col min="12294" max="12294" width="16.26953125" style="6" customWidth="1"/>
    <col min="12295" max="12295" width="9" style="6"/>
    <col min="12296" max="12296" width="11.453125" style="6" customWidth="1"/>
    <col min="12297" max="12298" width="9" style="6"/>
    <col min="12299" max="12299" width="23" style="6" bestFit="1" customWidth="1"/>
    <col min="12300" max="12300" width="10" style="6" customWidth="1"/>
    <col min="12301" max="12301" width="6.26953125" style="6" bestFit="1" customWidth="1"/>
    <col min="12302" max="12302" width="7.26953125" style="6" bestFit="1" customWidth="1"/>
    <col min="12303" max="12303" width="16.6328125" style="6" customWidth="1"/>
    <col min="12304" max="12304" width="7.26953125" style="6" bestFit="1" customWidth="1"/>
    <col min="12305" max="12305" width="16.6328125" style="6" customWidth="1"/>
    <col min="12306" max="12549" width="9" style="6"/>
    <col min="12550" max="12550" width="16.26953125" style="6" customWidth="1"/>
    <col min="12551" max="12551" width="9" style="6"/>
    <col min="12552" max="12552" width="11.453125" style="6" customWidth="1"/>
    <col min="12553" max="12554" width="9" style="6"/>
    <col min="12555" max="12555" width="23" style="6" bestFit="1" customWidth="1"/>
    <col min="12556" max="12556" width="10" style="6" customWidth="1"/>
    <col min="12557" max="12557" width="6.26953125" style="6" bestFit="1" customWidth="1"/>
    <col min="12558" max="12558" width="7.26953125" style="6" bestFit="1" customWidth="1"/>
    <col min="12559" max="12559" width="16.6328125" style="6" customWidth="1"/>
    <col min="12560" max="12560" width="7.26953125" style="6" bestFit="1" customWidth="1"/>
    <col min="12561" max="12561" width="16.6328125" style="6" customWidth="1"/>
    <col min="12562" max="12805" width="9" style="6"/>
    <col min="12806" max="12806" width="16.26953125" style="6" customWidth="1"/>
    <col min="12807" max="12807" width="9" style="6"/>
    <col min="12808" max="12808" width="11.453125" style="6" customWidth="1"/>
    <col min="12809" max="12810" width="9" style="6"/>
    <col min="12811" max="12811" width="23" style="6" bestFit="1" customWidth="1"/>
    <col min="12812" max="12812" width="10" style="6" customWidth="1"/>
    <col min="12813" max="12813" width="6.26953125" style="6" bestFit="1" customWidth="1"/>
    <col min="12814" max="12814" width="7.26953125" style="6" bestFit="1" customWidth="1"/>
    <col min="12815" max="12815" width="16.6328125" style="6" customWidth="1"/>
    <col min="12816" max="12816" width="7.26953125" style="6" bestFit="1" customWidth="1"/>
    <col min="12817" max="12817" width="16.6328125" style="6" customWidth="1"/>
    <col min="12818" max="13061" width="9" style="6"/>
    <col min="13062" max="13062" width="16.26953125" style="6" customWidth="1"/>
    <col min="13063" max="13063" width="9" style="6"/>
    <col min="13064" max="13064" width="11.453125" style="6" customWidth="1"/>
    <col min="13065" max="13066" width="9" style="6"/>
    <col min="13067" max="13067" width="23" style="6" bestFit="1" customWidth="1"/>
    <col min="13068" max="13068" width="10" style="6" customWidth="1"/>
    <col min="13069" max="13069" width="6.26953125" style="6" bestFit="1" customWidth="1"/>
    <col min="13070" max="13070" width="7.26953125" style="6" bestFit="1" customWidth="1"/>
    <col min="13071" max="13071" width="16.6328125" style="6" customWidth="1"/>
    <col min="13072" max="13072" width="7.26953125" style="6" bestFit="1" customWidth="1"/>
    <col min="13073" max="13073" width="16.6328125" style="6" customWidth="1"/>
    <col min="13074" max="13317" width="9" style="6"/>
    <col min="13318" max="13318" width="16.26953125" style="6" customWidth="1"/>
    <col min="13319" max="13319" width="9" style="6"/>
    <col min="13320" max="13320" width="11.453125" style="6" customWidth="1"/>
    <col min="13321" max="13322" width="9" style="6"/>
    <col min="13323" max="13323" width="23" style="6" bestFit="1" customWidth="1"/>
    <col min="13324" max="13324" width="10" style="6" customWidth="1"/>
    <col min="13325" max="13325" width="6.26953125" style="6" bestFit="1" customWidth="1"/>
    <col min="13326" max="13326" width="7.26953125" style="6" bestFit="1" customWidth="1"/>
    <col min="13327" max="13327" width="16.6328125" style="6" customWidth="1"/>
    <col min="13328" max="13328" width="7.26953125" style="6" bestFit="1" customWidth="1"/>
    <col min="13329" max="13329" width="16.6328125" style="6" customWidth="1"/>
    <col min="13330" max="13573" width="9" style="6"/>
    <col min="13574" max="13574" width="16.26953125" style="6" customWidth="1"/>
    <col min="13575" max="13575" width="9" style="6"/>
    <col min="13576" max="13576" width="11.453125" style="6" customWidth="1"/>
    <col min="13577" max="13578" width="9" style="6"/>
    <col min="13579" max="13579" width="23" style="6" bestFit="1" customWidth="1"/>
    <col min="13580" max="13580" width="10" style="6" customWidth="1"/>
    <col min="13581" max="13581" width="6.26953125" style="6" bestFit="1" customWidth="1"/>
    <col min="13582" max="13582" width="7.26953125" style="6" bestFit="1" customWidth="1"/>
    <col min="13583" max="13583" width="16.6328125" style="6" customWidth="1"/>
    <col min="13584" max="13584" width="7.26953125" style="6" bestFit="1" customWidth="1"/>
    <col min="13585" max="13585" width="16.6328125" style="6" customWidth="1"/>
    <col min="13586" max="13829" width="9" style="6"/>
    <col min="13830" max="13830" width="16.26953125" style="6" customWidth="1"/>
    <col min="13831" max="13831" width="9" style="6"/>
    <col min="13832" max="13832" width="11.453125" style="6" customWidth="1"/>
    <col min="13833" max="13834" width="9" style="6"/>
    <col min="13835" max="13835" width="23" style="6" bestFit="1" customWidth="1"/>
    <col min="13836" max="13836" width="10" style="6" customWidth="1"/>
    <col min="13837" max="13837" width="6.26953125" style="6" bestFit="1" customWidth="1"/>
    <col min="13838" max="13838" width="7.26953125" style="6" bestFit="1" customWidth="1"/>
    <col min="13839" max="13839" width="16.6328125" style="6" customWidth="1"/>
    <col min="13840" max="13840" width="7.26953125" style="6" bestFit="1" customWidth="1"/>
    <col min="13841" max="13841" width="16.6328125" style="6" customWidth="1"/>
    <col min="13842" max="14085" width="9" style="6"/>
    <col min="14086" max="14086" width="16.26953125" style="6" customWidth="1"/>
    <col min="14087" max="14087" width="9" style="6"/>
    <col min="14088" max="14088" width="11.453125" style="6" customWidth="1"/>
    <col min="14089" max="14090" width="9" style="6"/>
    <col min="14091" max="14091" width="23" style="6" bestFit="1" customWidth="1"/>
    <col min="14092" max="14092" width="10" style="6" customWidth="1"/>
    <col min="14093" max="14093" width="6.26953125" style="6" bestFit="1" customWidth="1"/>
    <col min="14094" max="14094" width="7.26953125" style="6" bestFit="1" customWidth="1"/>
    <col min="14095" max="14095" width="16.6328125" style="6" customWidth="1"/>
    <col min="14096" max="14096" width="7.26953125" style="6" bestFit="1" customWidth="1"/>
    <col min="14097" max="14097" width="16.6328125" style="6" customWidth="1"/>
    <col min="14098" max="14341" width="9" style="6"/>
    <col min="14342" max="14342" width="16.26953125" style="6" customWidth="1"/>
    <col min="14343" max="14343" width="9" style="6"/>
    <col min="14344" max="14344" width="11.453125" style="6" customWidth="1"/>
    <col min="14345" max="14346" width="9" style="6"/>
    <col min="14347" max="14347" width="23" style="6" bestFit="1" customWidth="1"/>
    <col min="14348" max="14348" width="10" style="6" customWidth="1"/>
    <col min="14349" max="14349" width="6.26953125" style="6" bestFit="1" customWidth="1"/>
    <col min="14350" max="14350" width="7.26953125" style="6" bestFit="1" customWidth="1"/>
    <col min="14351" max="14351" width="16.6328125" style="6" customWidth="1"/>
    <col min="14352" max="14352" width="7.26953125" style="6" bestFit="1" customWidth="1"/>
    <col min="14353" max="14353" width="16.6328125" style="6" customWidth="1"/>
    <col min="14354" max="14597" width="9" style="6"/>
    <col min="14598" max="14598" width="16.26953125" style="6" customWidth="1"/>
    <col min="14599" max="14599" width="9" style="6"/>
    <col min="14600" max="14600" width="11.453125" style="6" customWidth="1"/>
    <col min="14601" max="14602" width="9" style="6"/>
    <col min="14603" max="14603" width="23" style="6" bestFit="1" customWidth="1"/>
    <col min="14604" max="14604" width="10" style="6" customWidth="1"/>
    <col min="14605" max="14605" width="6.26953125" style="6" bestFit="1" customWidth="1"/>
    <col min="14606" max="14606" width="7.26953125" style="6" bestFit="1" customWidth="1"/>
    <col min="14607" max="14607" width="16.6328125" style="6" customWidth="1"/>
    <col min="14608" max="14608" width="7.26953125" style="6" bestFit="1" customWidth="1"/>
    <col min="14609" max="14609" width="16.6328125" style="6" customWidth="1"/>
    <col min="14610" max="14853" width="9" style="6"/>
    <col min="14854" max="14854" width="16.26953125" style="6" customWidth="1"/>
    <col min="14855" max="14855" width="9" style="6"/>
    <col min="14856" max="14856" width="11.453125" style="6" customWidth="1"/>
    <col min="14857" max="14858" width="9" style="6"/>
    <col min="14859" max="14859" width="23" style="6" bestFit="1" customWidth="1"/>
    <col min="14860" max="14860" width="10" style="6" customWidth="1"/>
    <col min="14861" max="14861" width="6.26953125" style="6" bestFit="1" customWidth="1"/>
    <col min="14862" max="14862" width="7.26953125" style="6" bestFit="1" customWidth="1"/>
    <col min="14863" max="14863" width="16.6328125" style="6" customWidth="1"/>
    <col min="14864" max="14864" width="7.26953125" style="6" bestFit="1" customWidth="1"/>
    <col min="14865" max="14865" width="16.6328125" style="6" customWidth="1"/>
    <col min="14866" max="15109" width="9" style="6"/>
    <col min="15110" max="15110" width="16.26953125" style="6" customWidth="1"/>
    <col min="15111" max="15111" width="9" style="6"/>
    <col min="15112" max="15112" width="11.453125" style="6" customWidth="1"/>
    <col min="15113" max="15114" width="9" style="6"/>
    <col min="15115" max="15115" width="23" style="6" bestFit="1" customWidth="1"/>
    <col min="15116" max="15116" width="10" style="6" customWidth="1"/>
    <col min="15117" max="15117" width="6.26953125" style="6" bestFit="1" customWidth="1"/>
    <col min="15118" max="15118" width="7.26953125" style="6" bestFit="1" customWidth="1"/>
    <col min="15119" max="15119" width="16.6328125" style="6" customWidth="1"/>
    <col min="15120" max="15120" width="7.26953125" style="6" bestFit="1" customWidth="1"/>
    <col min="15121" max="15121" width="16.6328125" style="6" customWidth="1"/>
    <col min="15122" max="15365" width="9" style="6"/>
    <col min="15366" max="15366" width="16.26953125" style="6" customWidth="1"/>
    <col min="15367" max="15367" width="9" style="6"/>
    <col min="15368" max="15368" width="11.453125" style="6" customWidth="1"/>
    <col min="15369" max="15370" width="9" style="6"/>
    <col min="15371" max="15371" width="23" style="6" bestFit="1" customWidth="1"/>
    <col min="15372" max="15372" width="10" style="6" customWidth="1"/>
    <col min="15373" max="15373" width="6.26953125" style="6" bestFit="1" customWidth="1"/>
    <col min="15374" max="15374" width="7.26953125" style="6" bestFit="1" customWidth="1"/>
    <col min="15375" max="15375" width="16.6328125" style="6" customWidth="1"/>
    <col min="15376" max="15376" width="7.26953125" style="6" bestFit="1" customWidth="1"/>
    <col min="15377" max="15377" width="16.6328125" style="6" customWidth="1"/>
    <col min="15378" max="15621" width="9" style="6"/>
    <col min="15622" max="15622" width="16.26953125" style="6" customWidth="1"/>
    <col min="15623" max="15623" width="9" style="6"/>
    <col min="15624" max="15624" width="11.453125" style="6" customWidth="1"/>
    <col min="15625" max="15626" width="9" style="6"/>
    <col min="15627" max="15627" width="23" style="6" bestFit="1" customWidth="1"/>
    <col min="15628" max="15628" width="10" style="6" customWidth="1"/>
    <col min="15629" max="15629" width="6.26953125" style="6" bestFit="1" customWidth="1"/>
    <col min="15630" max="15630" width="7.26953125" style="6" bestFit="1" customWidth="1"/>
    <col min="15631" max="15631" width="16.6328125" style="6" customWidth="1"/>
    <col min="15632" max="15632" width="7.26953125" style="6" bestFit="1" customWidth="1"/>
    <col min="15633" max="15633" width="16.6328125" style="6" customWidth="1"/>
    <col min="15634" max="15877" width="9" style="6"/>
    <col min="15878" max="15878" width="16.26953125" style="6" customWidth="1"/>
    <col min="15879" max="15879" width="9" style="6"/>
    <col min="15880" max="15880" width="11.453125" style="6" customWidth="1"/>
    <col min="15881" max="15882" width="9" style="6"/>
    <col min="15883" max="15883" width="23" style="6" bestFit="1" customWidth="1"/>
    <col min="15884" max="15884" width="10" style="6" customWidth="1"/>
    <col min="15885" max="15885" width="6.26953125" style="6" bestFit="1" customWidth="1"/>
    <col min="15886" max="15886" width="7.26953125" style="6" bestFit="1" customWidth="1"/>
    <col min="15887" max="15887" width="16.6328125" style="6" customWidth="1"/>
    <col min="15888" max="15888" width="7.26953125" style="6" bestFit="1" customWidth="1"/>
    <col min="15889" max="15889" width="16.6328125" style="6" customWidth="1"/>
    <col min="15890" max="16133" width="9" style="6"/>
    <col min="16134" max="16134" width="16.26953125" style="6" customWidth="1"/>
    <col min="16135" max="16135" width="9" style="6"/>
    <col min="16136" max="16136" width="11.453125" style="6" customWidth="1"/>
    <col min="16137" max="16138" width="9" style="6"/>
    <col min="16139" max="16139" width="23" style="6" bestFit="1" customWidth="1"/>
    <col min="16140" max="16140" width="10" style="6" customWidth="1"/>
    <col min="16141" max="16141" width="6.26953125" style="6" bestFit="1" customWidth="1"/>
    <col min="16142" max="16142" width="7.26953125" style="6" bestFit="1" customWidth="1"/>
    <col min="16143" max="16143" width="16.6328125" style="6" customWidth="1"/>
    <col min="16144" max="16144" width="7.26953125" style="6" bestFit="1" customWidth="1"/>
    <col min="16145" max="16145" width="16.6328125" style="6" customWidth="1"/>
    <col min="16146" max="16384" width="9" style="6"/>
  </cols>
  <sheetData>
    <row r="1" spans="1:26" s="21" customFormat="1" ht="2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163" t="str">
        <f>資訊清單資訊!B3 &amp;資訊清單資訊!B7 &amp;資訊清單資訊!B5</f>
        <v>石油與天然氣輸儲查核與檢測雲端平台人員類(PE)資訊資產風險評鑑</v>
      </c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</row>
    <row r="2" spans="1:26">
      <c r="M2" s="42" t="s">
        <v>9</v>
      </c>
      <c r="N2" s="143" t="str">
        <f>資訊清單資訊!B7</f>
        <v>人員類(PE)</v>
      </c>
      <c r="O2" s="144"/>
      <c r="P2" s="145"/>
      <c r="Q2" s="46"/>
      <c r="R2" s="34" t="s">
        <v>11</v>
      </c>
      <c r="S2" s="19">
        <f>IF(ISNA(VLOOKUP($N$3,ALL_LIST,16,FALSE)), "",VLOOKUP($N$3,ALL_LIST,16,FALSE))</f>
        <v>3</v>
      </c>
    </row>
    <row r="3" spans="1:26">
      <c r="M3" s="45" t="s">
        <v>5</v>
      </c>
      <c r="N3" s="146" t="s">
        <v>188</v>
      </c>
      <c r="O3" s="147"/>
      <c r="P3" s="148"/>
      <c r="R3" s="33" t="s">
        <v>75</v>
      </c>
      <c r="S3" s="20">
        <f>IF(ISNA(VLOOKUP($N$3,ALL_LIST,8,FALSE)), "",VLOOKUP($N$3,ALL_LIST,8,FALSE))</f>
        <v>2</v>
      </c>
    </row>
    <row r="4" spans="1:26">
      <c r="M4" s="43" t="s">
        <v>10</v>
      </c>
      <c r="N4" s="149" t="str">
        <f>IF(ISNA(VLOOKUP($N$3,ALL_LIST,3,FALSE)), "",VLOOKUP($N$3,ALL_LIST,3,FALSE))</f>
        <v>系統負責人、開發、資料庫管理人員</v>
      </c>
      <c r="O4" s="150"/>
      <c r="P4" s="151"/>
      <c r="Q4" s="46"/>
      <c r="R4" s="33" t="s">
        <v>76</v>
      </c>
      <c r="S4" s="20">
        <f>IF(ISNA(VLOOKUP($N$3,ALL_LIST,10,FALSE)), "",VLOOKUP($N$3,ALL_LIST,10,FALSE))</f>
        <v>2</v>
      </c>
    </row>
    <row r="5" spans="1:26">
      <c r="M5" s="42" t="s">
        <v>6</v>
      </c>
      <c r="N5" s="152" t="str">
        <f>IF(ISNA(VLOOKUP($N$3,ALL_LIST,17,FALSE)), "",VLOOKUP($N$3,ALL_LIST,17,FALSE))</f>
        <v>賴斐瓔 </v>
      </c>
      <c r="O5" s="153"/>
      <c r="P5" s="154"/>
      <c r="Q5" s="46"/>
      <c r="R5" s="33" t="s">
        <v>77</v>
      </c>
      <c r="S5" s="20">
        <f>IF(ISNA(VLOOKUP($N$3,ALL_LIST,12,FALSE)), " ",VLOOKUP($N$3,ALL_LIST,12,FALSE))</f>
        <v>2</v>
      </c>
    </row>
    <row r="6" spans="1:26">
      <c r="M6" s="44" t="s">
        <v>7</v>
      </c>
      <c r="N6" s="155" t="s">
        <v>202</v>
      </c>
      <c r="O6" s="156"/>
      <c r="P6" s="157"/>
      <c r="R6" s="33" t="s">
        <v>78</v>
      </c>
      <c r="S6" s="20">
        <f>IF(ISNA(VLOOKUP($N$3,ALL_LIST,14,FALSE)), "",VLOOKUP($N$3,ALL_LIST,14,FALSE))</f>
        <v>3</v>
      </c>
    </row>
    <row r="7" spans="1:26">
      <c r="M7" s="44" t="s">
        <v>8</v>
      </c>
      <c r="N7" s="158" t="s">
        <v>185</v>
      </c>
      <c r="O7" s="159"/>
      <c r="P7" s="160"/>
      <c r="Q7" s="46"/>
      <c r="R7" s="35" t="s">
        <v>12</v>
      </c>
      <c r="S7" s="27">
        <f>MAX(Y11:Y37)</f>
        <v>9</v>
      </c>
    </row>
    <row r="10" spans="1:26" s="22" customFormat="1" ht="16">
      <c r="A10" s="36" t="s">
        <v>13</v>
      </c>
      <c r="B10" s="36" t="s">
        <v>2</v>
      </c>
      <c r="C10" s="36" t="s">
        <v>15</v>
      </c>
      <c r="D10" s="36" t="s">
        <v>16</v>
      </c>
      <c r="E10" s="36" t="s">
        <v>3</v>
      </c>
      <c r="F10" s="36" t="s">
        <v>17</v>
      </c>
      <c r="G10" s="37" t="s">
        <v>18</v>
      </c>
      <c r="H10" s="37" t="s">
        <v>19</v>
      </c>
      <c r="I10" s="37" t="s">
        <v>20</v>
      </c>
      <c r="J10" s="37" t="s">
        <v>21</v>
      </c>
      <c r="K10" s="38" t="s">
        <v>22</v>
      </c>
      <c r="L10" s="39" t="s">
        <v>34</v>
      </c>
      <c r="M10" s="164" t="s">
        <v>23</v>
      </c>
      <c r="N10" s="165"/>
      <c r="O10" s="166"/>
      <c r="P10" s="164" t="s">
        <v>4</v>
      </c>
      <c r="Q10" s="165"/>
      <c r="R10" s="165"/>
      <c r="S10" s="166"/>
      <c r="T10" s="32" t="s">
        <v>24</v>
      </c>
      <c r="U10" s="32" t="s">
        <v>25</v>
      </c>
      <c r="V10" s="32" t="s">
        <v>26</v>
      </c>
      <c r="W10" s="32" t="s">
        <v>27</v>
      </c>
      <c r="X10" s="32" t="s">
        <v>26</v>
      </c>
      <c r="Y10" s="32" t="s">
        <v>28</v>
      </c>
      <c r="Z10" s="32" t="s">
        <v>29</v>
      </c>
    </row>
    <row r="11" spans="1:26" ht="31">
      <c r="A11" s="47" t="str">
        <f>$N$3</f>
        <v>材1-1-PE-03</v>
      </c>
      <c r="B11" s="48">
        <f t="shared" ref="B11:B37" si="0">VLOOKUP($N$3,ALL_LIST,2,FALSE)</f>
        <v>0</v>
      </c>
      <c r="C11" s="48" t="str">
        <f t="shared" ref="C11:C37" si="1">VLOOKUP($N$3,ALL_LIST,3,FALSE)</f>
        <v>系統負責人、開發、資料庫管理人員</v>
      </c>
      <c r="D11" s="48" t="str">
        <f t="shared" ref="D11:D37" si="2">VLOOKUP($N$3,ALL_LIST,4,FALSE)</f>
        <v>元弘科技-邵錡鼎</v>
      </c>
      <c r="E11" s="48">
        <f t="shared" ref="E11:E37" si="3">VLOOKUP($N$3,ALL_LIST,6,FALSE)</f>
        <v>1</v>
      </c>
      <c r="F11" s="48" t="str">
        <f t="shared" ref="F11:F37" si="4">VLOOKUP($N$3,ALL_LIST,7,FALSE)</f>
        <v>邵錡鼎</v>
      </c>
      <c r="G11" s="48">
        <f t="shared" ref="G11:G37" si="5">VLOOKUP($N$3,ALL_LIST,8,FALSE)</f>
        <v>2</v>
      </c>
      <c r="H11" s="48">
        <f t="shared" ref="H11:H37" si="6">VLOOKUP($N$3,ALL_LIST,10,FALSE)</f>
        <v>2</v>
      </c>
      <c r="I11" s="48">
        <f t="shared" ref="I11:I37" si="7">VLOOKUP($N$3,ALL_LIST,12,FALSE)</f>
        <v>2</v>
      </c>
      <c r="J11" s="48">
        <f t="shared" ref="J11:J37" si="8">VLOOKUP($N$3,ALL_LIST,14,FALSE)</f>
        <v>3</v>
      </c>
      <c r="K11" s="49">
        <f t="shared" ref="K11:K37" si="9">VLOOKUP($N$3,ALL_LIST,16,FALSE)</f>
        <v>3</v>
      </c>
      <c r="L11" s="49">
        <f t="shared" ref="L11:L37" si="10">$S$7</f>
        <v>9</v>
      </c>
      <c r="M11" s="124" t="s">
        <v>151</v>
      </c>
      <c r="N11" s="125" t="s">
        <v>30</v>
      </c>
      <c r="O11" s="126" t="s">
        <v>30</v>
      </c>
      <c r="P11" s="122" t="s">
        <v>79</v>
      </c>
      <c r="Q11" s="123" t="s">
        <v>31</v>
      </c>
      <c r="R11" s="123" t="s">
        <v>31</v>
      </c>
      <c r="S11" s="123" t="s">
        <v>31</v>
      </c>
      <c r="T11" s="9" t="s">
        <v>80</v>
      </c>
      <c r="U11" s="9">
        <v>1</v>
      </c>
      <c r="V11" s="8" t="s">
        <v>154</v>
      </c>
      <c r="W11" s="9">
        <v>2</v>
      </c>
      <c r="X11" s="8" t="s">
        <v>191</v>
      </c>
      <c r="Y11" s="23">
        <f t="shared" ref="Y11:Y37" si="11">IF((T11="N"),"不適用",IF(COUNTA(U11,W11)&lt;2,"評鑑中",$S$2*U11*W11))</f>
        <v>6</v>
      </c>
      <c r="Z11" s="66"/>
    </row>
    <row r="12" spans="1:26" ht="62">
      <c r="A12" s="47" t="str">
        <f t="shared" ref="A12:A37" si="12">$N$3</f>
        <v>材1-1-PE-03</v>
      </c>
      <c r="B12" s="48">
        <f t="shared" si="0"/>
        <v>0</v>
      </c>
      <c r="C12" s="48" t="str">
        <f t="shared" si="1"/>
        <v>系統負責人、開發、資料庫管理人員</v>
      </c>
      <c r="D12" s="48" t="str">
        <f t="shared" si="2"/>
        <v>元弘科技-邵錡鼎</v>
      </c>
      <c r="E12" s="48">
        <f t="shared" si="3"/>
        <v>1</v>
      </c>
      <c r="F12" s="48" t="str">
        <f t="shared" si="4"/>
        <v>邵錡鼎</v>
      </c>
      <c r="G12" s="48">
        <f t="shared" si="5"/>
        <v>2</v>
      </c>
      <c r="H12" s="48">
        <f t="shared" si="6"/>
        <v>2</v>
      </c>
      <c r="I12" s="48">
        <f t="shared" si="7"/>
        <v>2</v>
      </c>
      <c r="J12" s="48">
        <f t="shared" si="8"/>
        <v>3</v>
      </c>
      <c r="K12" s="49">
        <f t="shared" si="9"/>
        <v>3</v>
      </c>
      <c r="L12" s="49">
        <f t="shared" si="10"/>
        <v>9</v>
      </c>
      <c r="M12" s="124" t="s">
        <v>150</v>
      </c>
      <c r="N12" s="125" t="s">
        <v>81</v>
      </c>
      <c r="O12" s="126" t="s">
        <v>81</v>
      </c>
      <c r="P12" s="161" t="s">
        <v>82</v>
      </c>
      <c r="Q12" s="162" t="s">
        <v>82</v>
      </c>
      <c r="R12" s="162" t="s">
        <v>82</v>
      </c>
      <c r="S12" s="162" t="s">
        <v>82</v>
      </c>
      <c r="T12" s="9" t="s">
        <v>155</v>
      </c>
      <c r="U12" s="9">
        <v>1</v>
      </c>
      <c r="V12" s="172" t="s">
        <v>207</v>
      </c>
      <c r="W12" s="9">
        <v>3</v>
      </c>
      <c r="X12" s="50" t="s">
        <v>156</v>
      </c>
      <c r="Y12" s="23">
        <f>IF((T12="N"),"不適用",IF(COUNTA(U12,W12)&lt;2,"評鑑中",$S$2*U12*W12))</f>
        <v>9</v>
      </c>
      <c r="Z12" s="66"/>
    </row>
    <row r="13" spans="1:26" ht="62">
      <c r="A13" s="47" t="str">
        <f t="shared" si="12"/>
        <v>材1-1-PE-03</v>
      </c>
      <c r="B13" s="48">
        <f t="shared" si="0"/>
        <v>0</v>
      </c>
      <c r="C13" s="48" t="str">
        <f t="shared" si="1"/>
        <v>系統負責人、開發、資料庫管理人員</v>
      </c>
      <c r="D13" s="48" t="str">
        <f t="shared" si="2"/>
        <v>元弘科技-邵錡鼎</v>
      </c>
      <c r="E13" s="48">
        <f t="shared" si="3"/>
        <v>1</v>
      </c>
      <c r="F13" s="48" t="str">
        <f t="shared" si="4"/>
        <v>邵錡鼎</v>
      </c>
      <c r="G13" s="48">
        <f t="shared" si="5"/>
        <v>2</v>
      </c>
      <c r="H13" s="48">
        <f t="shared" si="6"/>
        <v>2</v>
      </c>
      <c r="I13" s="48">
        <f t="shared" si="7"/>
        <v>2</v>
      </c>
      <c r="J13" s="48">
        <f t="shared" si="8"/>
        <v>3</v>
      </c>
      <c r="K13" s="49">
        <f t="shared" si="9"/>
        <v>3</v>
      </c>
      <c r="L13" s="49">
        <f t="shared" si="10"/>
        <v>9</v>
      </c>
      <c r="M13" s="119" t="s">
        <v>81</v>
      </c>
      <c r="N13" s="120" t="s">
        <v>81</v>
      </c>
      <c r="O13" s="121" t="s">
        <v>81</v>
      </c>
      <c r="P13" s="161" t="s">
        <v>83</v>
      </c>
      <c r="Q13" s="162" t="s">
        <v>83</v>
      </c>
      <c r="R13" s="162" t="s">
        <v>83</v>
      </c>
      <c r="S13" s="162" t="s">
        <v>83</v>
      </c>
      <c r="T13" s="9" t="s">
        <v>80</v>
      </c>
      <c r="U13" s="9">
        <v>1</v>
      </c>
      <c r="V13" s="8" t="s">
        <v>157</v>
      </c>
      <c r="W13" s="9">
        <v>3</v>
      </c>
      <c r="X13" s="50" t="s">
        <v>156</v>
      </c>
      <c r="Y13" s="23">
        <f t="shared" si="11"/>
        <v>9</v>
      </c>
      <c r="Z13" s="66"/>
    </row>
    <row r="14" spans="1:26" ht="62">
      <c r="A14" s="47" t="str">
        <f t="shared" si="12"/>
        <v>材1-1-PE-03</v>
      </c>
      <c r="B14" s="48">
        <f t="shared" si="0"/>
        <v>0</v>
      </c>
      <c r="C14" s="48" t="str">
        <f t="shared" si="1"/>
        <v>系統負責人、開發、資料庫管理人員</v>
      </c>
      <c r="D14" s="48" t="str">
        <f t="shared" si="2"/>
        <v>元弘科技-邵錡鼎</v>
      </c>
      <c r="E14" s="48">
        <f t="shared" si="3"/>
        <v>1</v>
      </c>
      <c r="F14" s="48" t="str">
        <f t="shared" si="4"/>
        <v>邵錡鼎</v>
      </c>
      <c r="G14" s="48">
        <f t="shared" si="5"/>
        <v>2</v>
      </c>
      <c r="H14" s="48">
        <f t="shared" si="6"/>
        <v>2</v>
      </c>
      <c r="I14" s="48">
        <f t="shared" si="7"/>
        <v>2</v>
      </c>
      <c r="J14" s="48">
        <f t="shared" si="8"/>
        <v>3</v>
      </c>
      <c r="K14" s="49">
        <f t="shared" si="9"/>
        <v>3</v>
      </c>
      <c r="L14" s="49">
        <f t="shared" si="10"/>
        <v>9</v>
      </c>
      <c r="M14" s="119" t="s">
        <v>81</v>
      </c>
      <c r="N14" s="120" t="s">
        <v>81</v>
      </c>
      <c r="O14" s="121" t="s">
        <v>81</v>
      </c>
      <c r="P14" s="122" t="s">
        <v>84</v>
      </c>
      <c r="Q14" s="123" t="s">
        <v>84</v>
      </c>
      <c r="R14" s="123" t="s">
        <v>84</v>
      </c>
      <c r="S14" s="123" t="s">
        <v>84</v>
      </c>
      <c r="T14" s="9" t="s">
        <v>155</v>
      </c>
      <c r="U14" s="9">
        <v>1</v>
      </c>
      <c r="V14" s="8" t="s">
        <v>167</v>
      </c>
      <c r="W14" s="9">
        <v>3</v>
      </c>
      <c r="X14" s="50" t="s">
        <v>156</v>
      </c>
      <c r="Y14" s="23">
        <f t="shared" si="11"/>
        <v>9</v>
      </c>
      <c r="Z14" s="66"/>
    </row>
    <row r="15" spans="1:26" ht="62">
      <c r="A15" s="47" t="str">
        <f t="shared" si="12"/>
        <v>材1-1-PE-03</v>
      </c>
      <c r="B15" s="48">
        <f t="shared" si="0"/>
        <v>0</v>
      </c>
      <c r="C15" s="48" t="str">
        <f t="shared" si="1"/>
        <v>系統負責人、開發、資料庫管理人員</v>
      </c>
      <c r="D15" s="48" t="str">
        <f t="shared" si="2"/>
        <v>元弘科技-邵錡鼎</v>
      </c>
      <c r="E15" s="48">
        <f t="shared" si="3"/>
        <v>1</v>
      </c>
      <c r="F15" s="48" t="str">
        <f t="shared" si="4"/>
        <v>邵錡鼎</v>
      </c>
      <c r="G15" s="48">
        <f t="shared" si="5"/>
        <v>2</v>
      </c>
      <c r="H15" s="48">
        <f t="shared" si="6"/>
        <v>2</v>
      </c>
      <c r="I15" s="48">
        <f t="shared" si="7"/>
        <v>2</v>
      </c>
      <c r="J15" s="48">
        <f t="shared" si="8"/>
        <v>3</v>
      </c>
      <c r="K15" s="49">
        <f t="shared" si="9"/>
        <v>3</v>
      </c>
      <c r="L15" s="49">
        <f t="shared" si="10"/>
        <v>9</v>
      </c>
      <c r="M15" s="119" t="s">
        <v>81</v>
      </c>
      <c r="N15" s="120" t="s">
        <v>81</v>
      </c>
      <c r="O15" s="121" t="s">
        <v>81</v>
      </c>
      <c r="P15" s="122" t="s">
        <v>85</v>
      </c>
      <c r="Q15" s="123" t="s">
        <v>85</v>
      </c>
      <c r="R15" s="123" t="s">
        <v>85</v>
      </c>
      <c r="S15" s="123" t="s">
        <v>85</v>
      </c>
      <c r="T15" s="9" t="s">
        <v>155</v>
      </c>
      <c r="U15" s="9">
        <v>1</v>
      </c>
      <c r="V15" s="8" t="s">
        <v>158</v>
      </c>
      <c r="W15" s="9">
        <v>3</v>
      </c>
      <c r="X15" s="50" t="s">
        <v>156</v>
      </c>
      <c r="Y15" s="23">
        <f t="shared" si="11"/>
        <v>9</v>
      </c>
      <c r="Z15" s="66"/>
    </row>
    <row r="16" spans="1:26" ht="62">
      <c r="A16" s="47" t="str">
        <f t="shared" si="12"/>
        <v>材1-1-PE-03</v>
      </c>
      <c r="B16" s="48">
        <f t="shared" si="0"/>
        <v>0</v>
      </c>
      <c r="C16" s="48" t="str">
        <f t="shared" si="1"/>
        <v>系統負責人、開發、資料庫管理人員</v>
      </c>
      <c r="D16" s="48" t="str">
        <f t="shared" si="2"/>
        <v>元弘科技-邵錡鼎</v>
      </c>
      <c r="E16" s="48">
        <f t="shared" si="3"/>
        <v>1</v>
      </c>
      <c r="F16" s="48" t="str">
        <f t="shared" si="4"/>
        <v>邵錡鼎</v>
      </c>
      <c r="G16" s="48">
        <f t="shared" si="5"/>
        <v>2</v>
      </c>
      <c r="H16" s="48">
        <f t="shared" si="6"/>
        <v>2</v>
      </c>
      <c r="I16" s="48">
        <f t="shared" si="7"/>
        <v>2</v>
      </c>
      <c r="J16" s="48">
        <f t="shared" si="8"/>
        <v>3</v>
      </c>
      <c r="K16" s="49">
        <f t="shared" si="9"/>
        <v>3</v>
      </c>
      <c r="L16" s="49">
        <f t="shared" si="10"/>
        <v>9</v>
      </c>
      <c r="M16" s="119" t="s">
        <v>81</v>
      </c>
      <c r="N16" s="120" t="s">
        <v>81</v>
      </c>
      <c r="O16" s="121" t="s">
        <v>81</v>
      </c>
      <c r="P16" s="161" t="s">
        <v>86</v>
      </c>
      <c r="Q16" s="162" t="s">
        <v>86</v>
      </c>
      <c r="R16" s="162" t="s">
        <v>86</v>
      </c>
      <c r="S16" s="162" t="s">
        <v>86</v>
      </c>
      <c r="T16" s="9" t="s">
        <v>155</v>
      </c>
      <c r="U16" s="9">
        <v>1</v>
      </c>
      <c r="V16" s="8" t="s">
        <v>158</v>
      </c>
      <c r="W16" s="9">
        <v>3</v>
      </c>
      <c r="X16" s="50" t="s">
        <v>156</v>
      </c>
      <c r="Y16" s="23">
        <f t="shared" si="11"/>
        <v>9</v>
      </c>
      <c r="Z16" s="66"/>
    </row>
    <row r="17" spans="1:28" ht="62">
      <c r="A17" s="47" t="str">
        <f t="shared" si="12"/>
        <v>材1-1-PE-03</v>
      </c>
      <c r="B17" s="48">
        <f t="shared" si="0"/>
        <v>0</v>
      </c>
      <c r="C17" s="48" t="str">
        <f t="shared" si="1"/>
        <v>系統負責人、開發、資料庫管理人員</v>
      </c>
      <c r="D17" s="48" t="str">
        <f t="shared" si="2"/>
        <v>元弘科技-邵錡鼎</v>
      </c>
      <c r="E17" s="48">
        <f t="shared" si="3"/>
        <v>1</v>
      </c>
      <c r="F17" s="48" t="str">
        <f t="shared" si="4"/>
        <v>邵錡鼎</v>
      </c>
      <c r="G17" s="48">
        <f t="shared" si="5"/>
        <v>2</v>
      </c>
      <c r="H17" s="48">
        <f t="shared" si="6"/>
        <v>2</v>
      </c>
      <c r="I17" s="48">
        <f t="shared" si="7"/>
        <v>2</v>
      </c>
      <c r="J17" s="48">
        <f t="shared" si="8"/>
        <v>3</v>
      </c>
      <c r="K17" s="49">
        <f t="shared" si="9"/>
        <v>3</v>
      </c>
      <c r="L17" s="49">
        <f t="shared" si="10"/>
        <v>9</v>
      </c>
      <c r="M17" s="119" t="s">
        <v>81</v>
      </c>
      <c r="N17" s="120" t="s">
        <v>81</v>
      </c>
      <c r="O17" s="121" t="s">
        <v>81</v>
      </c>
      <c r="P17" s="122" t="s">
        <v>87</v>
      </c>
      <c r="Q17" s="123" t="s">
        <v>87</v>
      </c>
      <c r="R17" s="123" t="s">
        <v>87</v>
      </c>
      <c r="S17" s="123" t="s">
        <v>87</v>
      </c>
      <c r="T17" s="9" t="s">
        <v>155</v>
      </c>
      <c r="U17" s="9">
        <v>1</v>
      </c>
      <c r="V17" s="8" t="s">
        <v>158</v>
      </c>
      <c r="W17" s="9">
        <v>3</v>
      </c>
      <c r="X17" s="50" t="s">
        <v>156</v>
      </c>
      <c r="Y17" s="23">
        <f t="shared" si="11"/>
        <v>9</v>
      </c>
      <c r="Z17" s="66"/>
    </row>
    <row r="18" spans="1:28" ht="54" customHeight="1">
      <c r="A18" s="47" t="str">
        <f t="shared" si="12"/>
        <v>材1-1-PE-03</v>
      </c>
      <c r="B18" s="48">
        <f t="shared" si="0"/>
        <v>0</v>
      </c>
      <c r="C18" s="48" t="str">
        <f t="shared" si="1"/>
        <v>系統負責人、開發、資料庫管理人員</v>
      </c>
      <c r="D18" s="48" t="str">
        <f t="shared" si="2"/>
        <v>元弘科技-邵錡鼎</v>
      </c>
      <c r="E18" s="48">
        <f t="shared" si="3"/>
        <v>1</v>
      </c>
      <c r="F18" s="48" t="str">
        <f t="shared" si="4"/>
        <v>邵錡鼎</v>
      </c>
      <c r="G18" s="48">
        <f t="shared" si="5"/>
        <v>2</v>
      </c>
      <c r="H18" s="48">
        <f t="shared" si="6"/>
        <v>2</v>
      </c>
      <c r="I18" s="48">
        <f t="shared" si="7"/>
        <v>2</v>
      </c>
      <c r="J18" s="48">
        <f t="shared" si="8"/>
        <v>3</v>
      </c>
      <c r="K18" s="49">
        <f t="shared" si="9"/>
        <v>3</v>
      </c>
      <c r="L18" s="49">
        <f t="shared" si="10"/>
        <v>9</v>
      </c>
      <c r="M18" s="119" t="s">
        <v>81</v>
      </c>
      <c r="N18" s="120" t="s">
        <v>81</v>
      </c>
      <c r="O18" s="121" t="s">
        <v>81</v>
      </c>
      <c r="P18" s="122" t="s">
        <v>88</v>
      </c>
      <c r="Q18" s="123" t="s">
        <v>88</v>
      </c>
      <c r="R18" s="123" t="s">
        <v>88</v>
      </c>
      <c r="S18" s="123" t="s">
        <v>88</v>
      </c>
      <c r="T18" s="9" t="s">
        <v>155</v>
      </c>
      <c r="U18" s="9">
        <v>1</v>
      </c>
      <c r="V18" s="8" t="s">
        <v>158</v>
      </c>
      <c r="W18" s="9">
        <v>3</v>
      </c>
      <c r="X18" s="50" t="s">
        <v>156</v>
      </c>
      <c r="Y18" s="23">
        <f t="shared" si="11"/>
        <v>9</v>
      </c>
      <c r="Z18" s="66"/>
      <c r="AB18" s="51" t="s">
        <v>89</v>
      </c>
    </row>
    <row r="19" spans="1:28">
      <c r="A19" s="47" t="str">
        <f t="shared" si="12"/>
        <v>材1-1-PE-03</v>
      </c>
      <c r="B19" s="48">
        <f t="shared" si="0"/>
        <v>0</v>
      </c>
      <c r="C19" s="48" t="str">
        <f t="shared" si="1"/>
        <v>系統負責人、開發、資料庫管理人員</v>
      </c>
      <c r="D19" s="48" t="str">
        <f t="shared" si="2"/>
        <v>元弘科技-邵錡鼎</v>
      </c>
      <c r="E19" s="48">
        <f t="shared" si="3"/>
        <v>1</v>
      </c>
      <c r="F19" s="48" t="str">
        <f t="shared" si="4"/>
        <v>邵錡鼎</v>
      </c>
      <c r="G19" s="48">
        <f t="shared" si="5"/>
        <v>2</v>
      </c>
      <c r="H19" s="48">
        <f t="shared" si="6"/>
        <v>2</v>
      </c>
      <c r="I19" s="48">
        <f t="shared" si="7"/>
        <v>2</v>
      </c>
      <c r="J19" s="48">
        <f t="shared" si="8"/>
        <v>3</v>
      </c>
      <c r="K19" s="49">
        <f t="shared" si="9"/>
        <v>3</v>
      </c>
      <c r="L19" s="49">
        <f t="shared" si="10"/>
        <v>9</v>
      </c>
      <c r="M19" s="124" t="s">
        <v>145</v>
      </c>
      <c r="N19" s="125" t="s">
        <v>90</v>
      </c>
      <c r="O19" s="126" t="s">
        <v>90</v>
      </c>
      <c r="P19" s="122" t="s">
        <v>91</v>
      </c>
      <c r="Q19" s="123" t="s">
        <v>91</v>
      </c>
      <c r="R19" s="123" t="s">
        <v>91</v>
      </c>
      <c r="S19" s="123" t="s">
        <v>91</v>
      </c>
      <c r="T19" s="9" t="s">
        <v>109</v>
      </c>
      <c r="U19" s="9"/>
      <c r="V19" s="8"/>
      <c r="W19" s="9"/>
      <c r="X19" s="50"/>
      <c r="Y19" s="23" t="str">
        <f t="shared" si="11"/>
        <v>不適用</v>
      </c>
      <c r="Z19" s="66"/>
    </row>
    <row r="20" spans="1:28" ht="62">
      <c r="A20" s="47" t="str">
        <f t="shared" si="12"/>
        <v>材1-1-PE-03</v>
      </c>
      <c r="B20" s="48">
        <f t="shared" si="0"/>
        <v>0</v>
      </c>
      <c r="C20" s="48" t="str">
        <f t="shared" si="1"/>
        <v>系統負責人、開發、資料庫管理人員</v>
      </c>
      <c r="D20" s="48" t="str">
        <f t="shared" si="2"/>
        <v>元弘科技-邵錡鼎</v>
      </c>
      <c r="E20" s="48">
        <f t="shared" si="3"/>
        <v>1</v>
      </c>
      <c r="F20" s="48" t="str">
        <f t="shared" si="4"/>
        <v>邵錡鼎</v>
      </c>
      <c r="G20" s="48">
        <f t="shared" si="5"/>
        <v>2</v>
      </c>
      <c r="H20" s="48">
        <f t="shared" si="6"/>
        <v>2</v>
      </c>
      <c r="I20" s="48">
        <f t="shared" si="7"/>
        <v>2</v>
      </c>
      <c r="J20" s="48">
        <f t="shared" si="8"/>
        <v>3</v>
      </c>
      <c r="K20" s="49">
        <f t="shared" si="9"/>
        <v>3</v>
      </c>
      <c r="L20" s="49">
        <f t="shared" si="10"/>
        <v>9</v>
      </c>
      <c r="M20" s="119" t="s">
        <v>90</v>
      </c>
      <c r="N20" s="120" t="s">
        <v>90</v>
      </c>
      <c r="O20" s="121" t="s">
        <v>90</v>
      </c>
      <c r="P20" s="138" t="s">
        <v>92</v>
      </c>
      <c r="Q20" s="139" t="s">
        <v>92</v>
      </c>
      <c r="R20" s="139" t="s">
        <v>92</v>
      </c>
      <c r="S20" s="139" t="s">
        <v>92</v>
      </c>
      <c r="T20" s="9" t="s">
        <v>155</v>
      </c>
      <c r="U20" s="9">
        <v>1</v>
      </c>
      <c r="V20" s="8" t="s">
        <v>205</v>
      </c>
      <c r="W20" s="9">
        <v>3</v>
      </c>
      <c r="X20" s="50" t="s">
        <v>156</v>
      </c>
      <c r="Y20" s="23">
        <f t="shared" si="11"/>
        <v>9</v>
      </c>
      <c r="Z20" s="66"/>
    </row>
    <row r="21" spans="1:28" ht="62">
      <c r="A21" s="47" t="str">
        <f t="shared" si="12"/>
        <v>材1-1-PE-03</v>
      </c>
      <c r="B21" s="48">
        <f t="shared" si="0"/>
        <v>0</v>
      </c>
      <c r="C21" s="48" t="str">
        <f t="shared" si="1"/>
        <v>系統負責人、開發、資料庫管理人員</v>
      </c>
      <c r="D21" s="48" t="str">
        <f t="shared" si="2"/>
        <v>元弘科技-邵錡鼎</v>
      </c>
      <c r="E21" s="48">
        <f t="shared" si="3"/>
        <v>1</v>
      </c>
      <c r="F21" s="48" t="str">
        <f t="shared" si="4"/>
        <v>邵錡鼎</v>
      </c>
      <c r="G21" s="48">
        <f t="shared" si="5"/>
        <v>2</v>
      </c>
      <c r="H21" s="48">
        <f t="shared" si="6"/>
        <v>2</v>
      </c>
      <c r="I21" s="48">
        <f t="shared" si="7"/>
        <v>2</v>
      </c>
      <c r="J21" s="48">
        <f t="shared" si="8"/>
        <v>3</v>
      </c>
      <c r="K21" s="49">
        <f t="shared" si="9"/>
        <v>3</v>
      </c>
      <c r="L21" s="49">
        <f t="shared" si="10"/>
        <v>9</v>
      </c>
      <c r="M21" s="119" t="s">
        <v>90</v>
      </c>
      <c r="N21" s="120" t="s">
        <v>90</v>
      </c>
      <c r="O21" s="121" t="s">
        <v>90</v>
      </c>
      <c r="P21" s="138" t="s">
        <v>82</v>
      </c>
      <c r="Q21" s="139" t="s">
        <v>82</v>
      </c>
      <c r="R21" s="139" t="s">
        <v>82</v>
      </c>
      <c r="S21" s="139" t="s">
        <v>82</v>
      </c>
      <c r="T21" s="9" t="s">
        <v>155</v>
      </c>
      <c r="U21" s="9">
        <v>1</v>
      </c>
      <c r="V21" s="172" t="s">
        <v>207</v>
      </c>
      <c r="W21" s="9">
        <v>3</v>
      </c>
      <c r="X21" s="50" t="s">
        <v>156</v>
      </c>
      <c r="Y21" s="23">
        <f t="shared" si="11"/>
        <v>9</v>
      </c>
      <c r="Z21" s="66"/>
    </row>
    <row r="22" spans="1:28" ht="62">
      <c r="A22" s="47" t="str">
        <f t="shared" si="12"/>
        <v>材1-1-PE-03</v>
      </c>
      <c r="B22" s="48">
        <f t="shared" si="0"/>
        <v>0</v>
      </c>
      <c r="C22" s="48" t="str">
        <f t="shared" si="1"/>
        <v>系統負責人、開發、資料庫管理人員</v>
      </c>
      <c r="D22" s="48" t="str">
        <f t="shared" si="2"/>
        <v>元弘科技-邵錡鼎</v>
      </c>
      <c r="E22" s="48">
        <f t="shared" si="3"/>
        <v>1</v>
      </c>
      <c r="F22" s="48" t="str">
        <f t="shared" si="4"/>
        <v>邵錡鼎</v>
      </c>
      <c r="G22" s="48">
        <f t="shared" si="5"/>
        <v>2</v>
      </c>
      <c r="H22" s="48">
        <f t="shared" si="6"/>
        <v>2</v>
      </c>
      <c r="I22" s="48">
        <f t="shared" si="7"/>
        <v>2</v>
      </c>
      <c r="J22" s="48">
        <f t="shared" si="8"/>
        <v>3</v>
      </c>
      <c r="K22" s="49">
        <f t="shared" si="9"/>
        <v>3</v>
      </c>
      <c r="L22" s="49">
        <f t="shared" si="10"/>
        <v>9</v>
      </c>
      <c r="M22" s="119" t="s">
        <v>90</v>
      </c>
      <c r="N22" s="120" t="s">
        <v>90</v>
      </c>
      <c r="O22" s="121" t="s">
        <v>90</v>
      </c>
      <c r="P22" s="138" t="s">
        <v>93</v>
      </c>
      <c r="Q22" s="139" t="s">
        <v>93</v>
      </c>
      <c r="R22" s="139" t="s">
        <v>93</v>
      </c>
      <c r="S22" s="139" t="s">
        <v>93</v>
      </c>
      <c r="T22" s="9" t="s">
        <v>155</v>
      </c>
      <c r="U22" s="9">
        <v>1</v>
      </c>
      <c r="V22" s="8" t="s">
        <v>161</v>
      </c>
      <c r="W22" s="9">
        <v>3</v>
      </c>
      <c r="X22" s="50" t="s">
        <v>156</v>
      </c>
      <c r="Y22" s="23">
        <f t="shared" si="11"/>
        <v>9</v>
      </c>
      <c r="Z22" s="66"/>
    </row>
    <row r="23" spans="1:28" ht="62">
      <c r="A23" s="47" t="str">
        <f t="shared" si="12"/>
        <v>材1-1-PE-03</v>
      </c>
      <c r="B23" s="48">
        <f t="shared" si="0"/>
        <v>0</v>
      </c>
      <c r="C23" s="48" t="str">
        <f t="shared" si="1"/>
        <v>系統負責人、開發、資料庫管理人員</v>
      </c>
      <c r="D23" s="48" t="str">
        <f t="shared" si="2"/>
        <v>元弘科技-邵錡鼎</v>
      </c>
      <c r="E23" s="48">
        <f t="shared" si="3"/>
        <v>1</v>
      </c>
      <c r="F23" s="48" t="str">
        <f t="shared" si="4"/>
        <v>邵錡鼎</v>
      </c>
      <c r="G23" s="48">
        <f t="shared" si="5"/>
        <v>2</v>
      </c>
      <c r="H23" s="48">
        <f t="shared" si="6"/>
        <v>2</v>
      </c>
      <c r="I23" s="48">
        <f t="shared" si="7"/>
        <v>2</v>
      </c>
      <c r="J23" s="48">
        <f t="shared" si="8"/>
        <v>3</v>
      </c>
      <c r="K23" s="49">
        <f t="shared" si="9"/>
        <v>3</v>
      </c>
      <c r="L23" s="49">
        <f t="shared" si="10"/>
        <v>9</v>
      </c>
      <c r="M23" s="124" t="s">
        <v>146</v>
      </c>
      <c r="N23" s="125" t="s">
        <v>94</v>
      </c>
      <c r="O23" s="126" t="s">
        <v>94</v>
      </c>
      <c r="P23" s="122" t="s">
        <v>82</v>
      </c>
      <c r="Q23" s="123" t="s">
        <v>82</v>
      </c>
      <c r="R23" s="123" t="s">
        <v>82</v>
      </c>
      <c r="S23" s="123" t="s">
        <v>82</v>
      </c>
      <c r="T23" s="9" t="s">
        <v>155</v>
      </c>
      <c r="U23" s="9">
        <v>1</v>
      </c>
      <c r="V23" s="172" t="s">
        <v>207</v>
      </c>
      <c r="W23" s="9">
        <v>3</v>
      </c>
      <c r="X23" s="50" t="s">
        <v>156</v>
      </c>
      <c r="Y23" s="23">
        <f t="shared" si="11"/>
        <v>9</v>
      </c>
      <c r="Z23" s="66"/>
    </row>
    <row r="24" spans="1:28" ht="62">
      <c r="A24" s="47" t="str">
        <f t="shared" si="12"/>
        <v>材1-1-PE-03</v>
      </c>
      <c r="B24" s="48">
        <f t="shared" si="0"/>
        <v>0</v>
      </c>
      <c r="C24" s="48" t="str">
        <f t="shared" si="1"/>
        <v>系統負責人、開發、資料庫管理人員</v>
      </c>
      <c r="D24" s="48" t="str">
        <f t="shared" si="2"/>
        <v>元弘科技-邵錡鼎</v>
      </c>
      <c r="E24" s="48">
        <f t="shared" si="3"/>
        <v>1</v>
      </c>
      <c r="F24" s="48" t="str">
        <f t="shared" si="4"/>
        <v>邵錡鼎</v>
      </c>
      <c r="G24" s="48">
        <f t="shared" si="5"/>
        <v>2</v>
      </c>
      <c r="H24" s="48">
        <f t="shared" si="6"/>
        <v>2</v>
      </c>
      <c r="I24" s="48">
        <f t="shared" si="7"/>
        <v>2</v>
      </c>
      <c r="J24" s="48">
        <f t="shared" si="8"/>
        <v>3</v>
      </c>
      <c r="K24" s="49">
        <f t="shared" si="9"/>
        <v>3</v>
      </c>
      <c r="L24" s="49">
        <f t="shared" si="10"/>
        <v>9</v>
      </c>
      <c r="M24" s="119" t="s">
        <v>94</v>
      </c>
      <c r="N24" s="120" t="s">
        <v>94</v>
      </c>
      <c r="O24" s="121" t="s">
        <v>94</v>
      </c>
      <c r="P24" s="122" t="s">
        <v>95</v>
      </c>
      <c r="Q24" s="123" t="s">
        <v>95</v>
      </c>
      <c r="R24" s="123" t="s">
        <v>95</v>
      </c>
      <c r="S24" s="123" t="s">
        <v>95</v>
      </c>
      <c r="T24" s="9" t="s">
        <v>155</v>
      </c>
      <c r="U24" s="9">
        <v>1</v>
      </c>
      <c r="V24" s="8" t="s">
        <v>167</v>
      </c>
      <c r="W24" s="9">
        <v>3</v>
      </c>
      <c r="X24" s="50" t="s">
        <v>156</v>
      </c>
      <c r="Y24" s="23">
        <f t="shared" si="11"/>
        <v>9</v>
      </c>
      <c r="Z24" s="66"/>
    </row>
    <row r="25" spans="1:28" ht="62">
      <c r="A25" s="47" t="str">
        <f t="shared" si="12"/>
        <v>材1-1-PE-03</v>
      </c>
      <c r="B25" s="48">
        <f t="shared" si="0"/>
        <v>0</v>
      </c>
      <c r="C25" s="48" t="str">
        <f t="shared" si="1"/>
        <v>系統負責人、開發、資料庫管理人員</v>
      </c>
      <c r="D25" s="48" t="str">
        <f t="shared" si="2"/>
        <v>元弘科技-邵錡鼎</v>
      </c>
      <c r="E25" s="48">
        <f t="shared" si="3"/>
        <v>1</v>
      </c>
      <c r="F25" s="48" t="str">
        <f t="shared" si="4"/>
        <v>邵錡鼎</v>
      </c>
      <c r="G25" s="48">
        <f t="shared" si="5"/>
        <v>2</v>
      </c>
      <c r="H25" s="48">
        <f t="shared" si="6"/>
        <v>2</v>
      </c>
      <c r="I25" s="48">
        <f t="shared" si="7"/>
        <v>2</v>
      </c>
      <c r="J25" s="48">
        <f t="shared" si="8"/>
        <v>3</v>
      </c>
      <c r="K25" s="49">
        <f t="shared" si="9"/>
        <v>3</v>
      </c>
      <c r="L25" s="49">
        <f t="shared" si="10"/>
        <v>9</v>
      </c>
      <c r="M25" s="140" t="s">
        <v>94</v>
      </c>
      <c r="N25" s="141" t="s">
        <v>94</v>
      </c>
      <c r="O25" s="142" t="s">
        <v>94</v>
      </c>
      <c r="P25" s="122" t="s">
        <v>96</v>
      </c>
      <c r="Q25" s="123" t="s">
        <v>96</v>
      </c>
      <c r="R25" s="123" t="s">
        <v>96</v>
      </c>
      <c r="S25" s="123" t="s">
        <v>96</v>
      </c>
      <c r="T25" s="9" t="s">
        <v>155</v>
      </c>
      <c r="U25" s="9">
        <v>1</v>
      </c>
      <c r="V25" s="8" t="s">
        <v>162</v>
      </c>
      <c r="W25" s="9">
        <v>3</v>
      </c>
      <c r="X25" s="50" t="s">
        <v>156</v>
      </c>
      <c r="Y25" s="23">
        <f t="shared" si="11"/>
        <v>9</v>
      </c>
      <c r="Z25" s="66"/>
    </row>
    <row r="26" spans="1:28" ht="46.5">
      <c r="A26" s="47" t="str">
        <f t="shared" si="12"/>
        <v>材1-1-PE-03</v>
      </c>
      <c r="B26" s="48">
        <f t="shared" si="0"/>
        <v>0</v>
      </c>
      <c r="C26" s="48" t="str">
        <f t="shared" si="1"/>
        <v>系統負責人、開發、資料庫管理人員</v>
      </c>
      <c r="D26" s="48" t="str">
        <f t="shared" si="2"/>
        <v>元弘科技-邵錡鼎</v>
      </c>
      <c r="E26" s="48">
        <f t="shared" si="3"/>
        <v>1</v>
      </c>
      <c r="F26" s="48" t="str">
        <f t="shared" si="4"/>
        <v>邵錡鼎</v>
      </c>
      <c r="G26" s="48">
        <f t="shared" si="5"/>
        <v>2</v>
      </c>
      <c r="H26" s="48">
        <f t="shared" si="6"/>
        <v>2</v>
      </c>
      <c r="I26" s="48">
        <f t="shared" si="7"/>
        <v>2</v>
      </c>
      <c r="J26" s="48">
        <f t="shared" si="8"/>
        <v>3</v>
      </c>
      <c r="K26" s="49">
        <f t="shared" si="9"/>
        <v>3</v>
      </c>
      <c r="L26" s="49">
        <f t="shared" si="10"/>
        <v>9</v>
      </c>
      <c r="M26" s="124" t="s">
        <v>147</v>
      </c>
      <c r="N26" s="125" t="s">
        <v>97</v>
      </c>
      <c r="O26" s="126" t="s">
        <v>97</v>
      </c>
      <c r="P26" s="122" t="s">
        <v>98</v>
      </c>
      <c r="Q26" s="123" t="s">
        <v>98</v>
      </c>
      <c r="R26" s="123" t="s">
        <v>98</v>
      </c>
      <c r="S26" s="123" t="s">
        <v>98</v>
      </c>
      <c r="T26" s="9" t="s">
        <v>155</v>
      </c>
      <c r="U26" s="9">
        <v>1</v>
      </c>
      <c r="V26" s="8" t="s">
        <v>157</v>
      </c>
      <c r="W26" s="9">
        <v>2</v>
      </c>
      <c r="X26" s="9" t="s">
        <v>163</v>
      </c>
      <c r="Y26" s="23">
        <f t="shared" si="11"/>
        <v>6</v>
      </c>
      <c r="Z26" s="66"/>
    </row>
    <row r="27" spans="1:28" ht="46.5">
      <c r="A27" s="47" t="str">
        <f t="shared" si="12"/>
        <v>材1-1-PE-03</v>
      </c>
      <c r="B27" s="48">
        <f t="shared" si="0"/>
        <v>0</v>
      </c>
      <c r="C27" s="48" t="str">
        <f t="shared" si="1"/>
        <v>系統負責人、開發、資料庫管理人員</v>
      </c>
      <c r="D27" s="48" t="str">
        <f t="shared" si="2"/>
        <v>元弘科技-邵錡鼎</v>
      </c>
      <c r="E27" s="48">
        <f t="shared" si="3"/>
        <v>1</v>
      </c>
      <c r="F27" s="48" t="str">
        <f t="shared" si="4"/>
        <v>邵錡鼎</v>
      </c>
      <c r="G27" s="48">
        <f t="shared" si="5"/>
        <v>2</v>
      </c>
      <c r="H27" s="48">
        <f t="shared" si="6"/>
        <v>2</v>
      </c>
      <c r="I27" s="48">
        <f t="shared" si="7"/>
        <v>2</v>
      </c>
      <c r="J27" s="48">
        <f t="shared" si="8"/>
        <v>3</v>
      </c>
      <c r="K27" s="49">
        <f t="shared" si="9"/>
        <v>3</v>
      </c>
      <c r="L27" s="49">
        <f t="shared" si="10"/>
        <v>9</v>
      </c>
      <c r="M27" s="119" t="s">
        <v>97</v>
      </c>
      <c r="N27" s="120" t="s">
        <v>97</v>
      </c>
      <c r="O27" s="121" t="s">
        <v>97</v>
      </c>
      <c r="P27" s="138" t="s">
        <v>99</v>
      </c>
      <c r="Q27" s="139" t="s">
        <v>99</v>
      </c>
      <c r="R27" s="139" t="s">
        <v>99</v>
      </c>
      <c r="S27" s="139" t="s">
        <v>99</v>
      </c>
      <c r="T27" s="9" t="s">
        <v>155</v>
      </c>
      <c r="U27" s="9">
        <v>1</v>
      </c>
      <c r="V27" s="172" t="s">
        <v>199</v>
      </c>
      <c r="W27" s="9">
        <v>2</v>
      </c>
      <c r="X27" s="9" t="s">
        <v>163</v>
      </c>
      <c r="Y27" s="23">
        <f t="shared" si="11"/>
        <v>6</v>
      </c>
      <c r="Z27" s="66"/>
    </row>
    <row r="28" spans="1:28" ht="62">
      <c r="A28" s="47" t="str">
        <f t="shared" si="12"/>
        <v>材1-1-PE-03</v>
      </c>
      <c r="B28" s="48">
        <f t="shared" si="0"/>
        <v>0</v>
      </c>
      <c r="C28" s="48" t="str">
        <f t="shared" si="1"/>
        <v>系統負責人、開發、資料庫管理人員</v>
      </c>
      <c r="D28" s="48" t="str">
        <f t="shared" si="2"/>
        <v>元弘科技-邵錡鼎</v>
      </c>
      <c r="E28" s="48">
        <f t="shared" si="3"/>
        <v>1</v>
      </c>
      <c r="F28" s="48" t="str">
        <f t="shared" si="4"/>
        <v>邵錡鼎</v>
      </c>
      <c r="G28" s="48">
        <f t="shared" si="5"/>
        <v>2</v>
      </c>
      <c r="H28" s="48">
        <f t="shared" si="6"/>
        <v>2</v>
      </c>
      <c r="I28" s="48">
        <f t="shared" si="7"/>
        <v>2</v>
      </c>
      <c r="J28" s="48">
        <f t="shared" si="8"/>
        <v>3</v>
      </c>
      <c r="K28" s="49">
        <f t="shared" si="9"/>
        <v>3</v>
      </c>
      <c r="L28" s="49">
        <f t="shared" si="10"/>
        <v>9</v>
      </c>
      <c r="M28" s="124" t="s">
        <v>148</v>
      </c>
      <c r="N28" s="125" t="s">
        <v>100</v>
      </c>
      <c r="O28" s="126" t="s">
        <v>100</v>
      </c>
      <c r="P28" s="122" t="s">
        <v>82</v>
      </c>
      <c r="Q28" s="123" t="s">
        <v>82</v>
      </c>
      <c r="R28" s="123" t="s">
        <v>82</v>
      </c>
      <c r="S28" s="123" t="s">
        <v>82</v>
      </c>
      <c r="T28" s="9" t="s">
        <v>155</v>
      </c>
      <c r="U28" s="9">
        <v>1</v>
      </c>
      <c r="V28" s="172" t="s">
        <v>207</v>
      </c>
      <c r="W28" s="9">
        <v>3</v>
      </c>
      <c r="X28" s="50" t="s">
        <v>156</v>
      </c>
      <c r="Y28" s="23">
        <f t="shared" si="11"/>
        <v>9</v>
      </c>
      <c r="Z28" s="66"/>
    </row>
    <row r="29" spans="1:28" ht="62">
      <c r="A29" s="47" t="str">
        <f t="shared" si="12"/>
        <v>材1-1-PE-03</v>
      </c>
      <c r="B29" s="48">
        <f t="shared" si="0"/>
        <v>0</v>
      </c>
      <c r="C29" s="48" t="str">
        <f t="shared" si="1"/>
        <v>系統負責人、開發、資料庫管理人員</v>
      </c>
      <c r="D29" s="48" t="str">
        <f t="shared" si="2"/>
        <v>元弘科技-邵錡鼎</v>
      </c>
      <c r="E29" s="48">
        <f t="shared" si="3"/>
        <v>1</v>
      </c>
      <c r="F29" s="48" t="str">
        <f t="shared" si="4"/>
        <v>邵錡鼎</v>
      </c>
      <c r="G29" s="48">
        <f t="shared" si="5"/>
        <v>2</v>
      </c>
      <c r="H29" s="48">
        <f t="shared" si="6"/>
        <v>2</v>
      </c>
      <c r="I29" s="48">
        <f t="shared" si="7"/>
        <v>2</v>
      </c>
      <c r="J29" s="48">
        <f t="shared" si="8"/>
        <v>3</v>
      </c>
      <c r="K29" s="49">
        <f t="shared" si="9"/>
        <v>3</v>
      </c>
      <c r="L29" s="49">
        <f t="shared" si="10"/>
        <v>9</v>
      </c>
      <c r="M29" s="119" t="s">
        <v>100</v>
      </c>
      <c r="N29" s="120" t="s">
        <v>100</v>
      </c>
      <c r="O29" s="121" t="s">
        <v>100</v>
      </c>
      <c r="P29" s="122" t="s">
        <v>101</v>
      </c>
      <c r="Q29" s="123" t="s">
        <v>101</v>
      </c>
      <c r="R29" s="123" t="s">
        <v>101</v>
      </c>
      <c r="S29" s="123" t="s">
        <v>101</v>
      </c>
      <c r="T29" s="9" t="s">
        <v>155</v>
      </c>
      <c r="U29" s="9">
        <v>1</v>
      </c>
      <c r="V29" s="8" t="s">
        <v>164</v>
      </c>
      <c r="W29" s="9">
        <v>3</v>
      </c>
      <c r="X29" s="50" t="s">
        <v>156</v>
      </c>
      <c r="Y29" s="23">
        <f t="shared" si="11"/>
        <v>9</v>
      </c>
      <c r="Z29" s="66"/>
    </row>
    <row r="30" spans="1:28" ht="62">
      <c r="A30" s="47" t="str">
        <f t="shared" si="12"/>
        <v>材1-1-PE-03</v>
      </c>
      <c r="B30" s="48">
        <f t="shared" si="0"/>
        <v>0</v>
      </c>
      <c r="C30" s="48" t="str">
        <f t="shared" si="1"/>
        <v>系統負責人、開發、資料庫管理人員</v>
      </c>
      <c r="D30" s="48" t="str">
        <f t="shared" si="2"/>
        <v>元弘科技-邵錡鼎</v>
      </c>
      <c r="E30" s="48">
        <f t="shared" si="3"/>
        <v>1</v>
      </c>
      <c r="F30" s="48" t="str">
        <f t="shared" si="4"/>
        <v>邵錡鼎</v>
      </c>
      <c r="G30" s="48">
        <f t="shared" si="5"/>
        <v>2</v>
      </c>
      <c r="H30" s="48">
        <f t="shared" si="6"/>
        <v>2</v>
      </c>
      <c r="I30" s="48">
        <f t="shared" si="7"/>
        <v>2</v>
      </c>
      <c r="J30" s="48">
        <f t="shared" si="8"/>
        <v>3</v>
      </c>
      <c r="K30" s="49">
        <f t="shared" si="9"/>
        <v>3</v>
      </c>
      <c r="L30" s="49">
        <f t="shared" si="10"/>
        <v>9</v>
      </c>
      <c r="M30" s="124" t="s">
        <v>149</v>
      </c>
      <c r="N30" s="125" t="s">
        <v>102</v>
      </c>
      <c r="O30" s="126" t="s">
        <v>102</v>
      </c>
      <c r="P30" s="122" t="s">
        <v>103</v>
      </c>
      <c r="Q30" s="123" t="s">
        <v>103</v>
      </c>
      <c r="R30" s="123" t="s">
        <v>103</v>
      </c>
      <c r="S30" s="123" t="s">
        <v>103</v>
      </c>
      <c r="T30" s="9" t="s">
        <v>80</v>
      </c>
      <c r="U30" s="9">
        <v>1</v>
      </c>
      <c r="V30" s="8" t="s">
        <v>165</v>
      </c>
      <c r="W30" s="9">
        <v>3</v>
      </c>
      <c r="X30" s="50" t="s">
        <v>156</v>
      </c>
      <c r="Y30" s="23">
        <f t="shared" si="11"/>
        <v>9</v>
      </c>
      <c r="Z30" s="66"/>
    </row>
    <row r="31" spans="1:28" ht="62">
      <c r="A31" s="47" t="str">
        <f t="shared" si="12"/>
        <v>材1-1-PE-03</v>
      </c>
      <c r="B31" s="48">
        <f t="shared" si="0"/>
        <v>0</v>
      </c>
      <c r="C31" s="48" t="str">
        <f t="shared" si="1"/>
        <v>系統負責人、開發、資料庫管理人員</v>
      </c>
      <c r="D31" s="48" t="str">
        <f t="shared" si="2"/>
        <v>元弘科技-邵錡鼎</v>
      </c>
      <c r="E31" s="48">
        <f t="shared" si="3"/>
        <v>1</v>
      </c>
      <c r="F31" s="48" t="str">
        <f t="shared" si="4"/>
        <v>邵錡鼎</v>
      </c>
      <c r="G31" s="48">
        <f t="shared" si="5"/>
        <v>2</v>
      </c>
      <c r="H31" s="48">
        <f t="shared" si="6"/>
        <v>2</v>
      </c>
      <c r="I31" s="48">
        <f t="shared" si="7"/>
        <v>2</v>
      </c>
      <c r="J31" s="48">
        <f t="shared" si="8"/>
        <v>3</v>
      </c>
      <c r="K31" s="49">
        <f t="shared" si="9"/>
        <v>3</v>
      </c>
      <c r="L31" s="49">
        <f t="shared" si="10"/>
        <v>9</v>
      </c>
      <c r="M31" s="119" t="s">
        <v>102</v>
      </c>
      <c r="N31" s="120" t="s">
        <v>102</v>
      </c>
      <c r="O31" s="121" t="s">
        <v>102</v>
      </c>
      <c r="P31" s="122" t="s">
        <v>91</v>
      </c>
      <c r="Q31" s="123" t="s">
        <v>91</v>
      </c>
      <c r="R31" s="123" t="s">
        <v>91</v>
      </c>
      <c r="S31" s="123" t="s">
        <v>91</v>
      </c>
      <c r="T31" s="9" t="s">
        <v>155</v>
      </c>
      <c r="U31" s="9">
        <v>1</v>
      </c>
      <c r="V31" s="8" t="s">
        <v>166</v>
      </c>
      <c r="W31" s="9">
        <v>3</v>
      </c>
      <c r="X31" s="50" t="s">
        <v>156</v>
      </c>
      <c r="Y31" s="23">
        <f t="shared" si="11"/>
        <v>9</v>
      </c>
      <c r="Z31" s="66"/>
    </row>
    <row r="32" spans="1:28" ht="62">
      <c r="A32" s="47" t="str">
        <f t="shared" si="12"/>
        <v>材1-1-PE-03</v>
      </c>
      <c r="B32" s="48">
        <f t="shared" si="0"/>
        <v>0</v>
      </c>
      <c r="C32" s="48" t="str">
        <f t="shared" si="1"/>
        <v>系統負責人、開發、資料庫管理人員</v>
      </c>
      <c r="D32" s="48" t="str">
        <f t="shared" si="2"/>
        <v>元弘科技-邵錡鼎</v>
      </c>
      <c r="E32" s="48">
        <f t="shared" si="3"/>
        <v>1</v>
      </c>
      <c r="F32" s="48" t="str">
        <f t="shared" si="4"/>
        <v>邵錡鼎</v>
      </c>
      <c r="G32" s="48">
        <f t="shared" si="5"/>
        <v>2</v>
      </c>
      <c r="H32" s="48">
        <f t="shared" si="6"/>
        <v>2</v>
      </c>
      <c r="I32" s="48">
        <f t="shared" si="7"/>
        <v>2</v>
      </c>
      <c r="J32" s="48">
        <f t="shared" si="8"/>
        <v>3</v>
      </c>
      <c r="K32" s="49">
        <f t="shared" si="9"/>
        <v>3</v>
      </c>
      <c r="L32" s="49">
        <f t="shared" si="10"/>
        <v>9</v>
      </c>
      <c r="M32" s="119" t="s">
        <v>102</v>
      </c>
      <c r="N32" s="120" t="s">
        <v>102</v>
      </c>
      <c r="O32" s="121" t="s">
        <v>102</v>
      </c>
      <c r="P32" s="122" t="s">
        <v>82</v>
      </c>
      <c r="Q32" s="123" t="s">
        <v>82</v>
      </c>
      <c r="R32" s="123" t="s">
        <v>82</v>
      </c>
      <c r="S32" s="123" t="s">
        <v>82</v>
      </c>
      <c r="T32" s="9" t="s">
        <v>155</v>
      </c>
      <c r="U32" s="9">
        <v>1</v>
      </c>
      <c r="V32" s="8" t="s">
        <v>207</v>
      </c>
      <c r="W32" s="9">
        <v>3</v>
      </c>
      <c r="X32" s="50" t="s">
        <v>156</v>
      </c>
      <c r="Y32" s="23">
        <f t="shared" si="11"/>
        <v>9</v>
      </c>
      <c r="Z32" s="66"/>
    </row>
    <row r="33" spans="1:26">
      <c r="A33" s="47" t="str">
        <f t="shared" si="12"/>
        <v>材1-1-PE-03</v>
      </c>
      <c r="B33" s="48">
        <f t="shared" si="0"/>
        <v>0</v>
      </c>
      <c r="C33" s="48" t="str">
        <f t="shared" si="1"/>
        <v>系統負責人、開發、資料庫管理人員</v>
      </c>
      <c r="D33" s="48" t="str">
        <f t="shared" si="2"/>
        <v>元弘科技-邵錡鼎</v>
      </c>
      <c r="E33" s="48">
        <f t="shared" si="3"/>
        <v>1</v>
      </c>
      <c r="F33" s="48" t="str">
        <f t="shared" si="4"/>
        <v>邵錡鼎</v>
      </c>
      <c r="G33" s="48">
        <f t="shared" si="5"/>
        <v>2</v>
      </c>
      <c r="H33" s="48">
        <f t="shared" si="6"/>
        <v>2</v>
      </c>
      <c r="I33" s="48">
        <f t="shared" si="7"/>
        <v>2</v>
      </c>
      <c r="J33" s="48">
        <f t="shared" si="8"/>
        <v>3</v>
      </c>
      <c r="K33" s="49">
        <f t="shared" si="9"/>
        <v>3</v>
      </c>
      <c r="L33" s="49">
        <f t="shared" si="10"/>
        <v>9</v>
      </c>
      <c r="M33" s="124" t="s">
        <v>105</v>
      </c>
      <c r="N33" s="125"/>
      <c r="O33" s="126"/>
      <c r="P33" s="122" t="s">
        <v>104</v>
      </c>
      <c r="Q33" s="123"/>
      <c r="R33" s="123"/>
      <c r="S33" s="123"/>
      <c r="T33" s="67" t="s">
        <v>109</v>
      </c>
      <c r="U33" s="67"/>
      <c r="V33" s="8"/>
      <c r="W33" s="67"/>
      <c r="X33" s="67"/>
      <c r="Y33" s="23" t="str">
        <f t="shared" si="11"/>
        <v>不適用</v>
      </c>
      <c r="Z33" s="66"/>
    </row>
    <row r="34" spans="1:26">
      <c r="A34" s="47" t="str">
        <f t="shared" si="12"/>
        <v>材1-1-PE-03</v>
      </c>
      <c r="B34" s="48">
        <f t="shared" si="0"/>
        <v>0</v>
      </c>
      <c r="C34" s="48" t="str">
        <f t="shared" si="1"/>
        <v>系統負責人、開發、資料庫管理人員</v>
      </c>
      <c r="D34" s="48" t="str">
        <f t="shared" si="2"/>
        <v>元弘科技-邵錡鼎</v>
      </c>
      <c r="E34" s="48">
        <f t="shared" si="3"/>
        <v>1</v>
      </c>
      <c r="F34" s="48" t="str">
        <f t="shared" si="4"/>
        <v>邵錡鼎</v>
      </c>
      <c r="G34" s="48">
        <f t="shared" si="5"/>
        <v>2</v>
      </c>
      <c r="H34" s="48">
        <f t="shared" si="6"/>
        <v>2</v>
      </c>
      <c r="I34" s="48">
        <f t="shared" si="7"/>
        <v>2</v>
      </c>
      <c r="J34" s="48">
        <f t="shared" si="8"/>
        <v>3</v>
      </c>
      <c r="K34" s="49">
        <f t="shared" si="9"/>
        <v>3</v>
      </c>
      <c r="L34" s="49">
        <f t="shared" si="10"/>
        <v>9</v>
      </c>
      <c r="M34" s="127" t="s">
        <v>105</v>
      </c>
      <c r="N34" s="128"/>
      <c r="O34" s="129"/>
      <c r="P34" s="122" t="s">
        <v>106</v>
      </c>
      <c r="Q34" s="123"/>
      <c r="R34" s="123"/>
      <c r="S34" s="123"/>
      <c r="T34" s="67" t="s">
        <v>109</v>
      </c>
      <c r="U34" s="67"/>
      <c r="V34" s="8"/>
      <c r="W34" s="67"/>
      <c r="X34" s="67"/>
      <c r="Y34" s="23" t="str">
        <f t="shared" si="11"/>
        <v>不適用</v>
      </c>
      <c r="Z34" s="66"/>
    </row>
    <row r="35" spans="1:26" ht="31">
      <c r="A35" s="47" t="str">
        <f>$N$3</f>
        <v>材1-1-PE-03</v>
      </c>
      <c r="B35" s="48">
        <f t="shared" ref="B35:B36" si="13">VLOOKUP($N$3,ALL_LIST,2,FALSE)</f>
        <v>0</v>
      </c>
      <c r="C35" s="48" t="str">
        <f t="shared" ref="C35:C36" si="14">VLOOKUP($N$3,ALL_LIST,3,FALSE)</f>
        <v>系統負責人、開發、資料庫管理人員</v>
      </c>
      <c r="D35" s="48" t="str">
        <f t="shared" ref="D35:D36" si="15">VLOOKUP($N$3,ALL_LIST,4,FALSE)</f>
        <v>元弘科技-邵錡鼎</v>
      </c>
      <c r="E35" s="48">
        <f t="shared" ref="E35:E36" si="16">VLOOKUP($N$3,ALL_LIST,6,FALSE)</f>
        <v>1</v>
      </c>
      <c r="F35" s="48" t="str">
        <f t="shared" ref="F35:F36" si="17">VLOOKUP($N$3,ALL_LIST,7,FALSE)</f>
        <v>邵錡鼎</v>
      </c>
      <c r="G35" s="48">
        <f t="shared" ref="G35:G36" si="18">VLOOKUP($N$3,ALL_LIST,8,FALSE)</f>
        <v>2</v>
      </c>
      <c r="H35" s="48">
        <f t="shared" ref="H35:H36" si="19">VLOOKUP($N$3,ALL_LIST,10,FALSE)</f>
        <v>2</v>
      </c>
      <c r="I35" s="48">
        <f t="shared" ref="I35:I36" si="20">VLOOKUP($N$3,ALL_LIST,12,FALSE)</f>
        <v>2</v>
      </c>
      <c r="J35" s="48">
        <f t="shared" ref="J35:J36" si="21">VLOOKUP($N$3,ALL_LIST,14,FALSE)</f>
        <v>3</v>
      </c>
      <c r="K35" s="49">
        <f t="shared" ref="K35:K36" si="22">VLOOKUP($N$3,ALL_LIST,16,FALSE)</f>
        <v>3</v>
      </c>
      <c r="L35" s="49">
        <f t="shared" si="10"/>
        <v>9</v>
      </c>
      <c r="M35" s="130" t="s">
        <v>192</v>
      </c>
      <c r="N35" s="131"/>
      <c r="O35" s="132"/>
      <c r="P35" s="133" t="s">
        <v>193</v>
      </c>
      <c r="Q35" s="134"/>
      <c r="R35" s="134"/>
      <c r="S35" s="122"/>
      <c r="T35" s="9" t="s">
        <v>80</v>
      </c>
      <c r="U35" s="9">
        <v>1</v>
      </c>
      <c r="V35" s="8" t="s">
        <v>194</v>
      </c>
      <c r="W35" s="9">
        <v>2</v>
      </c>
      <c r="X35" s="8" t="s">
        <v>195</v>
      </c>
      <c r="Y35" s="23">
        <f t="shared" si="11"/>
        <v>6</v>
      </c>
      <c r="Z35" s="66"/>
    </row>
    <row r="36" spans="1:26" ht="46.5">
      <c r="A36" s="47" t="str">
        <f>$N$3</f>
        <v>材1-1-PE-03</v>
      </c>
      <c r="B36" s="48">
        <f t="shared" si="13"/>
        <v>0</v>
      </c>
      <c r="C36" s="48" t="str">
        <f t="shared" si="14"/>
        <v>系統負責人、開發、資料庫管理人員</v>
      </c>
      <c r="D36" s="48" t="str">
        <f t="shared" si="15"/>
        <v>元弘科技-邵錡鼎</v>
      </c>
      <c r="E36" s="48">
        <f t="shared" si="16"/>
        <v>1</v>
      </c>
      <c r="F36" s="48" t="str">
        <f t="shared" si="17"/>
        <v>邵錡鼎</v>
      </c>
      <c r="G36" s="48">
        <f t="shared" si="18"/>
        <v>2</v>
      </c>
      <c r="H36" s="48">
        <f t="shared" si="19"/>
        <v>2</v>
      </c>
      <c r="I36" s="48">
        <f t="shared" si="20"/>
        <v>2</v>
      </c>
      <c r="J36" s="48">
        <f t="shared" si="21"/>
        <v>3</v>
      </c>
      <c r="K36" s="49">
        <f t="shared" si="22"/>
        <v>3</v>
      </c>
      <c r="L36" s="49">
        <f t="shared" si="10"/>
        <v>9</v>
      </c>
      <c r="M36" s="135"/>
      <c r="N36" s="136"/>
      <c r="O36" s="137"/>
      <c r="P36" s="133" t="s">
        <v>196</v>
      </c>
      <c r="Q36" s="134"/>
      <c r="R36" s="134"/>
      <c r="S36" s="122"/>
      <c r="T36" s="9" t="s">
        <v>80</v>
      </c>
      <c r="U36" s="9">
        <v>1</v>
      </c>
      <c r="V36" s="8" t="s">
        <v>194</v>
      </c>
      <c r="W36" s="9">
        <v>2</v>
      </c>
      <c r="X36" s="8" t="s">
        <v>197</v>
      </c>
      <c r="Y36" s="23">
        <f t="shared" si="11"/>
        <v>6</v>
      </c>
      <c r="Z36" s="66"/>
    </row>
    <row r="37" spans="1:26" ht="16" thickBot="1">
      <c r="A37" s="52" t="str">
        <f t="shared" si="12"/>
        <v>材1-1-PE-03</v>
      </c>
      <c r="B37" s="53">
        <f t="shared" si="0"/>
        <v>0</v>
      </c>
      <c r="C37" s="53" t="str">
        <f t="shared" si="1"/>
        <v>系統負責人、開發、資料庫管理人員</v>
      </c>
      <c r="D37" s="53" t="str">
        <f t="shared" si="2"/>
        <v>元弘科技-邵錡鼎</v>
      </c>
      <c r="E37" s="53">
        <f t="shared" si="3"/>
        <v>1</v>
      </c>
      <c r="F37" s="53" t="str">
        <f t="shared" si="4"/>
        <v>邵錡鼎</v>
      </c>
      <c r="G37" s="53">
        <f t="shared" si="5"/>
        <v>2</v>
      </c>
      <c r="H37" s="53">
        <f t="shared" si="6"/>
        <v>2</v>
      </c>
      <c r="I37" s="53">
        <f t="shared" si="7"/>
        <v>2</v>
      </c>
      <c r="J37" s="53">
        <f t="shared" si="8"/>
        <v>3</v>
      </c>
      <c r="K37" s="54">
        <f t="shared" si="9"/>
        <v>3</v>
      </c>
      <c r="L37" s="54">
        <f t="shared" si="10"/>
        <v>9</v>
      </c>
      <c r="M37" s="113" t="s">
        <v>107</v>
      </c>
      <c r="N37" s="114"/>
      <c r="O37" s="115"/>
      <c r="P37" s="116" t="s">
        <v>108</v>
      </c>
      <c r="Q37" s="117"/>
      <c r="R37" s="117"/>
      <c r="S37" s="118"/>
      <c r="T37" s="67" t="s">
        <v>109</v>
      </c>
      <c r="U37" s="67"/>
      <c r="V37" s="67"/>
      <c r="W37" s="67"/>
      <c r="X37" s="67"/>
      <c r="Y37" s="68" t="str">
        <f t="shared" si="11"/>
        <v>不適用</v>
      </c>
      <c r="Z37" s="69"/>
    </row>
    <row r="42" spans="1:26">
      <c r="M42" s="7"/>
    </row>
  </sheetData>
  <sheetProtection formatCells="0" formatColumns="0" formatRows="0" insertColumns="0" insertRows="0" insertHyperlinks="0" deleteColumns="0" deleteRows="0" sort="0" autoFilter="0" pivotTables="0"/>
  <autoFilter ref="M10:Z10" xr:uid="{00000000-0009-0000-0000-000005000000}">
    <filterColumn colId="0" showButton="0"/>
    <filterColumn colId="1" showButton="0"/>
    <filterColumn colId="3" showButton="0"/>
    <filterColumn colId="4" showButton="0"/>
    <filterColumn colId="5" showButton="0"/>
  </autoFilter>
  <mergeCells count="63">
    <mergeCell ref="M12:O12"/>
    <mergeCell ref="P12:S12"/>
    <mergeCell ref="M1:Z1"/>
    <mergeCell ref="N2:P2"/>
    <mergeCell ref="N3:P3"/>
    <mergeCell ref="N4:P4"/>
    <mergeCell ref="N5:P5"/>
    <mergeCell ref="N6:P6"/>
    <mergeCell ref="N7:P7"/>
    <mergeCell ref="M10:O10"/>
    <mergeCell ref="P10:S10"/>
    <mergeCell ref="M11:O11"/>
    <mergeCell ref="P11:S11"/>
    <mergeCell ref="M13:O13"/>
    <mergeCell ref="P13:S13"/>
    <mergeCell ref="M14:O14"/>
    <mergeCell ref="P14:S14"/>
    <mergeCell ref="M15:O15"/>
    <mergeCell ref="P15:S15"/>
    <mergeCell ref="M16:O16"/>
    <mergeCell ref="P16:S16"/>
    <mergeCell ref="M17:O17"/>
    <mergeCell ref="P17:S17"/>
    <mergeCell ref="M18:O18"/>
    <mergeCell ref="P18:S18"/>
    <mergeCell ref="M24:O24"/>
    <mergeCell ref="P24:S24"/>
    <mergeCell ref="M19:O19"/>
    <mergeCell ref="P19:S19"/>
    <mergeCell ref="M20:O20"/>
    <mergeCell ref="P20:S20"/>
    <mergeCell ref="M21:O21"/>
    <mergeCell ref="P21:S21"/>
    <mergeCell ref="M22:O22"/>
    <mergeCell ref="P22:S22"/>
    <mergeCell ref="M23:O23"/>
    <mergeCell ref="P23:S23"/>
    <mergeCell ref="M33:O33"/>
    <mergeCell ref="P33:S33"/>
    <mergeCell ref="M28:O28"/>
    <mergeCell ref="P28:S28"/>
    <mergeCell ref="M29:O29"/>
    <mergeCell ref="P29:S29"/>
    <mergeCell ref="M30:O30"/>
    <mergeCell ref="P30:S30"/>
    <mergeCell ref="M31:O31"/>
    <mergeCell ref="P31:S31"/>
    <mergeCell ref="M32:O32"/>
    <mergeCell ref="P32:S32"/>
    <mergeCell ref="M25:O25"/>
    <mergeCell ref="P25:S25"/>
    <mergeCell ref="M26:O26"/>
    <mergeCell ref="P26:S26"/>
    <mergeCell ref="M27:O27"/>
    <mergeCell ref="P27:S27"/>
    <mergeCell ref="M34:O34"/>
    <mergeCell ref="P34:S34"/>
    <mergeCell ref="M37:O37"/>
    <mergeCell ref="P37:S37"/>
    <mergeCell ref="M35:O35"/>
    <mergeCell ref="P35:S35"/>
    <mergeCell ref="M36:O36"/>
    <mergeCell ref="P36:S36"/>
  </mergeCells>
  <phoneticPr fontId="1" type="noConversion"/>
  <dataValidations count="2">
    <dataValidation type="list" allowBlank="1" showInputMessage="1" showErrorMessage="1" sqref="T65549:T65572 JI65549:JI65572 TE65549:TE65572 ADA65549:ADA65572 AMW65549:AMW65572 AWS65549:AWS65572 BGO65549:BGO65572 BQK65549:BQK65572 CAG65549:CAG65572 CKC65549:CKC65572 CTY65549:CTY65572 DDU65549:DDU65572 DNQ65549:DNQ65572 DXM65549:DXM65572 EHI65549:EHI65572 ERE65549:ERE65572 FBA65549:FBA65572 FKW65549:FKW65572 FUS65549:FUS65572 GEO65549:GEO65572 GOK65549:GOK65572 GYG65549:GYG65572 HIC65549:HIC65572 HRY65549:HRY65572 IBU65549:IBU65572 ILQ65549:ILQ65572 IVM65549:IVM65572 JFI65549:JFI65572 JPE65549:JPE65572 JZA65549:JZA65572 KIW65549:KIW65572 KSS65549:KSS65572 LCO65549:LCO65572 LMK65549:LMK65572 LWG65549:LWG65572 MGC65549:MGC65572 MPY65549:MPY65572 MZU65549:MZU65572 NJQ65549:NJQ65572 NTM65549:NTM65572 ODI65549:ODI65572 ONE65549:ONE65572 OXA65549:OXA65572 PGW65549:PGW65572 PQS65549:PQS65572 QAO65549:QAO65572 QKK65549:QKK65572 QUG65549:QUG65572 REC65549:REC65572 RNY65549:RNY65572 RXU65549:RXU65572 SHQ65549:SHQ65572 SRM65549:SRM65572 TBI65549:TBI65572 TLE65549:TLE65572 TVA65549:TVA65572 UEW65549:UEW65572 UOS65549:UOS65572 UYO65549:UYO65572 VIK65549:VIK65572 VSG65549:VSG65572 WCC65549:WCC65572 WLY65549:WLY65572 WVU65549:WVU65572 T131085:T131108 JI131085:JI131108 TE131085:TE131108 ADA131085:ADA131108 AMW131085:AMW131108 AWS131085:AWS131108 BGO131085:BGO131108 BQK131085:BQK131108 CAG131085:CAG131108 CKC131085:CKC131108 CTY131085:CTY131108 DDU131085:DDU131108 DNQ131085:DNQ131108 DXM131085:DXM131108 EHI131085:EHI131108 ERE131085:ERE131108 FBA131085:FBA131108 FKW131085:FKW131108 FUS131085:FUS131108 GEO131085:GEO131108 GOK131085:GOK131108 GYG131085:GYG131108 HIC131085:HIC131108 HRY131085:HRY131108 IBU131085:IBU131108 ILQ131085:ILQ131108 IVM131085:IVM131108 JFI131085:JFI131108 JPE131085:JPE131108 JZA131085:JZA131108 KIW131085:KIW131108 KSS131085:KSS131108 LCO131085:LCO131108 LMK131085:LMK131108 LWG131085:LWG131108 MGC131085:MGC131108 MPY131085:MPY131108 MZU131085:MZU131108 NJQ131085:NJQ131108 NTM131085:NTM131108 ODI131085:ODI131108 ONE131085:ONE131108 OXA131085:OXA131108 PGW131085:PGW131108 PQS131085:PQS131108 QAO131085:QAO131108 QKK131085:QKK131108 QUG131085:QUG131108 REC131085:REC131108 RNY131085:RNY131108 RXU131085:RXU131108 SHQ131085:SHQ131108 SRM131085:SRM131108 TBI131085:TBI131108 TLE131085:TLE131108 TVA131085:TVA131108 UEW131085:UEW131108 UOS131085:UOS131108 UYO131085:UYO131108 VIK131085:VIK131108 VSG131085:VSG131108 WCC131085:WCC131108 WLY131085:WLY131108 WVU131085:WVU131108 T196621:T196644 JI196621:JI196644 TE196621:TE196644 ADA196621:ADA196644 AMW196621:AMW196644 AWS196621:AWS196644 BGO196621:BGO196644 BQK196621:BQK196644 CAG196621:CAG196644 CKC196621:CKC196644 CTY196621:CTY196644 DDU196621:DDU196644 DNQ196621:DNQ196644 DXM196621:DXM196644 EHI196621:EHI196644 ERE196621:ERE196644 FBA196621:FBA196644 FKW196621:FKW196644 FUS196621:FUS196644 GEO196621:GEO196644 GOK196621:GOK196644 GYG196621:GYG196644 HIC196621:HIC196644 HRY196621:HRY196644 IBU196621:IBU196644 ILQ196621:ILQ196644 IVM196621:IVM196644 JFI196621:JFI196644 JPE196621:JPE196644 JZA196621:JZA196644 KIW196621:KIW196644 KSS196621:KSS196644 LCO196621:LCO196644 LMK196621:LMK196644 LWG196621:LWG196644 MGC196621:MGC196644 MPY196621:MPY196644 MZU196621:MZU196644 NJQ196621:NJQ196644 NTM196621:NTM196644 ODI196621:ODI196644 ONE196621:ONE196644 OXA196621:OXA196644 PGW196621:PGW196644 PQS196621:PQS196644 QAO196621:QAO196644 QKK196621:QKK196644 QUG196621:QUG196644 REC196621:REC196644 RNY196621:RNY196644 RXU196621:RXU196644 SHQ196621:SHQ196644 SRM196621:SRM196644 TBI196621:TBI196644 TLE196621:TLE196644 TVA196621:TVA196644 UEW196621:UEW196644 UOS196621:UOS196644 UYO196621:UYO196644 VIK196621:VIK196644 VSG196621:VSG196644 WCC196621:WCC196644 WLY196621:WLY196644 WVU196621:WVU196644 T262157:T262180 JI262157:JI262180 TE262157:TE262180 ADA262157:ADA262180 AMW262157:AMW262180 AWS262157:AWS262180 BGO262157:BGO262180 BQK262157:BQK262180 CAG262157:CAG262180 CKC262157:CKC262180 CTY262157:CTY262180 DDU262157:DDU262180 DNQ262157:DNQ262180 DXM262157:DXM262180 EHI262157:EHI262180 ERE262157:ERE262180 FBA262157:FBA262180 FKW262157:FKW262180 FUS262157:FUS262180 GEO262157:GEO262180 GOK262157:GOK262180 GYG262157:GYG262180 HIC262157:HIC262180 HRY262157:HRY262180 IBU262157:IBU262180 ILQ262157:ILQ262180 IVM262157:IVM262180 JFI262157:JFI262180 JPE262157:JPE262180 JZA262157:JZA262180 KIW262157:KIW262180 KSS262157:KSS262180 LCO262157:LCO262180 LMK262157:LMK262180 LWG262157:LWG262180 MGC262157:MGC262180 MPY262157:MPY262180 MZU262157:MZU262180 NJQ262157:NJQ262180 NTM262157:NTM262180 ODI262157:ODI262180 ONE262157:ONE262180 OXA262157:OXA262180 PGW262157:PGW262180 PQS262157:PQS262180 QAO262157:QAO262180 QKK262157:QKK262180 QUG262157:QUG262180 REC262157:REC262180 RNY262157:RNY262180 RXU262157:RXU262180 SHQ262157:SHQ262180 SRM262157:SRM262180 TBI262157:TBI262180 TLE262157:TLE262180 TVA262157:TVA262180 UEW262157:UEW262180 UOS262157:UOS262180 UYO262157:UYO262180 VIK262157:VIK262180 VSG262157:VSG262180 WCC262157:WCC262180 WLY262157:WLY262180 WVU262157:WVU262180 T327693:T327716 JI327693:JI327716 TE327693:TE327716 ADA327693:ADA327716 AMW327693:AMW327716 AWS327693:AWS327716 BGO327693:BGO327716 BQK327693:BQK327716 CAG327693:CAG327716 CKC327693:CKC327716 CTY327693:CTY327716 DDU327693:DDU327716 DNQ327693:DNQ327716 DXM327693:DXM327716 EHI327693:EHI327716 ERE327693:ERE327716 FBA327693:FBA327716 FKW327693:FKW327716 FUS327693:FUS327716 GEO327693:GEO327716 GOK327693:GOK327716 GYG327693:GYG327716 HIC327693:HIC327716 HRY327693:HRY327716 IBU327693:IBU327716 ILQ327693:ILQ327716 IVM327693:IVM327716 JFI327693:JFI327716 JPE327693:JPE327716 JZA327693:JZA327716 KIW327693:KIW327716 KSS327693:KSS327716 LCO327693:LCO327716 LMK327693:LMK327716 LWG327693:LWG327716 MGC327693:MGC327716 MPY327693:MPY327716 MZU327693:MZU327716 NJQ327693:NJQ327716 NTM327693:NTM327716 ODI327693:ODI327716 ONE327693:ONE327716 OXA327693:OXA327716 PGW327693:PGW327716 PQS327693:PQS327716 QAO327693:QAO327716 QKK327693:QKK327716 QUG327693:QUG327716 REC327693:REC327716 RNY327693:RNY327716 RXU327693:RXU327716 SHQ327693:SHQ327716 SRM327693:SRM327716 TBI327693:TBI327716 TLE327693:TLE327716 TVA327693:TVA327716 UEW327693:UEW327716 UOS327693:UOS327716 UYO327693:UYO327716 VIK327693:VIK327716 VSG327693:VSG327716 WCC327693:WCC327716 WLY327693:WLY327716 WVU327693:WVU327716 T393229:T393252 JI393229:JI393252 TE393229:TE393252 ADA393229:ADA393252 AMW393229:AMW393252 AWS393229:AWS393252 BGO393229:BGO393252 BQK393229:BQK393252 CAG393229:CAG393252 CKC393229:CKC393252 CTY393229:CTY393252 DDU393229:DDU393252 DNQ393229:DNQ393252 DXM393229:DXM393252 EHI393229:EHI393252 ERE393229:ERE393252 FBA393229:FBA393252 FKW393229:FKW393252 FUS393229:FUS393252 GEO393229:GEO393252 GOK393229:GOK393252 GYG393229:GYG393252 HIC393229:HIC393252 HRY393229:HRY393252 IBU393229:IBU393252 ILQ393229:ILQ393252 IVM393229:IVM393252 JFI393229:JFI393252 JPE393229:JPE393252 JZA393229:JZA393252 KIW393229:KIW393252 KSS393229:KSS393252 LCO393229:LCO393252 LMK393229:LMK393252 LWG393229:LWG393252 MGC393229:MGC393252 MPY393229:MPY393252 MZU393229:MZU393252 NJQ393229:NJQ393252 NTM393229:NTM393252 ODI393229:ODI393252 ONE393229:ONE393252 OXA393229:OXA393252 PGW393229:PGW393252 PQS393229:PQS393252 QAO393229:QAO393252 QKK393229:QKK393252 QUG393229:QUG393252 REC393229:REC393252 RNY393229:RNY393252 RXU393229:RXU393252 SHQ393229:SHQ393252 SRM393229:SRM393252 TBI393229:TBI393252 TLE393229:TLE393252 TVA393229:TVA393252 UEW393229:UEW393252 UOS393229:UOS393252 UYO393229:UYO393252 VIK393229:VIK393252 VSG393229:VSG393252 WCC393229:WCC393252 WLY393229:WLY393252 WVU393229:WVU393252 T458765:T458788 JI458765:JI458788 TE458765:TE458788 ADA458765:ADA458788 AMW458765:AMW458788 AWS458765:AWS458788 BGO458765:BGO458788 BQK458765:BQK458788 CAG458765:CAG458788 CKC458765:CKC458788 CTY458765:CTY458788 DDU458765:DDU458788 DNQ458765:DNQ458788 DXM458765:DXM458788 EHI458765:EHI458788 ERE458765:ERE458788 FBA458765:FBA458788 FKW458765:FKW458788 FUS458765:FUS458788 GEO458765:GEO458788 GOK458765:GOK458788 GYG458765:GYG458788 HIC458765:HIC458788 HRY458765:HRY458788 IBU458765:IBU458788 ILQ458765:ILQ458788 IVM458765:IVM458788 JFI458765:JFI458788 JPE458765:JPE458788 JZA458765:JZA458788 KIW458765:KIW458788 KSS458765:KSS458788 LCO458765:LCO458788 LMK458765:LMK458788 LWG458765:LWG458788 MGC458765:MGC458788 MPY458765:MPY458788 MZU458765:MZU458788 NJQ458765:NJQ458788 NTM458765:NTM458788 ODI458765:ODI458788 ONE458765:ONE458788 OXA458765:OXA458788 PGW458765:PGW458788 PQS458765:PQS458788 QAO458765:QAO458788 QKK458765:QKK458788 QUG458765:QUG458788 REC458765:REC458788 RNY458765:RNY458788 RXU458765:RXU458788 SHQ458765:SHQ458788 SRM458765:SRM458788 TBI458765:TBI458788 TLE458765:TLE458788 TVA458765:TVA458788 UEW458765:UEW458788 UOS458765:UOS458788 UYO458765:UYO458788 VIK458765:VIK458788 VSG458765:VSG458788 WCC458765:WCC458788 WLY458765:WLY458788 WVU458765:WVU458788 T524301:T524324 JI524301:JI524324 TE524301:TE524324 ADA524301:ADA524324 AMW524301:AMW524324 AWS524301:AWS524324 BGO524301:BGO524324 BQK524301:BQK524324 CAG524301:CAG524324 CKC524301:CKC524324 CTY524301:CTY524324 DDU524301:DDU524324 DNQ524301:DNQ524324 DXM524301:DXM524324 EHI524301:EHI524324 ERE524301:ERE524324 FBA524301:FBA524324 FKW524301:FKW524324 FUS524301:FUS524324 GEO524301:GEO524324 GOK524301:GOK524324 GYG524301:GYG524324 HIC524301:HIC524324 HRY524301:HRY524324 IBU524301:IBU524324 ILQ524301:ILQ524324 IVM524301:IVM524324 JFI524301:JFI524324 JPE524301:JPE524324 JZA524301:JZA524324 KIW524301:KIW524324 KSS524301:KSS524324 LCO524301:LCO524324 LMK524301:LMK524324 LWG524301:LWG524324 MGC524301:MGC524324 MPY524301:MPY524324 MZU524301:MZU524324 NJQ524301:NJQ524324 NTM524301:NTM524324 ODI524301:ODI524324 ONE524301:ONE524324 OXA524301:OXA524324 PGW524301:PGW524324 PQS524301:PQS524324 QAO524301:QAO524324 QKK524301:QKK524324 QUG524301:QUG524324 REC524301:REC524324 RNY524301:RNY524324 RXU524301:RXU524324 SHQ524301:SHQ524324 SRM524301:SRM524324 TBI524301:TBI524324 TLE524301:TLE524324 TVA524301:TVA524324 UEW524301:UEW524324 UOS524301:UOS524324 UYO524301:UYO524324 VIK524301:VIK524324 VSG524301:VSG524324 WCC524301:WCC524324 WLY524301:WLY524324 WVU524301:WVU524324 T589837:T589860 JI589837:JI589860 TE589837:TE589860 ADA589837:ADA589860 AMW589837:AMW589860 AWS589837:AWS589860 BGO589837:BGO589860 BQK589837:BQK589860 CAG589837:CAG589860 CKC589837:CKC589860 CTY589837:CTY589860 DDU589837:DDU589860 DNQ589837:DNQ589860 DXM589837:DXM589860 EHI589837:EHI589860 ERE589837:ERE589860 FBA589837:FBA589860 FKW589837:FKW589860 FUS589837:FUS589860 GEO589837:GEO589860 GOK589837:GOK589860 GYG589837:GYG589860 HIC589837:HIC589860 HRY589837:HRY589860 IBU589837:IBU589860 ILQ589837:ILQ589860 IVM589837:IVM589860 JFI589837:JFI589860 JPE589837:JPE589860 JZA589837:JZA589860 KIW589837:KIW589860 KSS589837:KSS589860 LCO589837:LCO589860 LMK589837:LMK589860 LWG589837:LWG589860 MGC589837:MGC589860 MPY589837:MPY589860 MZU589837:MZU589860 NJQ589837:NJQ589860 NTM589837:NTM589860 ODI589837:ODI589860 ONE589837:ONE589860 OXA589837:OXA589860 PGW589837:PGW589860 PQS589837:PQS589860 QAO589837:QAO589860 QKK589837:QKK589860 QUG589837:QUG589860 REC589837:REC589860 RNY589837:RNY589860 RXU589837:RXU589860 SHQ589837:SHQ589860 SRM589837:SRM589860 TBI589837:TBI589860 TLE589837:TLE589860 TVA589837:TVA589860 UEW589837:UEW589860 UOS589837:UOS589860 UYO589837:UYO589860 VIK589837:VIK589860 VSG589837:VSG589860 WCC589837:WCC589860 WLY589837:WLY589860 WVU589837:WVU589860 T655373:T655396 JI655373:JI655396 TE655373:TE655396 ADA655373:ADA655396 AMW655373:AMW655396 AWS655373:AWS655396 BGO655373:BGO655396 BQK655373:BQK655396 CAG655373:CAG655396 CKC655373:CKC655396 CTY655373:CTY655396 DDU655373:DDU655396 DNQ655373:DNQ655396 DXM655373:DXM655396 EHI655373:EHI655396 ERE655373:ERE655396 FBA655373:FBA655396 FKW655373:FKW655396 FUS655373:FUS655396 GEO655373:GEO655396 GOK655373:GOK655396 GYG655373:GYG655396 HIC655373:HIC655396 HRY655373:HRY655396 IBU655373:IBU655396 ILQ655373:ILQ655396 IVM655373:IVM655396 JFI655373:JFI655396 JPE655373:JPE655396 JZA655373:JZA655396 KIW655373:KIW655396 KSS655373:KSS655396 LCO655373:LCO655396 LMK655373:LMK655396 LWG655373:LWG655396 MGC655373:MGC655396 MPY655373:MPY655396 MZU655373:MZU655396 NJQ655373:NJQ655396 NTM655373:NTM655396 ODI655373:ODI655396 ONE655373:ONE655396 OXA655373:OXA655396 PGW655373:PGW655396 PQS655373:PQS655396 QAO655373:QAO655396 QKK655373:QKK655396 QUG655373:QUG655396 REC655373:REC655396 RNY655373:RNY655396 RXU655373:RXU655396 SHQ655373:SHQ655396 SRM655373:SRM655396 TBI655373:TBI655396 TLE655373:TLE655396 TVA655373:TVA655396 UEW655373:UEW655396 UOS655373:UOS655396 UYO655373:UYO655396 VIK655373:VIK655396 VSG655373:VSG655396 WCC655373:WCC655396 WLY655373:WLY655396 WVU655373:WVU655396 T720909:T720932 JI720909:JI720932 TE720909:TE720932 ADA720909:ADA720932 AMW720909:AMW720932 AWS720909:AWS720932 BGO720909:BGO720932 BQK720909:BQK720932 CAG720909:CAG720932 CKC720909:CKC720932 CTY720909:CTY720932 DDU720909:DDU720932 DNQ720909:DNQ720932 DXM720909:DXM720932 EHI720909:EHI720932 ERE720909:ERE720932 FBA720909:FBA720932 FKW720909:FKW720932 FUS720909:FUS720932 GEO720909:GEO720932 GOK720909:GOK720932 GYG720909:GYG720932 HIC720909:HIC720932 HRY720909:HRY720932 IBU720909:IBU720932 ILQ720909:ILQ720932 IVM720909:IVM720932 JFI720909:JFI720932 JPE720909:JPE720932 JZA720909:JZA720932 KIW720909:KIW720932 KSS720909:KSS720932 LCO720909:LCO720932 LMK720909:LMK720932 LWG720909:LWG720932 MGC720909:MGC720932 MPY720909:MPY720932 MZU720909:MZU720932 NJQ720909:NJQ720932 NTM720909:NTM720932 ODI720909:ODI720932 ONE720909:ONE720932 OXA720909:OXA720932 PGW720909:PGW720932 PQS720909:PQS720932 QAO720909:QAO720932 QKK720909:QKK720932 QUG720909:QUG720932 REC720909:REC720932 RNY720909:RNY720932 RXU720909:RXU720932 SHQ720909:SHQ720932 SRM720909:SRM720932 TBI720909:TBI720932 TLE720909:TLE720932 TVA720909:TVA720932 UEW720909:UEW720932 UOS720909:UOS720932 UYO720909:UYO720932 VIK720909:VIK720932 VSG720909:VSG720932 WCC720909:WCC720932 WLY720909:WLY720932 WVU720909:WVU720932 T786445:T786468 JI786445:JI786468 TE786445:TE786468 ADA786445:ADA786468 AMW786445:AMW786468 AWS786445:AWS786468 BGO786445:BGO786468 BQK786445:BQK786468 CAG786445:CAG786468 CKC786445:CKC786468 CTY786445:CTY786468 DDU786445:DDU786468 DNQ786445:DNQ786468 DXM786445:DXM786468 EHI786445:EHI786468 ERE786445:ERE786468 FBA786445:FBA786468 FKW786445:FKW786468 FUS786445:FUS786468 GEO786445:GEO786468 GOK786445:GOK786468 GYG786445:GYG786468 HIC786445:HIC786468 HRY786445:HRY786468 IBU786445:IBU786468 ILQ786445:ILQ786468 IVM786445:IVM786468 JFI786445:JFI786468 JPE786445:JPE786468 JZA786445:JZA786468 KIW786445:KIW786468 KSS786445:KSS786468 LCO786445:LCO786468 LMK786445:LMK786468 LWG786445:LWG786468 MGC786445:MGC786468 MPY786445:MPY786468 MZU786445:MZU786468 NJQ786445:NJQ786468 NTM786445:NTM786468 ODI786445:ODI786468 ONE786445:ONE786468 OXA786445:OXA786468 PGW786445:PGW786468 PQS786445:PQS786468 QAO786445:QAO786468 QKK786445:QKK786468 QUG786445:QUG786468 REC786445:REC786468 RNY786445:RNY786468 RXU786445:RXU786468 SHQ786445:SHQ786468 SRM786445:SRM786468 TBI786445:TBI786468 TLE786445:TLE786468 TVA786445:TVA786468 UEW786445:UEW786468 UOS786445:UOS786468 UYO786445:UYO786468 VIK786445:VIK786468 VSG786445:VSG786468 WCC786445:WCC786468 WLY786445:WLY786468 WVU786445:WVU786468 T851981:T852004 JI851981:JI852004 TE851981:TE852004 ADA851981:ADA852004 AMW851981:AMW852004 AWS851981:AWS852004 BGO851981:BGO852004 BQK851981:BQK852004 CAG851981:CAG852004 CKC851981:CKC852004 CTY851981:CTY852004 DDU851981:DDU852004 DNQ851981:DNQ852004 DXM851981:DXM852004 EHI851981:EHI852004 ERE851981:ERE852004 FBA851981:FBA852004 FKW851981:FKW852004 FUS851981:FUS852004 GEO851981:GEO852004 GOK851981:GOK852004 GYG851981:GYG852004 HIC851981:HIC852004 HRY851981:HRY852004 IBU851981:IBU852004 ILQ851981:ILQ852004 IVM851981:IVM852004 JFI851981:JFI852004 JPE851981:JPE852004 JZA851981:JZA852004 KIW851981:KIW852004 KSS851981:KSS852004 LCO851981:LCO852004 LMK851981:LMK852004 LWG851981:LWG852004 MGC851981:MGC852004 MPY851981:MPY852004 MZU851981:MZU852004 NJQ851981:NJQ852004 NTM851981:NTM852004 ODI851981:ODI852004 ONE851981:ONE852004 OXA851981:OXA852004 PGW851981:PGW852004 PQS851981:PQS852004 QAO851981:QAO852004 QKK851981:QKK852004 QUG851981:QUG852004 REC851981:REC852004 RNY851981:RNY852004 RXU851981:RXU852004 SHQ851981:SHQ852004 SRM851981:SRM852004 TBI851981:TBI852004 TLE851981:TLE852004 TVA851981:TVA852004 UEW851981:UEW852004 UOS851981:UOS852004 UYO851981:UYO852004 VIK851981:VIK852004 VSG851981:VSG852004 WCC851981:WCC852004 WLY851981:WLY852004 WVU851981:WVU852004 T917517:T917540 JI917517:JI917540 TE917517:TE917540 ADA917517:ADA917540 AMW917517:AMW917540 AWS917517:AWS917540 BGO917517:BGO917540 BQK917517:BQK917540 CAG917517:CAG917540 CKC917517:CKC917540 CTY917517:CTY917540 DDU917517:DDU917540 DNQ917517:DNQ917540 DXM917517:DXM917540 EHI917517:EHI917540 ERE917517:ERE917540 FBA917517:FBA917540 FKW917517:FKW917540 FUS917517:FUS917540 GEO917517:GEO917540 GOK917517:GOK917540 GYG917517:GYG917540 HIC917517:HIC917540 HRY917517:HRY917540 IBU917517:IBU917540 ILQ917517:ILQ917540 IVM917517:IVM917540 JFI917517:JFI917540 JPE917517:JPE917540 JZA917517:JZA917540 KIW917517:KIW917540 KSS917517:KSS917540 LCO917517:LCO917540 LMK917517:LMK917540 LWG917517:LWG917540 MGC917517:MGC917540 MPY917517:MPY917540 MZU917517:MZU917540 NJQ917517:NJQ917540 NTM917517:NTM917540 ODI917517:ODI917540 ONE917517:ONE917540 OXA917517:OXA917540 PGW917517:PGW917540 PQS917517:PQS917540 QAO917517:QAO917540 QKK917517:QKK917540 QUG917517:QUG917540 REC917517:REC917540 RNY917517:RNY917540 RXU917517:RXU917540 SHQ917517:SHQ917540 SRM917517:SRM917540 TBI917517:TBI917540 TLE917517:TLE917540 TVA917517:TVA917540 UEW917517:UEW917540 UOS917517:UOS917540 UYO917517:UYO917540 VIK917517:VIK917540 VSG917517:VSG917540 WCC917517:WCC917540 WLY917517:WLY917540 WVU917517:WVU917540 T983053:T983076 JI983053:JI983076 TE983053:TE983076 ADA983053:ADA983076 AMW983053:AMW983076 AWS983053:AWS983076 BGO983053:BGO983076 BQK983053:BQK983076 CAG983053:CAG983076 CKC983053:CKC983076 CTY983053:CTY983076 DDU983053:DDU983076 DNQ983053:DNQ983076 DXM983053:DXM983076 EHI983053:EHI983076 ERE983053:ERE983076 FBA983053:FBA983076 FKW983053:FKW983076 FUS983053:FUS983076 GEO983053:GEO983076 GOK983053:GOK983076 GYG983053:GYG983076 HIC983053:HIC983076 HRY983053:HRY983076 IBU983053:IBU983076 ILQ983053:ILQ983076 IVM983053:IVM983076 JFI983053:JFI983076 JPE983053:JPE983076 JZA983053:JZA983076 KIW983053:KIW983076 KSS983053:KSS983076 LCO983053:LCO983076 LMK983053:LMK983076 LWG983053:LWG983076 MGC983053:MGC983076 MPY983053:MPY983076 MZU983053:MZU983076 NJQ983053:NJQ983076 NTM983053:NTM983076 ODI983053:ODI983076 ONE983053:ONE983076 OXA983053:OXA983076 PGW983053:PGW983076 PQS983053:PQS983076 QAO983053:QAO983076 QKK983053:QKK983076 QUG983053:QUG983076 REC983053:REC983076 RNY983053:RNY983076 RXU983053:RXU983076 SHQ983053:SHQ983076 SRM983053:SRM983076 TBI983053:TBI983076 TLE983053:TLE983076 TVA983053:TVA983076 UEW983053:UEW983076 UOS983053:UOS983076 UYO983053:UYO983076 VIK983053:VIK983076 VSG983053:VSG983076 WCC983053:WCC983076 WLY983053:WLY983076 WVU983053:WVU983076 TL11:TL36 ADH11:ADH36 AND11:AND36 AWZ11:AWZ36 BGV11:BGV36 BQR11:BQR36 CAN11:CAN36 CKJ11:CKJ36 CUF11:CUF36 DEB11:DEB36 DNX11:DNX36 DXT11:DXT36 EHP11:EHP36 ERL11:ERL36 FBH11:FBH36 FLD11:FLD36 FUZ11:FUZ36 GEV11:GEV36 GOR11:GOR36 GYN11:GYN36 HIJ11:HIJ36 HSF11:HSF36 ICB11:ICB36 ILX11:ILX36 IVT11:IVT36 JFP11:JFP36 JPL11:JPL36 JZH11:JZH36 KJD11:KJD36 KSZ11:KSZ36 LCV11:LCV36 LMR11:LMR36 LWN11:LWN36 MGJ11:MGJ36 MQF11:MQF36 NAB11:NAB36 NJX11:NJX36 NTT11:NTT36 ODP11:ODP36 ONL11:ONL36 OXH11:OXH36 PHD11:PHD36 PQZ11:PQZ36 QAV11:QAV36 QKR11:QKR36 QUN11:QUN36 REJ11:REJ36 ROF11:ROF36 RYB11:RYB36 SHX11:SHX36 SRT11:SRT36 TBP11:TBP36 TLL11:TLL36 TVH11:TVH36 UFD11:UFD36 UOZ11:UOZ36 UYV11:UYV36 VIR11:VIR36 VSN11:VSN36 WCJ11:WCJ36 WMF11:WMF36 WWB11:WWB36 JP11:JP36 T11:T37" xr:uid="{00000000-0002-0000-0500-000000000000}">
      <formula1>"Y,N"</formula1>
    </dataValidation>
    <dataValidation type="list" allowBlank="1" showInputMessage="1" showErrorMessage="1" sqref="WVX983053:WVX983076 JH5:JH7 TD5:TD7 ACZ5:ACZ7 AMV5:AMV7 AWR5:AWR7 BGN5:BGN7 BQJ5:BQJ7 CAF5:CAF7 CKB5:CKB7 CTX5:CTX7 DDT5:DDT7 DNP5:DNP7 DXL5:DXL7 EHH5:EHH7 ERD5:ERD7 FAZ5:FAZ7 FKV5:FKV7 FUR5:FUR7 GEN5:GEN7 GOJ5:GOJ7 GYF5:GYF7 HIB5:HIB7 HRX5:HRX7 IBT5:IBT7 ILP5:ILP7 IVL5:IVL7 JFH5:JFH7 JPD5:JPD7 JYZ5:JYZ7 KIV5:KIV7 KSR5:KSR7 LCN5:LCN7 LMJ5:LMJ7 LWF5:LWF7 MGB5:MGB7 MPX5:MPX7 MZT5:MZT7 NJP5:NJP7 NTL5:NTL7 ODH5:ODH7 OND5:OND7 OWZ5:OWZ7 PGV5:PGV7 PQR5:PQR7 QAN5:QAN7 QKJ5:QKJ7 QUF5:QUF7 REB5:REB7 RNX5:RNX7 RXT5:RXT7 SHP5:SHP7 SRL5:SRL7 TBH5:TBH7 TLD5:TLD7 TUZ5:TUZ7 UEV5:UEV7 UOR5:UOR7 UYN5:UYN7 VIJ5:VIJ7 VSF5:VSF7 WCB5:WCB7 WLX5:WLX7 WVT5:WVT7 S65543:S65545 JH65543:JH65545 TD65543:TD65545 ACZ65543:ACZ65545 AMV65543:AMV65545 AWR65543:AWR65545 BGN65543:BGN65545 BQJ65543:BQJ65545 CAF65543:CAF65545 CKB65543:CKB65545 CTX65543:CTX65545 DDT65543:DDT65545 DNP65543:DNP65545 DXL65543:DXL65545 EHH65543:EHH65545 ERD65543:ERD65545 FAZ65543:FAZ65545 FKV65543:FKV65545 FUR65543:FUR65545 GEN65543:GEN65545 GOJ65543:GOJ65545 GYF65543:GYF65545 HIB65543:HIB65545 HRX65543:HRX65545 IBT65543:IBT65545 ILP65543:ILP65545 IVL65543:IVL65545 JFH65543:JFH65545 JPD65543:JPD65545 JYZ65543:JYZ65545 KIV65543:KIV65545 KSR65543:KSR65545 LCN65543:LCN65545 LMJ65543:LMJ65545 LWF65543:LWF65545 MGB65543:MGB65545 MPX65543:MPX65545 MZT65543:MZT65545 NJP65543:NJP65545 NTL65543:NTL65545 ODH65543:ODH65545 OND65543:OND65545 OWZ65543:OWZ65545 PGV65543:PGV65545 PQR65543:PQR65545 QAN65543:QAN65545 QKJ65543:QKJ65545 QUF65543:QUF65545 REB65543:REB65545 RNX65543:RNX65545 RXT65543:RXT65545 SHP65543:SHP65545 SRL65543:SRL65545 TBH65543:TBH65545 TLD65543:TLD65545 TUZ65543:TUZ65545 UEV65543:UEV65545 UOR65543:UOR65545 UYN65543:UYN65545 VIJ65543:VIJ65545 VSF65543:VSF65545 WCB65543:WCB65545 WLX65543:WLX65545 WVT65543:WVT65545 S131079:S131081 JH131079:JH131081 TD131079:TD131081 ACZ131079:ACZ131081 AMV131079:AMV131081 AWR131079:AWR131081 BGN131079:BGN131081 BQJ131079:BQJ131081 CAF131079:CAF131081 CKB131079:CKB131081 CTX131079:CTX131081 DDT131079:DDT131081 DNP131079:DNP131081 DXL131079:DXL131081 EHH131079:EHH131081 ERD131079:ERD131081 FAZ131079:FAZ131081 FKV131079:FKV131081 FUR131079:FUR131081 GEN131079:GEN131081 GOJ131079:GOJ131081 GYF131079:GYF131081 HIB131079:HIB131081 HRX131079:HRX131081 IBT131079:IBT131081 ILP131079:ILP131081 IVL131079:IVL131081 JFH131079:JFH131081 JPD131079:JPD131081 JYZ131079:JYZ131081 KIV131079:KIV131081 KSR131079:KSR131081 LCN131079:LCN131081 LMJ131079:LMJ131081 LWF131079:LWF131081 MGB131079:MGB131081 MPX131079:MPX131081 MZT131079:MZT131081 NJP131079:NJP131081 NTL131079:NTL131081 ODH131079:ODH131081 OND131079:OND131081 OWZ131079:OWZ131081 PGV131079:PGV131081 PQR131079:PQR131081 QAN131079:QAN131081 QKJ131079:QKJ131081 QUF131079:QUF131081 REB131079:REB131081 RNX131079:RNX131081 RXT131079:RXT131081 SHP131079:SHP131081 SRL131079:SRL131081 TBH131079:TBH131081 TLD131079:TLD131081 TUZ131079:TUZ131081 UEV131079:UEV131081 UOR131079:UOR131081 UYN131079:UYN131081 VIJ131079:VIJ131081 VSF131079:VSF131081 WCB131079:WCB131081 WLX131079:WLX131081 WVT131079:WVT131081 S196615:S196617 JH196615:JH196617 TD196615:TD196617 ACZ196615:ACZ196617 AMV196615:AMV196617 AWR196615:AWR196617 BGN196615:BGN196617 BQJ196615:BQJ196617 CAF196615:CAF196617 CKB196615:CKB196617 CTX196615:CTX196617 DDT196615:DDT196617 DNP196615:DNP196617 DXL196615:DXL196617 EHH196615:EHH196617 ERD196615:ERD196617 FAZ196615:FAZ196617 FKV196615:FKV196617 FUR196615:FUR196617 GEN196615:GEN196617 GOJ196615:GOJ196617 GYF196615:GYF196617 HIB196615:HIB196617 HRX196615:HRX196617 IBT196615:IBT196617 ILP196615:ILP196617 IVL196615:IVL196617 JFH196615:JFH196617 JPD196615:JPD196617 JYZ196615:JYZ196617 KIV196615:KIV196617 KSR196615:KSR196617 LCN196615:LCN196617 LMJ196615:LMJ196617 LWF196615:LWF196617 MGB196615:MGB196617 MPX196615:MPX196617 MZT196615:MZT196617 NJP196615:NJP196617 NTL196615:NTL196617 ODH196615:ODH196617 OND196615:OND196617 OWZ196615:OWZ196617 PGV196615:PGV196617 PQR196615:PQR196617 QAN196615:QAN196617 QKJ196615:QKJ196617 QUF196615:QUF196617 REB196615:REB196617 RNX196615:RNX196617 RXT196615:RXT196617 SHP196615:SHP196617 SRL196615:SRL196617 TBH196615:TBH196617 TLD196615:TLD196617 TUZ196615:TUZ196617 UEV196615:UEV196617 UOR196615:UOR196617 UYN196615:UYN196617 VIJ196615:VIJ196617 VSF196615:VSF196617 WCB196615:WCB196617 WLX196615:WLX196617 WVT196615:WVT196617 S262151:S262153 JH262151:JH262153 TD262151:TD262153 ACZ262151:ACZ262153 AMV262151:AMV262153 AWR262151:AWR262153 BGN262151:BGN262153 BQJ262151:BQJ262153 CAF262151:CAF262153 CKB262151:CKB262153 CTX262151:CTX262153 DDT262151:DDT262153 DNP262151:DNP262153 DXL262151:DXL262153 EHH262151:EHH262153 ERD262151:ERD262153 FAZ262151:FAZ262153 FKV262151:FKV262153 FUR262151:FUR262153 GEN262151:GEN262153 GOJ262151:GOJ262153 GYF262151:GYF262153 HIB262151:HIB262153 HRX262151:HRX262153 IBT262151:IBT262153 ILP262151:ILP262153 IVL262151:IVL262153 JFH262151:JFH262153 JPD262151:JPD262153 JYZ262151:JYZ262153 KIV262151:KIV262153 KSR262151:KSR262153 LCN262151:LCN262153 LMJ262151:LMJ262153 LWF262151:LWF262153 MGB262151:MGB262153 MPX262151:MPX262153 MZT262151:MZT262153 NJP262151:NJP262153 NTL262151:NTL262153 ODH262151:ODH262153 OND262151:OND262153 OWZ262151:OWZ262153 PGV262151:PGV262153 PQR262151:PQR262153 QAN262151:QAN262153 QKJ262151:QKJ262153 QUF262151:QUF262153 REB262151:REB262153 RNX262151:RNX262153 RXT262151:RXT262153 SHP262151:SHP262153 SRL262151:SRL262153 TBH262151:TBH262153 TLD262151:TLD262153 TUZ262151:TUZ262153 UEV262151:UEV262153 UOR262151:UOR262153 UYN262151:UYN262153 VIJ262151:VIJ262153 VSF262151:VSF262153 WCB262151:WCB262153 WLX262151:WLX262153 WVT262151:WVT262153 S327687:S327689 JH327687:JH327689 TD327687:TD327689 ACZ327687:ACZ327689 AMV327687:AMV327689 AWR327687:AWR327689 BGN327687:BGN327689 BQJ327687:BQJ327689 CAF327687:CAF327689 CKB327687:CKB327689 CTX327687:CTX327689 DDT327687:DDT327689 DNP327687:DNP327689 DXL327687:DXL327689 EHH327687:EHH327689 ERD327687:ERD327689 FAZ327687:FAZ327689 FKV327687:FKV327689 FUR327687:FUR327689 GEN327687:GEN327689 GOJ327687:GOJ327689 GYF327687:GYF327689 HIB327687:HIB327689 HRX327687:HRX327689 IBT327687:IBT327689 ILP327687:ILP327689 IVL327687:IVL327689 JFH327687:JFH327689 JPD327687:JPD327689 JYZ327687:JYZ327689 KIV327687:KIV327689 KSR327687:KSR327689 LCN327687:LCN327689 LMJ327687:LMJ327689 LWF327687:LWF327689 MGB327687:MGB327689 MPX327687:MPX327689 MZT327687:MZT327689 NJP327687:NJP327689 NTL327687:NTL327689 ODH327687:ODH327689 OND327687:OND327689 OWZ327687:OWZ327689 PGV327687:PGV327689 PQR327687:PQR327689 QAN327687:QAN327689 QKJ327687:QKJ327689 QUF327687:QUF327689 REB327687:REB327689 RNX327687:RNX327689 RXT327687:RXT327689 SHP327687:SHP327689 SRL327687:SRL327689 TBH327687:TBH327689 TLD327687:TLD327689 TUZ327687:TUZ327689 UEV327687:UEV327689 UOR327687:UOR327689 UYN327687:UYN327689 VIJ327687:VIJ327689 VSF327687:VSF327689 WCB327687:WCB327689 WLX327687:WLX327689 WVT327687:WVT327689 S393223:S393225 JH393223:JH393225 TD393223:TD393225 ACZ393223:ACZ393225 AMV393223:AMV393225 AWR393223:AWR393225 BGN393223:BGN393225 BQJ393223:BQJ393225 CAF393223:CAF393225 CKB393223:CKB393225 CTX393223:CTX393225 DDT393223:DDT393225 DNP393223:DNP393225 DXL393223:DXL393225 EHH393223:EHH393225 ERD393223:ERD393225 FAZ393223:FAZ393225 FKV393223:FKV393225 FUR393223:FUR393225 GEN393223:GEN393225 GOJ393223:GOJ393225 GYF393223:GYF393225 HIB393223:HIB393225 HRX393223:HRX393225 IBT393223:IBT393225 ILP393223:ILP393225 IVL393223:IVL393225 JFH393223:JFH393225 JPD393223:JPD393225 JYZ393223:JYZ393225 KIV393223:KIV393225 KSR393223:KSR393225 LCN393223:LCN393225 LMJ393223:LMJ393225 LWF393223:LWF393225 MGB393223:MGB393225 MPX393223:MPX393225 MZT393223:MZT393225 NJP393223:NJP393225 NTL393223:NTL393225 ODH393223:ODH393225 OND393223:OND393225 OWZ393223:OWZ393225 PGV393223:PGV393225 PQR393223:PQR393225 QAN393223:QAN393225 QKJ393223:QKJ393225 QUF393223:QUF393225 REB393223:REB393225 RNX393223:RNX393225 RXT393223:RXT393225 SHP393223:SHP393225 SRL393223:SRL393225 TBH393223:TBH393225 TLD393223:TLD393225 TUZ393223:TUZ393225 UEV393223:UEV393225 UOR393223:UOR393225 UYN393223:UYN393225 VIJ393223:VIJ393225 VSF393223:VSF393225 WCB393223:WCB393225 WLX393223:WLX393225 WVT393223:WVT393225 S458759:S458761 JH458759:JH458761 TD458759:TD458761 ACZ458759:ACZ458761 AMV458759:AMV458761 AWR458759:AWR458761 BGN458759:BGN458761 BQJ458759:BQJ458761 CAF458759:CAF458761 CKB458759:CKB458761 CTX458759:CTX458761 DDT458759:DDT458761 DNP458759:DNP458761 DXL458759:DXL458761 EHH458759:EHH458761 ERD458759:ERD458761 FAZ458759:FAZ458761 FKV458759:FKV458761 FUR458759:FUR458761 GEN458759:GEN458761 GOJ458759:GOJ458761 GYF458759:GYF458761 HIB458759:HIB458761 HRX458759:HRX458761 IBT458759:IBT458761 ILP458759:ILP458761 IVL458759:IVL458761 JFH458759:JFH458761 JPD458759:JPD458761 JYZ458759:JYZ458761 KIV458759:KIV458761 KSR458759:KSR458761 LCN458759:LCN458761 LMJ458759:LMJ458761 LWF458759:LWF458761 MGB458759:MGB458761 MPX458759:MPX458761 MZT458759:MZT458761 NJP458759:NJP458761 NTL458759:NTL458761 ODH458759:ODH458761 OND458759:OND458761 OWZ458759:OWZ458761 PGV458759:PGV458761 PQR458759:PQR458761 QAN458759:QAN458761 QKJ458759:QKJ458761 QUF458759:QUF458761 REB458759:REB458761 RNX458759:RNX458761 RXT458759:RXT458761 SHP458759:SHP458761 SRL458759:SRL458761 TBH458759:TBH458761 TLD458759:TLD458761 TUZ458759:TUZ458761 UEV458759:UEV458761 UOR458759:UOR458761 UYN458759:UYN458761 VIJ458759:VIJ458761 VSF458759:VSF458761 WCB458759:WCB458761 WLX458759:WLX458761 WVT458759:WVT458761 S524295:S524297 JH524295:JH524297 TD524295:TD524297 ACZ524295:ACZ524297 AMV524295:AMV524297 AWR524295:AWR524297 BGN524295:BGN524297 BQJ524295:BQJ524297 CAF524295:CAF524297 CKB524295:CKB524297 CTX524295:CTX524297 DDT524295:DDT524297 DNP524295:DNP524297 DXL524295:DXL524297 EHH524295:EHH524297 ERD524295:ERD524297 FAZ524295:FAZ524297 FKV524295:FKV524297 FUR524295:FUR524297 GEN524295:GEN524297 GOJ524295:GOJ524297 GYF524295:GYF524297 HIB524295:HIB524297 HRX524295:HRX524297 IBT524295:IBT524297 ILP524295:ILP524297 IVL524295:IVL524297 JFH524295:JFH524297 JPD524295:JPD524297 JYZ524295:JYZ524297 KIV524295:KIV524297 KSR524295:KSR524297 LCN524295:LCN524297 LMJ524295:LMJ524297 LWF524295:LWF524297 MGB524295:MGB524297 MPX524295:MPX524297 MZT524295:MZT524297 NJP524295:NJP524297 NTL524295:NTL524297 ODH524295:ODH524297 OND524295:OND524297 OWZ524295:OWZ524297 PGV524295:PGV524297 PQR524295:PQR524297 QAN524295:QAN524297 QKJ524295:QKJ524297 QUF524295:QUF524297 REB524295:REB524297 RNX524295:RNX524297 RXT524295:RXT524297 SHP524295:SHP524297 SRL524295:SRL524297 TBH524295:TBH524297 TLD524295:TLD524297 TUZ524295:TUZ524297 UEV524295:UEV524297 UOR524295:UOR524297 UYN524295:UYN524297 VIJ524295:VIJ524297 VSF524295:VSF524297 WCB524295:WCB524297 WLX524295:WLX524297 WVT524295:WVT524297 S589831:S589833 JH589831:JH589833 TD589831:TD589833 ACZ589831:ACZ589833 AMV589831:AMV589833 AWR589831:AWR589833 BGN589831:BGN589833 BQJ589831:BQJ589833 CAF589831:CAF589833 CKB589831:CKB589833 CTX589831:CTX589833 DDT589831:DDT589833 DNP589831:DNP589833 DXL589831:DXL589833 EHH589831:EHH589833 ERD589831:ERD589833 FAZ589831:FAZ589833 FKV589831:FKV589833 FUR589831:FUR589833 GEN589831:GEN589833 GOJ589831:GOJ589833 GYF589831:GYF589833 HIB589831:HIB589833 HRX589831:HRX589833 IBT589831:IBT589833 ILP589831:ILP589833 IVL589831:IVL589833 JFH589831:JFH589833 JPD589831:JPD589833 JYZ589831:JYZ589833 KIV589831:KIV589833 KSR589831:KSR589833 LCN589831:LCN589833 LMJ589831:LMJ589833 LWF589831:LWF589833 MGB589831:MGB589833 MPX589831:MPX589833 MZT589831:MZT589833 NJP589831:NJP589833 NTL589831:NTL589833 ODH589831:ODH589833 OND589831:OND589833 OWZ589831:OWZ589833 PGV589831:PGV589833 PQR589831:PQR589833 QAN589831:QAN589833 QKJ589831:QKJ589833 QUF589831:QUF589833 REB589831:REB589833 RNX589831:RNX589833 RXT589831:RXT589833 SHP589831:SHP589833 SRL589831:SRL589833 TBH589831:TBH589833 TLD589831:TLD589833 TUZ589831:TUZ589833 UEV589831:UEV589833 UOR589831:UOR589833 UYN589831:UYN589833 VIJ589831:VIJ589833 VSF589831:VSF589833 WCB589831:WCB589833 WLX589831:WLX589833 WVT589831:WVT589833 S655367:S655369 JH655367:JH655369 TD655367:TD655369 ACZ655367:ACZ655369 AMV655367:AMV655369 AWR655367:AWR655369 BGN655367:BGN655369 BQJ655367:BQJ655369 CAF655367:CAF655369 CKB655367:CKB655369 CTX655367:CTX655369 DDT655367:DDT655369 DNP655367:DNP655369 DXL655367:DXL655369 EHH655367:EHH655369 ERD655367:ERD655369 FAZ655367:FAZ655369 FKV655367:FKV655369 FUR655367:FUR655369 GEN655367:GEN655369 GOJ655367:GOJ655369 GYF655367:GYF655369 HIB655367:HIB655369 HRX655367:HRX655369 IBT655367:IBT655369 ILP655367:ILP655369 IVL655367:IVL655369 JFH655367:JFH655369 JPD655367:JPD655369 JYZ655367:JYZ655369 KIV655367:KIV655369 KSR655367:KSR655369 LCN655367:LCN655369 LMJ655367:LMJ655369 LWF655367:LWF655369 MGB655367:MGB655369 MPX655367:MPX655369 MZT655367:MZT655369 NJP655367:NJP655369 NTL655367:NTL655369 ODH655367:ODH655369 OND655367:OND655369 OWZ655367:OWZ655369 PGV655367:PGV655369 PQR655367:PQR655369 QAN655367:QAN655369 QKJ655367:QKJ655369 QUF655367:QUF655369 REB655367:REB655369 RNX655367:RNX655369 RXT655367:RXT655369 SHP655367:SHP655369 SRL655367:SRL655369 TBH655367:TBH655369 TLD655367:TLD655369 TUZ655367:TUZ655369 UEV655367:UEV655369 UOR655367:UOR655369 UYN655367:UYN655369 VIJ655367:VIJ655369 VSF655367:VSF655369 WCB655367:WCB655369 WLX655367:WLX655369 WVT655367:WVT655369 S720903:S720905 JH720903:JH720905 TD720903:TD720905 ACZ720903:ACZ720905 AMV720903:AMV720905 AWR720903:AWR720905 BGN720903:BGN720905 BQJ720903:BQJ720905 CAF720903:CAF720905 CKB720903:CKB720905 CTX720903:CTX720905 DDT720903:DDT720905 DNP720903:DNP720905 DXL720903:DXL720905 EHH720903:EHH720905 ERD720903:ERD720905 FAZ720903:FAZ720905 FKV720903:FKV720905 FUR720903:FUR720905 GEN720903:GEN720905 GOJ720903:GOJ720905 GYF720903:GYF720905 HIB720903:HIB720905 HRX720903:HRX720905 IBT720903:IBT720905 ILP720903:ILP720905 IVL720903:IVL720905 JFH720903:JFH720905 JPD720903:JPD720905 JYZ720903:JYZ720905 KIV720903:KIV720905 KSR720903:KSR720905 LCN720903:LCN720905 LMJ720903:LMJ720905 LWF720903:LWF720905 MGB720903:MGB720905 MPX720903:MPX720905 MZT720903:MZT720905 NJP720903:NJP720905 NTL720903:NTL720905 ODH720903:ODH720905 OND720903:OND720905 OWZ720903:OWZ720905 PGV720903:PGV720905 PQR720903:PQR720905 QAN720903:QAN720905 QKJ720903:QKJ720905 QUF720903:QUF720905 REB720903:REB720905 RNX720903:RNX720905 RXT720903:RXT720905 SHP720903:SHP720905 SRL720903:SRL720905 TBH720903:TBH720905 TLD720903:TLD720905 TUZ720903:TUZ720905 UEV720903:UEV720905 UOR720903:UOR720905 UYN720903:UYN720905 VIJ720903:VIJ720905 VSF720903:VSF720905 WCB720903:WCB720905 WLX720903:WLX720905 WVT720903:WVT720905 S786439:S786441 JH786439:JH786441 TD786439:TD786441 ACZ786439:ACZ786441 AMV786439:AMV786441 AWR786439:AWR786441 BGN786439:BGN786441 BQJ786439:BQJ786441 CAF786439:CAF786441 CKB786439:CKB786441 CTX786439:CTX786441 DDT786439:DDT786441 DNP786439:DNP786441 DXL786439:DXL786441 EHH786439:EHH786441 ERD786439:ERD786441 FAZ786439:FAZ786441 FKV786439:FKV786441 FUR786439:FUR786441 GEN786439:GEN786441 GOJ786439:GOJ786441 GYF786439:GYF786441 HIB786439:HIB786441 HRX786439:HRX786441 IBT786439:IBT786441 ILP786439:ILP786441 IVL786439:IVL786441 JFH786439:JFH786441 JPD786439:JPD786441 JYZ786439:JYZ786441 KIV786439:KIV786441 KSR786439:KSR786441 LCN786439:LCN786441 LMJ786439:LMJ786441 LWF786439:LWF786441 MGB786439:MGB786441 MPX786439:MPX786441 MZT786439:MZT786441 NJP786439:NJP786441 NTL786439:NTL786441 ODH786439:ODH786441 OND786439:OND786441 OWZ786439:OWZ786441 PGV786439:PGV786441 PQR786439:PQR786441 QAN786439:QAN786441 QKJ786439:QKJ786441 QUF786439:QUF786441 REB786439:REB786441 RNX786439:RNX786441 RXT786439:RXT786441 SHP786439:SHP786441 SRL786439:SRL786441 TBH786439:TBH786441 TLD786439:TLD786441 TUZ786439:TUZ786441 UEV786439:UEV786441 UOR786439:UOR786441 UYN786439:UYN786441 VIJ786439:VIJ786441 VSF786439:VSF786441 WCB786439:WCB786441 WLX786439:WLX786441 WVT786439:WVT786441 S851975:S851977 JH851975:JH851977 TD851975:TD851977 ACZ851975:ACZ851977 AMV851975:AMV851977 AWR851975:AWR851977 BGN851975:BGN851977 BQJ851975:BQJ851977 CAF851975:CAF851977 CKB851975:CKB851977 CTX851975:CTX851977 DDT851975:DDT851977 DNP851975:DNP851977 DXL851975:DXL851977 EHH851975:EHH851977 ERD851975:ERD851977 FAZ851975:FAZ851977 FKV851975:FKV851977 FUR851975:FUR851977 GEN851975:GEN851977 GOJ851975:GOJ851977 GYF851975:GYF851977 HIB851975:HIB851977 HRX851975:HRX851977 IBT851975:IBT851977 ILP851975:ILP851977 IVL851975:IVL851977 JFH851975:JFH851977 JPD851975:JPD851977 JYZ851975:JYZ851977 KIV851975:KIV851977 KSR851975:KSR851977 LCN851975:LCN851977 LMJ851975:LMJ851977 LWF851975:LWF851977 MGB851975:MGB851977 MPX851975:MPX851977 MZT851975:MZT851977 NJP851975:NJP851977 NTL851975:NTL851977 ODH851975:ODH851977 OND851975:OND851977 OWZ851975:OWZ851977 PGV851975:PGV851977 PQR851975:PQR851977 QAN851975:QAN851977 QKJ851975:QKJ851977 QUF851975:QUF851977 REB851975:REB851977 RNX851975:RNX851977 RXT851975:RXT851977 SHP851975:SHP851977 SRL851975:SRL851977 TBH851975:TBH851977 TLD851975:TLD851977 TUZ851975:TUZ851977 UEV851975:UEV851977 UOR851975:UOR851977 UYN851975:UYN851977 VIJ851975:VIJ851977 VSF851975:VSF851977 WCB851975:WCB851977 WLX851975:WLX851977 WVT851975:WVT851977 S917511:S917513 JH917511:JH917513 TD917511:TD917513 ACZ917511:ACZ917513 AMV917511:AMV917513 AWR917511:AWR917513 BGN917511:BGN917513 BQJ917511:BQJ917513 CAF917511:CAF917513 CKB917511:CKB917513 CTX917511:CTX917513 DDT917511:DDT917513 DNP917511:DNP917513 DXL917511:DXL917513 EHH917511:EHH917513 ERD917511:ERD917513 FAZ917511:FAZ917513 FKV917511:FKV917513 FUR917511:FUR917513 GEN917511:GEN917513 GOJ917511:GOJ917513 GYF917511:GYF917513 HIB917511:HIB917513 HRX917511:HRX917513 IBT917511:IBT917513 ILP917511:ILP917513 IVL917511:IVL917513 JFH917511:JFH917513 JPD917511:JPD917513 JYZ917511:JYZ917513 KIV917511:KIV917513 KSR917511:KSR917513 LCN917511:LCN917513 LMJ917511:LMJ917513 LWF917511:LWF917513 MGB917511:MGB917513 MPX917511:MPX917513 MZT917511:MZT917513 NJP917511:NJP917513 NTL917511:NTL917513 ODH917511:ODH917513 OND917511:OND917513 OWZ917511:OWZ917513 PGV917511:PGV917513 PQR917511:PQR917513 QAN917511:QAN917513 QKJ917511:QKJ917513 QUF917511:QUF917513 REB917511:REB917513 RNX917511:RNX917513 RXT917511:RXT917513 SHP917511:SHP917513 SRL917511:SRL917513 TBH917511:TBH917513 TLD917511:TLD917513 TUZ917511:TUZ917513 UEV917511:UEV917513 UOR917511:UOR917513 UYN917511:UYN917513 VIJ917511:VIJ917513 VSF917511:VSF917513 WCB917511:WCB917513 WLX917511:WLX917513 WVT917511:WVT917513 S983047:S983049 JH983047:JH983049 TD983047:TD983049 ACZ983047:ACZ983049 AMV983047:AMV983049 AWR983047:AWR983049 BGN983047:BGN983049 BQJ983047:BQJ983049 CAF983047:CAF983049 CKB983047:CKB983049 CTX983047:CTX983049 DDT983047:DDT983049 DNP983047:DNP983049 DXL983047:DXL983049 EHH983047:EHH983049 ERD983047:ERD983049 FAZ983047:FAZ983049 FKV983047:FKV983049 FUR983047:FUR983049 GEN983047:GEN983049 GOJ983047:GOJ983049 GYF983047:GYF983049 HIB983047:HIB983049 HRX983047:HRX983049 IBT983047:IBT983049 ILP983047:ILP983049 IVL983047:IVL983049 JFH983047:JFH983049 JPD983047:JPD983049 JYZ983047:JYZ983049 KIV983047:KIV983049 KSR983047:KSR983049 LCN983047:LCN983049 LMJ983047:LMJ983049 LWF983047:LWF983049 MGB983047:MGB983049 MPX983047:MPX983049 MZT983047:MZT983049 NJP983047:NJP983049 NTL983047:NTL983049 ODH983047:ODH983049 OND983047:OND983049 OWZ983047:OWZ983049 PGV983047:PGV983049 PQR983047:PQR983049 QAN983047:QAN983049 QKJ983047:QKJ983049 QUF983047:QUF983049 REB983047:REB983049 RNX983047:RNX983049 RXT983047:RXT983049 SHP983047:SHP983049 SRL983047:SRL983049 TBH983047:TBH983049 TLD983047:TLD983049 TUZ983047:TUZ983049 UEV983047:UEV983049 UOR983047:UOR983049 UYN983047:UYN983049 VIJ983047:VIJ983049 VSF983047:VSF983049 WCB983047:WCB983049 WLX983047:WLX983049 WVT983047:WVT983049 U65549:U65572 JJ65549:JJ65572 TF65549:TF65572 ADB65549:ADB65572 AMX65549:AMX65572 AWT65549:AWT65572 BGP65549:BGP65572 BQL65549:BQL65572 CAH65549:CAH65572 CKD65549:CKD65572 CTZ65549:CTZ65572 DDV65549:DDV65572 DNR65549:DNR65572 DXN65549:DXN65572 EHJ65549:EHJ65572 ERF65549:ERF65572 FBB65549:FBB65572 FKX65549:FKX65572 FUT65549:FUT65572 GEP65549:GEP65572 GOL65549:GOL65572 GYH65549:GYH65572 HID65549:HID65572 HRZ65549:HRZ65572 IBV65549:IBV65572 ILR65549:ILR65572 IVN65549:IVN65572 JFJ65549:JFJ65572 JPF65549:JPF65572 JZB65549:JZB65572 KIX65549:KIX65572 KST65549:KST65572 LCP65549:LCP65572 LML65549:LML65572 LWH65549:LWH65572 MGD65549:MGD65572 MPZ65549:MPZ65572 MZV65549:MZV65572 NJR65549:NJR65572 NTN65549:NTN65572 ODJ65549:ODJ65572 ONF65549:ONF65572 OXB65549:OXB65572 PGX65549:PGX65572 PQT65549:PQT65572 QAP65549:QAP65572 QKL65549:QKL65572 QUH65549:QUH65572 RED65549:RED65572 RNZ65549:RNZ65572 RXV65549:RXV65572 SHR65549:SHR65572 SRN65549:SRN65572 TBJ65549:TBJ65572 TLF65549:TLF65572 TVB65549:TVB65572 UEX65549:UEX65572 UOT65549:UOT65572 UYP65549:UYP65572 VIL65549:VIL65572 VSH65549:VSH65572 WCD65549:WCD65572 WLZ65549:WLZ65572 WVV65549:WVV65572 U131085:U131108 JJ131085:JJ131108 TF131085:TF131108 ADB131085:ADB131108 AMX131085:AMX131108 AWT131085:AWT131108 BGP131085:BGP131108 BQL131085:BQL131108 CAH131085:CAH131108 CKD131085:CKD131108 CTZ131085:CTZ131108 DDV131085:DDV131108 DNR131085:DNR131108 DXN131085:DXN131108 EHJ131085:EHJ131108 ERF131085:ERF131108 FBB131085:FBB131108 FKX131085:FKX131108 FUT131085:FUT131108 GEP131085:GEP131108 GOL131085:GOL131108 GYH131085:GYH131108 HID131085:HID131108 HRZ131085:HRZ131108 IBV131085:IBV131108 ILR131085:ILR131108 IVN131085:IVN131108 JFJ131085:JFJ131108 JPF131085:JPF131108 JZB131085:JZB131108 KIX131085:KIX131108 KST131085:KST131108 LCP131085:LCP131108 LML131085:LML131108 LWH131085:LWH131108 MGD131085:MGD131108 MPZ131085:MPZ131108 MZV131085:MZV131108 NJR131085:NJR131108 NTN131085:NTN131108 ODJ131085:ODJ131108 ONF131085:ONF131108 OXB131085:OXB131108 PGX131085:PGX131108 PQT131085:PQT131108 QAP131085:QAP131108 QKL131085:QKL131108 QUH131085:QUH131108 RED131085:RED131108 RNZ131085:RNZ131108 RXV131085:RXV131108 SHR131085:SHR131108 SRN131085:SRN131108 TBJ131085:TBJ131108 TLF131085:TLF131108 TVB131085:TVB131108 UEX131085:UEX131108 UOT131085:UOT131108 UYP131085:UYP131108 VIL131085:VIL131108 VSH131085:VSH131108 WCD131085:WCD131108 WLZ131085:WLZ131108 WVV131085:WVV131108 U196621:U196644 JJ196621:JJ196644 TF196621:TF196644 ADB196621:ADB196644 AMX196621:AMX196644 AWT196621:AWT196644 BGP196621:BGP196644 BQL196621:BQL196644 CAH196621:CAH196644 CKD196621:CKD196644 CTZ196621:CTZ196644 DDV196621:DDV196644 DNR196621:DNR196644 DXN196621:DXN196644 EHJ196621:EHJ196644 ERF196621:ERF196644 FBB196621:FBB196644 FKX196621:FKX196644 FUT196621:FUT196644 GEP196621:GEP196644 GOL196621:GOL196644 GYH196621:GYH196644 HID196621:HID196644 HRZ196621:HRZ196644 IBV196621:IBV196644 ILR196621:ILR196644 IVN196621:IVN196644 JFJ196621:JFJ196644 JPF196621:JPF196644 JZB196621:JZB196644 KIX196621:KIX196644 KST196621:KST196644 LCP196621:LCP196644 LML196621:LML196644 LWH196621:LWH196644 MGD196621:MGD196644 MPZ196621:MPZ196644 MZV196621:MZV196644 NJR196621:NJR196644 NTN196621:NTN196644 ODJ196621:ODJ196644 ONF196621:ONF196644 OXB196621:OXB196644 PGX196621:PGX196644 PQT196621:PQT196644 QAP196621:QAP196644 QKL196621:QKL196644 QUH196621:QUH196644 RED196621:RED196644 RNZ196621:RNZ196644 RXV196621:RXV196644 SHR196621:SHR196644 SRN196621:SRN196644 TBJ196621:TBJ196644 TLF196621:TLF196644 TVB196621:TVB196644 UEX196621:UEX196644 UOT196621:UOT196644 UYP196621:UYP196644 VIL196621:VIL196644 VSH196621:VSH196644 WCD196621:WCD196644 WLZ196621:WLZ196644 WVV196621:WVV196644 U262157:U262180 JJ262157:JJ262180 TF262157:TF262180 ADB262157:ADB262180 AMX262157:AMX262180 AWT262157:AWT262180 BGP262157:BGP262180 BQL262157:BQL262180 CAH262157:CAH262180 CKD262157:CKD262180 CTZ262157:CTZ262180 DDV262157:DDV262180 DNR262157:DNR262180 DXN262157:DXN262180 EHJ262157:EHJ262180 ERF262157:ERF262180 FBB262157:FBB262180 FKX262157:FKX262180 FUT262157:FUT262180 GEP262157:GEP262180 GOL262157:GOL262180 GYH262157:GYH262180 HID262157:HID262180 HRZ262157:HRZ262180 IBV262157:IBV262180 ILR262157:ILR262180 IVN262157:IVN262180 JFJ262157:JFJ262180 JPF262157:JPF262180 JZB262157:JZB262180 KIX262157:KIX262180 KST262157:KST262180 LCP262157:LCP262180 LML262157:LML262180 LWH262157:LWH262180 MGD262157:MGD262180 MPZ262157:MPZ262180 MZV262157:MZV262180 NJR262157:NJR262180 NTN262157:NTN262180 ODJ262157:ODJ262180 ONF262157:ONF262180 OXB262157:OXB262180 PGX262157:PGX262180 PQT262157:PQT262180 QAP262157:QAP262180 QKL262157:QKL262180 QUH262157:QUH262180 RED262157:RED262180 RNZ262157:RNZ262180 RXV262157:RXV262180 SHR262157:SHR262180 SRN262157:SRN262180 TBJ262157:TBJ262180 TLF262157:TLF262180 TVB262157:TVB262180 UEX262157:UEX262180 UOT262157:UOT262180 UYP262157:UYP262180 VIL262157:VIL262180 VSH262157:VSH262180 WCD262157:WCD262180 WLZ262157:WLZ262180 WVV262157:WVV262180 U327693:U327716 JJ327693:JJ327716 TF327693:TF327716 ADB327693:ADB327716 AMX327693:AMX327716 AWT327693:AWT327716 BGP327693:BGP327716 BQL327693:BQL327716 CAH327693:CAH327716 CKD327693:CKD327716 CTZ327693:CTZ327716 DDV327693:DDV327716 DNR327693:DNR327716 DXN327693:DXN327716 EHJ327693:EHJ327716 ERF327693:ERF327716 FBB327693:FBB327716 FKX327693:FKX327716 FUT327693:FUT327716 GEP327693:GEP327716 GOL327693:GOL327716 GYH327693:GYH327716 HID327693:HID327716 HRZ327693:HRZ327716 IBV327693:IBV327716 ILR327693:ILR327716 IVN327693:IVN327716 JFJ327693:JFJ327716 JPF327693:JPF327716 JZB327693:JZB327716 KIX327693:KIX327716 KST327693:KST327716 LCP327693:LCP327716 LML327693:LML327716 LWH327693:LWH327716 MGD327693:MGD327716 MPZ327693:MPZ327716 MZV327693:MZV327716 NJR327693:NJR327716 NTN327693:NTN327716 ODJ327693:ODJ327716 ONF327693:ONF327716 OXB327693:OXB327716 PGX327693:PGX327716 PQT327693:PQT327716 QAP327693:QAP327716 QKL327693:QKL327716 QUH327693:QUH327716 RED327693:RED327716 RNZ327693:RNZ327716 RXV327693:RXV327716 SHR327693:SHR327716 SRN327693:SRN327716 TBJ327693:TBJ327716 TLF327693:TLF327716 TVB327693:TVB327716 UEX327693:UEX327716 UOT327693:UOT327716 UYP327693:UYP327716 VIL327693:VIL327716 VSH327693:VSH327716 WCD327693:WCD327716 WLZ327693:WLZ327716 WVV327693:WVV327716 U393229:U393252 JJ393229:JJ393252 TF393229:TF393252 ADB393229:ADB393252 AMX393229:AMX393252 AWT393229:AWT393252 BGP393229:BGP393252 BQL393229:BQL393252 CAH393229:CAH393252 CKD393229:CKD393252 CTZ393229:CTZ393252 DDV393229:DDV393252 DNR393229:DNR393252 DXN393229:DXN393252 EHJ393229:EHJ393252 ERF393229:ERF393252 FBB393229:FBB393252 FKX393229:FKX393252 FUT393229:FUT393252 GEP393229:GEP393252 GOL393229:GOL393252 GYH393229:GYH393252 HID393229:HID393252 HRZ393229:HRZ393252 IBV393229:IBV393252 ILR393229:ILR393252 IVN393229:IVN393252 JFJ393229:JFJ393252 JPF393229:JPF393252 JZB393229:JZB393252 KIX393229:KIX393252 KST393229:KST393252 LCP393229:LCP393252 LML393229:LML393252 LWH393229:LWH393252 MGD393229:MGD393252 MPZ393229:MPZ393252 MZV393229:MZV393252 NJR393229:NJR393252 NTN393229:NTN393252 ODJ393229:ODJ393252 ONF393229:ONF393252 OXB393229:OXB393252 PGX393229:PGX393252 PQT393229:PQT393252 QAP393229:QAP393252 QKL393229:QKL393252 QUH393229:QUH393252 RED393229:RED393252 RNZ393229:RNZ393252 RXV393229:RXV393252 SHR393229:SHR393252 SRN393229:SRN393252 TBJ393229:TBJ393252 TLF393229:TLF393252 TVB393229:TVB393252 UEX393229:UEX393252 UOT393229:UOT393252 UYP393229:UYP393252 VIL393229:VIL393252 VSH393229:VSH393252 WCD393229:WCD393252 WLZ393229:WLZ393252 WVV393229:WVV393252 U458765:U458788 JJ458765:JJ458788 TF458765:TF458788 ADB458765:ADB458788 AMX458765:AMX458788 AWT458765:AWT458788 BGP458765:BGP458788 BQL458765:BQL458788 CAH458765:CAH458788 CKD458765:CKD458788 CTZ458765:CTZ458788 DDV458765:DDV458788 DNR458765:DNR458788 DXN458765:DXN458788 EHJ458765:EHJ458788 ERF458765:ERF458788 FBB458765:FBB458788 FKX458765:FKX458788 FUT458765:FUT458788 GEP458765:GEP458788 GOL458765:GOL458788 GYH458765:GYH458788 HID458765:HID458788 HRZ458765:HRZ458788 IBV458765:IBV458788 ILR458765:ILR458788 IVN458765:IVN458788 JFJ458765:JFJ458788 JPF458765:JPF458788 JZB458765:JZB458788 KIX458765:KIX458788 KST458765:KST458788 LCP458765:LCP458788 LML458765:LML458788 LWH458765:LWH458788 MGD458765:MGD458788 MPZ458765:MPZ458788 MZV458765:MZV458788 NJR458765:NJR458788 NTN458765:NTN458788 ODJ458765:ODJ458788 ONF458765:ONF458788 OXB458765:OXB458788 PGX458765:PGX458788 PQT458765:PQT458788 QAP458765:QAP458788 QKL458765:QKL458788 QUH458765:QUH458788 RED458765:RED458788 RNZ458765:RNZ458788 RXV458765:RXV458788 SHR458765:SHR458788 SRN458765:SRN458788 TBJ458765:TBJ458788 TLF458765:TLF458788 TVB458765:TVB458788 UEX458765:UEX458788 UOT458765:UOT458788 UYP458765:UYP458788 VIL458765:VIL458788 VSH458765:VSH458788 WCD458765:WCD458788 WLZ458765:WLZ458788 WVV458765:WVV458788 U524301:U524324 JJ524301:JJ524324 TF524301:TF524324 ADB524301:ADB524324 AMX524301:AMX524324 AWT524301:AWT524324 BGP524301:BGP524324 BQL524301:BQL524324 CAH524301:CAH524324 CKD524301:CKD524324 CTZ524301:CTZ524324 DDV524301:DDV524324 DNR524301:DNR524324 DXN524301:DXN524324 EHJ524301:EHJ524324 ERF524301:ERF524324 FBB524301:FBB524324 FKX524301:FKX524324 FUT524301:FUT524324 GEP524301:GEP524324 GOL524301:GOL524324 GYH524301:GYH524324 HID524301:HID524324 HRZ524301:HRZ524324 IBV524301:IBV524324 ILR524301:ILR524324 IVN524301:IVN524324 JFJ524301:JFJ524324 JPF524301:JPF524324 JZB524301:JZB524324 KIX524301:KIX524324 KST524301:KST524324 LCP524301:LCP524324 LML524301:LML524324 LWH524301:LWH524324 MGD524301:MGD524324 MPZ524301:MPZ524324 MZV524301:MZV524324 NJR524301:NJR524324 NTN524301:NTN524324 ODJ524301:ODJ524324 ONF524301:ONF524324 OXB524301:OXB524324 PGX524301:PGX524324 PQT524301:PQT524324 QAP524301:QAP524324 QKL524301:QKL524324 QUH524301:QUH524324 RED524301:RED524324 RNZ524301:RNZ524324 RXV524301:RXV524324 SHR524301:SHR524324 SRN524301:SRN524324 TBJ524301:TBJ524324 TLF524301:TLF524324 TVB524301:TVB524324 UEX524301:UEX524324 UOT524301:UOT524324 UYP524301:UYP524324 VIL524301:VIL524324 VSH524301:VSH524324 WCD524301:WCD524324 WLZ524301:WLZ524324 WVV524301:WVV524324 U589837:U589860 JJ589837:JJ589860 TF589837:TF589860 ADB589837:ADB589860 AMX589837:AMX589860 AWT589837:AWT589860 BGP589837:BGP589860 BQL589837:BQL589860 CAH589837:CAH589860 CKD589837:CKD589860 CTZ589837:CTZ589860 DDV589837:DDV589860 DNR589837:DNR589860 DXN589837:DXN589860 EHJ589837:EHJ589860 ERF589837:ERF589860 FBB589837:FBB589860 FKX589837:FKX589860 FUT589837:FUT589860 GEP589837:GEP589860 GOL589837:GOL589860 GYH589837:GYH589860 HID589837:HID589860 HRZ589837:HRZ589860 IBV589837:IBV589860 ILR589837:ILR589860 IVN589837:IVN589860 JFJ589837:JFJ589860 JPF589837:JPF589860 JZB589837:JZB589860 KIX589837:KIX589860 KST589837:KST589860 LCP589837:LCP589860 LML589837:LML589860 LWH589837:LWH589860 MGD589837:MGD589860 MPZ589837:MPZ589860 MZV589837:MZV589860 NJR589837:NJR589860 NTN589837:NTN589860 ODJ589837:ODJ589860 ONF589837:ONF589860 OXB589837:OXB589860 PGX589837:PGX589860 PQT589837:PQT589860 QAP589837:QAP589860 QKL589837:QKL589860 QUH589837:QUH589860 RED589837:RED589860 RNZ589837:RNZ589860 RXV589837:RXV589860 SHR589837:SHR589860 SRN589837:SRN589860 TBJ589837:TBJ589860 TLF589837:TLF589860 TVB589837:TVB589860 UEX589837:UEX589860 UOT589837:UOT589860 UYP589837:UYP589860 VIL589837:VIL589860 VSH589837:VSH589860 WCD589837:WCD589860 WLZ589837:WLZ589860 WVV589837:WVV589860 U655373:U655396 JJ655373:JJ655396 TF655373:TF655396 ADB655373:ADB655396 AMX655373:AMX655396 AWT655373:AWT655396 BGP655373:BGP655396 BQL655373:BQL655396 CAH655373:CAH655396 CKD655373:CKD655396 CTZ655373:CTZ655396 DDV655373:DDV655396 DNR655373:DNR655396 DXN655373:DXN655396 EHJ655373:EHJ655396 ERF655373:ERF655396 FBB655373:FBB655396 FKX655373:FKX655396 FUT655373:FUT655396 GEP655373:GEP655396 GOL655373:GOL655396 GYH655373:GYH655396 HID655373:HID655396 HRZ655373:HRZ655396 IBV655373:IBV655396 ILR655373:ILR655396 IVN655373:IVN655396 JFJ655373:JFJ655396 JPF655373:JPF655396 JZB655373:JZB655396 KIX655373:KIX655396 KST655373:KST655396 LCP655373:LCP655396 LML655373:LML655396 LWH655373:LWH655396 MGD655373:MGD655396 MPZ655373:MPZ655396 MZV655373:MZV655396 NJR655373:NJR655396 NTN655373:NTN655396 ODJ655373:ODJ655396 ONF655373:ONF655396 OXB655373:OXB655396 PGX655373:PGX655396 PQT655373:PQT655396 QAP655373:QAP655396 QKL655373:QKL655396 QUH655373:QUH655396 RED655373:RED655396 RNZ655373:RNZ655396 RXV655373:RXV655396 SHR655373:SHR655396 SRN655373:SRN655396 TBJ655373:TBJ655396 TLF655373:TLF655396 TVB655373:TVB655396 UEX655373:UEX655396 UOT655373:UOT655396 UYP655373:UYP655396 VIL655373:VIL655396 VSH655373:VSH655396 WCD655373:WCD655396 WLZ655373:WLZ655396 WVV655373:WVV655396 U720909:U720932 JJ720909:JJ720932 TF720909:TF720932 ADB720909:ADB720932 AMX720909:AMX720932 AWT720909:AWT720932 BGP720909:BGP720932 BQL720909:BQL720932 CAH720909:CAH720932 CKD720909:CKD720932 CTZ720909:CTZ720932 DDV720909:DDV720932 DNR720909:DNR720932 DXN720909:DXN720932 EHJ720909:EHJ720932 ERF720909:ERF720932 FBB720909:FBB720932 FKX720909:FKX720932 FUT720909:FUT720932 GEP720909:GEP720932 GOL720909:GOL720932 GYH720909:GYH720932 HID720909:HID720932 HRZ720909:HRZ720932 IBV720909:IBV720932 ILR720909:ILR720932 IVN720909:IVN720932 JFJ720909:JFJ720932 JPF720909:JPF720932 JZB720909:JZB720932 KIX720909:KIX720932 KST720909:KST720932 LCP720909:LCP720932 LML720909:LML720932 LWH720909:LWH720932 MGD720909:MGD720932 MPZ720909:MPZ720932 MZV720909:MZV720932 NJR720909:NJR720932 NTN720909:NTN720932 ODJ720909:ODJ720932 ONF720909:ONF720932 OXB720909:OXB720932 PGX720909:PGX720932 PQT720909:PQT720932 QAP720909:QAP720932 QKL720909:QKL720932 QUH720909:QUH720932 RED720909:RED720932 RNZ720909:RNZ720932 RXV720909:RXV720932 SHR720909:SHR720932 SRN720909:SRN720932 TBJ720909:TBJ720932 TLF720909:TLF720932 TVB720909:TVB720932 UEX720909:UEX720932 UOT720909:UOT720932 UYP720909:UYP720932 VIL720909:VIL720932 VSH720909:VSH720932 WCD720909:WCD720932 WLZ720909:WLZ720932 WVV720909:WVV720932 U786445:U786468 JJ786445:JJ786468 TF786445:TF786468 ADB786445:ADB786468 AMX786445:AMX786468 AWT786445:AWT786468 BGP786445:BGP786468 BQL786445:BQL786468 CAH786445:CAH786468 CKD786445:CKD786468 CTZ786445:CTZ786468 DDV786445:DDV786468 DNR786445:DNR786468 DXN786445:DXN786468 EHJ786445:EHJ786468 ERF786445:ERF786468 FBB786445:FBB786468 FKX786445:FKX786468 FUT786445:FUT786468 GEP786445:GEP786468 GOL786445:GOL786468 GYH786445:GYH786468 HID786445:HID786468 HRZ786445:HRZ786468 IBV786445:IBV786468 ILR786445:ILR786468 IVN786445:IVN786468 JFJ786445:JFJ786468 JPF786445:JPF786468 JZB786445:JZB786468 KIX786445:KIX786468 KST786445:KST786468 LCP786445:LCP786468 LML786445:LML786468 LWH786445:LWH786468 MGD786445:MGD786468 MPZ786445:MPZ786468 MZV786445:MZV786468 NJR786445:NJR786468 NTN786445:NTN786468 ODJ786445:ODJ786468 ONF786445:ONF786468 OXB786445:OXB786468 PGX786445:PGX786468 PQT786445:PQT786468 QAP786445:QAP786468 QKL786445:QKL786468 QUH786445:QUH786468 RED786445:RED786468 RNZ786445:RNZ786468 RXV786445:RXV786468 SHR786445:SHR786468 SRN786445:SRN786468 TBJ786445:TBJ786468 TLF786445:TLF786468 TVB786445:TVB786468 UEX786445:UEX786468 UOT786445:UOT786468 UYP786445:UYP786468 VIL786445:VIL786468 VSH786445:VSH786468 WCD786445:WCD786468 WLZ786445:WLZ786468 WVV786445:WVV786468 U851981:U852004 JJ851981:JJ852004 TF851981:TF852004 ADB851981:ADB852004 AMX851981:AMX852004 AWT851981:AWT852004 BGP851981:BGP852004 BQL851981:BQL852004 CAH851981:CAH852004 CKD851981:CKD852004 CTZ851981:CTZ852004 DDV851981:DDV852004 DNR851981:DNR852004 DXN851981:DXN852004 EHJ851981:EHJ852004 ERF851981:ERF852004 FBB851981:FBB852004 FKX851981:FKX852004 FUT851981:FUT852004 GEP851981:GEP852004 GOL851981:GOL852004 GYH851981:GYH852004 HID851981:HID852004 HRZ851981:HRZ852004 IBV851981:IBV852004 ILR851981:ILR852004 IVN851981:IVN852004 JFJ851981:JFJ852004 JPF851981:JPF852004 JZB851981:JZB852004 KIX851981:KIX852004 KST851981:KST852004 LCP851981:LCP852004 LML851981:LML852004 LWH851981:LWH852004 MGD851981:MGD852004 MPZ851981:MPZ852004 MZV851981:MZV852004 NJR851981:NJR852004 NTN851981:NTN852004 ODJ851981:ODJ852004 ONF851981:ONF852004 OXB851981:OXB852004 PGX851981:PGX852004 PQT851981:PQT852004 QAP851981:QAP852004 QKL851981:QKL852004 QUH851981:QUH852004 RED851981:RED852004 RNZ851981:RNZ852004 RXV851981:RXV852004 SHR851981:SHR852004 SRN851981:SRN852004 TBJ851981:TBJ852004 TLF851981:TLF852004 TVB851981:TVB852004 UEX851981:UEX852004 UOT851981:UOT852004 UYP851981:UYP852004 VIL851981:VIL852004 VSH851981:VSH852004 WCD851981:WCD852004 WLZ851981:WLZ852004 WVV851981:WVV852004 U917517:U917540 JJ917517:JJ917540 TF917517:TF917540 ADB917517:ADB917540 AMX917517:AMX917540 AWT917517:AWT917540 BGP917517:BGP917540 BQL917517:BQL917540 CAH917517:CAH917540 CKD917517:CKD917540 CTZ917517:CTZ917540 DDV917517:DDV917540 DNR917517:DNR917540 DXN917517:DXN917540 EHJ917517:EHJ917540 ERF917517:ERF917540 FBB917517:FBB917540 FKX917517:FKX917540 FUT917517:FUT917540 GEP917517:GEP917540 GOL917517:GOL917540 GYH917517:GYH917540 HID917517:HID917540 HRZ917517:HRZ917540 IBV917517:IBV917540 ILR917517:ILR917540 IVN917517:IVN917540 JFJ917517:JFJ917540 JPF917517:JPF917540 JZB917517:JZB917540 KIX917517:KIX917540 KST917517:KST917540 LCP917517:LCP917540 LML917517:LML917540 LWH917517:LWH917540 MGD917517:MGD917540 MPZ917517:MPZ917540 MZV917517:MZV917540 NJR917517:NJR917540 NTN917517:NTN917540 ODJ917517:ODJ917540 ONF917517:ONF917540 OXB917517:OXB917540 PGX917517:PGX917540 PQT917517:PQT917540 QAP917517:QAP917540 QKL917517:QKL917540 QUH917517:QUH917540 RED917517:RED917540 RNZ917517:RNZ917540 RXV917517:RXV917540 SHR917517:SHR917540 SRN917517:SRN917540 TBJ917517:TBJ917540 TLF917517:TLF917540 TVB917517:TVB917540 UEX917517:UEX917540 UOT917517:UOT917540 UYP917517:UYP917540 VIL917517:VIL917540 VSH917517:VSH917540 WCD917517:WCD917540 WLZ917517:WLZ917540 WVV917517:WVV917540 U983053:U983076 JJ983053:JJ983076 TF983053:TF983076 ADB983053:ADB983076 AMX983053:AMX983076 AWT983053:AWT983076 BGP983053:BGP983076 BQL983053:BQL983076 CAH983053:CAH983076 CKD983053:CKD983076 CTZ983053:CTZ983076 DDV983053:DDV983076 DNR983053:DNR983076 DXN983053:DXN983076 EHJ983053:EHJ983076 ERF983053:ERF983076 FBB983053:FBB983076 FKX983053:FKX983076 FUT983053:FUT983076 GEP983053:GEP983076 GOL983053:GOL983076 GYH983053:GYH983076 HID983053:HID983076 HRZ983053:HRZ983076 IBV983053:IBV983076 ILR983053:ILR983076 IVN983053:IVN983076 JFJ983053:JFJ983076 JPF983053:JPF983076 JZB983053:JZB983076 KIX983053:KIX983076 KST983053:KST983076 LCP983053:LCP983076 LML983053:LML983076 LWH983053:LWH983076 MGD983053:MGD983076 MPZ983053:MPZ983076 MZV983053:MZV983076 NJR983053:NJR983076 NTN983053:NTN983076 ODJ983053:ODJ983076 ONF983053:ONF983076 OXB983053:OXB983076 PGX983053:PGX983076 PQT983053:PQT983076 QAP983053:QAP983076 QKL983053:QKL983076 QUH983053:QUH983076 RED983053:RED983076 RNZ983053:RNZ983076 RXV983053:RXV983076 SHR983053:SHR983076 SRN983053:SRN983076 TBJ983053:TBJ983076 TLF983053:TLF983076 TVB983053:TVB983076 UEX983053:UEX983076 UOT983053:UOT983076 UYP983053:UYP983076 VIL983053:VIL983076 VSH983053:VSH983076 WCD983053:WCD983076 WLZ983053:WLZ983076 WVV983053:WVV983076 JL65549:JL65572 TH65549:TH65572 ADD65549:ADD65572 AMZ65549:AMZ65572 AWV65549:AWV65572 BGR65549:BGR65572 BQN65549:BQN65572 CAJ65549:CAJ65572 CKF65549:CKF65572 CUB65549:CUB65572 DDX65549:DDX65572 DNT65549:DNT65572 DXP65549:DXP65572 EHL65549:EHL65572 ERH65549:ERH65572 FBD65549:FBD65572 FKZ65549:FKZ65572 FUV65549:FUV65572 GER65549:GER65572 GON65549:GON65572 GYJ65549:GYJ65572 HIF65549:HIF65572 HSB65549:HSB65572 IBX65549:IBX65572 ILT65549:ILT65572 IVP65549:IVP65572 JFL65549:JFL65572 JPH65549:JPH65572 JZD65549:JZD65572 KIZ65549:KIZ65572 KSV65549:KSV65572 LCR65549:LCR65572 LMN65549:LMN65572 LWJ65549:LWJ65572 MGF65549:MGF65572 MQB65549:MQB65572 MZX65549:MZX65572 NJT65549:NJT65572 NTP65549:NTP65572 ODL65549:ODL65572 ONH65549:ONH65572 OXD65549:OXD65572 PGZ65549:PGZ65572 PQV65549:PQV65572 QAR65549:QAR65572 QKN65549:QKN65572 QUJ65549:QUJ65572 REF65549:REF65572 ROB65549:ROB65572 RXX65549:RXX65572 SHT65549:SHT65572 SRP65549:SRP65572 TBL65549:TBL65572 TLH65549:TLH65572 TVD65549:TVD65572 UEZ65549:UEZ65572 UOV65549:UOV65572 UYR65549:UYR65572 VIN65549:VIN65572 VSJ65549:VSJ65572 WCF65549:WCF65572 WMB65549:WMB65572 WVX65549:WVX65572 JL131085:JL131108 TH131085:TH131108 ADD131085:ADD131108 AMZ131085:AMZ131108 AWV131085:AWV131108 BGR131085:BGR131108 BQN131085:BQN131108 CAJ131085:CAJ131108 CKF131085:CKF131108 CUB131085:CUB131108 DDX131085:DDX131108 DNT131085:DNT131108 DXP131085:DXP131108 EHL131085:EHL131108 ERH131085:ERH131108 FBD131085:FBD131108 FKZ131085:FKZ131108 FUV131085:FUV131108 GER131085:GER131108 GON131085:GON131108 GYJ131085:GYJ131108 HIF131085:HIF131108 HSB131085:HSB131108 IBX131085:IBX131108 ILT131085:ILT131108 IVP131085:IVP131108 JFL131085:JFL131108 JPH131085:JPH131108 JZD131085:JZD131108 KIZ131085:KIZ131108 KSV131085:KSV131108 LCR131085:LCR131108 LMN131085:LMN131108 LWJ131085:LWJ131108 MGF131085:MGF131108 MQB131085:MQB131108 MZX131085:MZX131108 NJT131085:NJT131108 NTP131085:NTP131108 ODL131085:ODL131108 ONH131085:ONH131108 OXD131085:OXD131108 PGZ131085:PGZ131108 PQV131085:PQV131108 QAR131085:QAR131108 QKN131085:QKN131108 QUJ131085:QUJ131108 REF131085:REF131108 ROB131085:ROB131108 RXX131085:RXX131108 SHT131085:SHT131108 SRP131085:SRP131108 TBL131085:TBL131108 TLH131085:TLH131108 TVD131085:TVD131108 UEZ131085:UEZ131108 UOV131085:UOV131108 UYR131085:UYR131108 VIN131085:VIN131108 VSJ131085:VSJ131108 WCF131085:WCF131108 WMB131085:WMB131108 WVX131085:WVX131108 JL196621:JL196644 TH196621:TH196644 ADD196621:ADD196644 AMZ196621:AMZ196644 AWV196621:AWV196644 BGR196621:BGR196644 BQN196621:BQN196644 CAJ196621:CAJ196644 CKF196621:CKF196644 CUB196621:CUB196644 DDX196621:DDX196644 DNT196621:DNT196644 DXP196621:DXP196644 EHL196621:EHL196644 ERH196621:ERH196644 FBD196621:FBD196644 FKZ196621:FKZ196644 FUV196621:FUV196644 GER196621:GER196644 GON196621:GON196644 GYJ196621:GYJ196644 HIF196621:HIF196644 HSB196621:HSB196644 IBX196621:IBX196644 ILT196621:ILT196644 IVP196621:IVP196644 JFL196621:JFL196644 JPH196621:JPH196644 JZD196621:JZD196644 KIZ196621:KIZ196644 KSV196621:KSV196644 LCR196621:LCR196644 LMN196621:LMN196644 LWJ196621:LWJ196644 MGF196621:MGF196644 MQB196621:MQB196644 MZX196621:MZX196644 NJT196621:NJT196644 NTP196621:NTP196644 ODL196621:ODL196644 ONH196621:ONH196644 OXD196621:OXD196644 PGZ196621:PGZ196644 PQV196621:PQV196644 QAR196621:QAR196644 QKN196621:QKN196644 QUJ196621:QUJ196644 REF196621:REF196644 ROB196621:ROB196644 RXX196621:RXX196644 SHT196621:SHT196644 SRP196621:SRP196644 TBL196621:TBL196644 TLH196621:TLH196644 TVD196621:TVD196644 UEZ196621:UEZ196644 UOV196621:UOV196644 UYR196621:UYR196644 VIN196621:VIN196644 VSJ196621:VSJ196644 WCF196621:WCF196644 WMB196621:WMB196644 WVX196621:WVX196644 JL262157:JL262180 TH262157:TH262180 ADD262157:ADD262180 AMZ262157:AMZ262180 AWV262157:AWV262180 BGR262157:BGR262180 BQN262157:BQN262180 CAJ262157:CAJ262180 CKF262157:CKF262180 CUB262157:CUB262180 DDX262157:DDX262180 DNT262157:DNT262180 DXP262157:DXP262180 EHL262157:EHL262180 ERH262157:ERH262180 FBD262157:FBD262180 FKZ262157:FKZ262180 FUV262157:FUV262180 GER262157:GER262180 GON262157:GON262180 GYJ262157:GYJ262180 HIF262157:HIF262180 HSB262157:HSB262180 IBX262157:IBX262180 ILT262157:ILT262180 IVP262157:IVP262180 JFL262157:JFL262180 JPH262157:JPH262180 JZD262157:JZD262180 KIZ262157:KIZ262180 KSV262157:KSV262180 LCR262157:LCR262180 LMN262157:LMN262180 LWJ262157:LWJ262180 MGF262157:MGF262180 MQB262157:MQB262180 MZX262157:MZX262180 NJT262157:NJT262180 NTP262157:NTP262180 ODL262157:ODL262180 ONH262157:ONH262180 OXD262157:OXD262180 PGZ262157:PGZ262180 PQV262157:PQV262180 QAR262157:QAR262180 QKN262157:QKN262180 QUJ262157:QUJ262180 REF262157:REF262180 ROB262157:ROB262180 RXX262157:RXX262180 SHT262157:SHT262180 SRP262157:SRP262180 TBL262157:TBL262180 TLH262157:TLH262180 TVD262157:TVD262180 UEZ262157:UEZ262180 UOV262157:UOV262180 UYR262157:UYR262180 VIN262157:VIN262180 VSJ262157:VSJ262180 WCF262157:WCF262180 WMB262157:WMB262180 WVX262157:WVX262180 JL327693:JL327716 TH327693:TH327716 ADD327693:ADD327716 AMZ327693:AMZ327716 AWV327693:AWV327716 BGR327693:BGR327716 BQN327693:BQN327716 CAJ327693:CAJ327716 CKF327693:CKF327716 CUB327693:CUB327716 DDX327693:DDX327716 DNT327693:DNT327716 DXP327693:DXP327716 EHL327693:EHL327716 ERH327693:ERH327716 FBD327693:FBD327716 FKZ327693:FKZ327716 FUV327693:FUV327716 GER327693:GER327716 GON327693:GON327716 GYJ327693:GYJ327716 HIF327693:HIF327716 HSB327693:HSB327716 IBX327693:IBX327716 ILT327693:ILT327716 IVP327693:IVP327716 JFL327693:JFL327716 JPH327693:JPH327716 JZD327693:JZD327716 KIZ327693:KIZ327716 KSV327693:KSV327716 LCR327693:LCR327716 LMN327693:LMN327716 LWJ327693:LWJ327716 MGF327693:MGF327716 MQB327693:MQB327716 MZX327693:MZX327716 NJT327693:NJT327716 NTP327693:NTP327716 ODL327693:ODL327716 ONH327693:ONH327716 OXD327693:OXD327716 PGZ327693:PGZ327716 PQV327693:PQV327716 QAR327693:QAR327716 QKN327693:QKN327716 QUJ327693:QUJ327716 REF327693:REF327716 ROB327693:ROB327716 RXX327693:RXX327716 SHT327693:SHT327716 SRP327693:SRP327716 TBL327693:TBL327716 TLH327693:TLH327716 TVD327693:TVD327716 UEZ327693:UEZ327716 UOV327693:UOV327716 UYR327693:UYR327716 VIN327693:VIN327716 VSJ327693:VSJ327716 WCF327693:WCF327716 WMB327693:WMB327716 WVX327693:WVX327716 JL393229:JL393252 TH393229:TH393252 ADD393229:ADD393252 AMZ393229:AMZ393252 AWV393229:AWV393252 BGR393229:BGR393252 BQN393229:BQN393252 CAJ393229:CAJ393252 CKF393229:CKF393252 CUB393229:CUB393252 DDX393229:DDX393252 DNT393229:DNT393252 DXP393229:DXP393252 EHL393229:EHL393252 ERH393229:ERH393252 FBD393229:FBD393252 FKZ393229:FKZ393252 FUV393229:FUV393252 GER393229:GER393252 GON393229:GON393252 GYJ393229:GYJ393252 HIF393229:HIF393252 HSB393229:HSB393252 IBX393229:IBX393252 ILT393229:ILT393252 IVP393229:IVP393252 JFL393229:JFL393252 JPH393229:JPH393252 JZD393229:JZD393252 KIZ393229:KIZ393252 KSV393229:KSV393252 LCR393229:LCR393252 LMN393229:LMN393252 LWJ393229:LWJ393252 MGF393229:MGF393252 MQB393229:MQB393252 MZX393229:MZX393252 NJT393229:NJT393252 NTP393229:NTP393252 ODL393229:ODL393252 ONH393229:ONH393252 OXD393229:OXD393252 PGZ393229:PGZ393252 PQV393229:PQV393252 QAR393229:QAR393252 QKN393229:QKN393252 QUJ393229:QUJ393252 REF393229:REF393252 ROB393229:ROB393252 RXX393229:RXX393252 SHT393229:SHT393252 SRP393229:SRP393252 TBL393229:TBL393252 TLH393229:TLH393252 TVD393229:TVD393252 UEZ393229:UEZ393252 UOV393229:UOV393252 UYR393229:UYR393252 VIN393229:VIN393252 VSJ393229:VSJ393252 WCF393229:WCF393252 WMB393229:WMB393252 WVX393229:WVX393252 JL458765:JL458788 TH458765:TH458788 ADD458765:ADD458788 AMZ458765:AMZ458788 AWV458765:AWV458788 BGR458765:BGR458788 BQN458765:BQN458788 CAJ458765:CAJ458788 CKF458765:CKF458788 CUB458765:CUB458788 DDX458765:DDX458788 DNT458765:DNT458788 DXP458765:DXP458788 EHL458765:EHL458788 ERH458765:ERH458788 FBD458765:FBD458788 FKZ458765:FKZ458788 FUV458765:FUV458788 GER458765:GER458788 GON458765:GON458788 GYJ458765:GYJ458788 HIF458765:HIF458788 HSB458765:HSB458788 IBX458765:IBX458788 ILT458765:ILT458788 IVP458765:IVP458788 JFL458765:JFL458788 JPH458765:JPH458788 JZD458765:JZD458788 KIZ458765:KIZ458788 KSV458765:KSV458788 LCR458765:LCR458788 LMN458765:LMN458788 LWJ458765:LWJ458788 MGF458765:MGF458788 MQB458765:MQB458788 MZX458765:MZX458788 NJT458765:NJT458788 NTP458765:NTP458788 ODL458765:ODL458788 ONH458765:ONH458788 OXD458765:OXD458788 PGZ458765:PGZ458788 PQV458765:PQV458788 QAR458765:QAR458788 QKN458765:QKN458788 QUJ458765:QUJ458788 REF458765:REF458788 ROB458765:ROB458788 RXX458765:RXX458788 SHT458765:SHT458788 SRP458765:SRP458788 TBL458765:TBL458788 TLH458765:TLH458788 TVD458765:TVD458788 UEZ458765:UEZ458788 UOV458765:UOV458788 UYR458765:UYR458788 VIN458765:VIN458788 VSJ458765:VSJ458788 WCF458765:WCF458788 WMB458765:WMB458788 WVX458765:WVX458788 JL524301:JL524324 TH524301:TH524324 ADD524301:ADD524324 AMZ524301:AMZ524324 AWV524301:AWV524324 BGR524301:BGR524324 BQN524301:BQN524324 CAJ524301:CAJ524324 CKF524301:CKF524324 CUB524301:CUB524324 DDX524301:DDX524324 DNT524301:DNT524324 DXP524301:DXP524324 EHL524301:EHL524324 ERH524301:ERH524324 FBD524301:FBD524324 FKZ524301:FKZ524324 FUV524301:FUV524324 GER524301:GER524324 GON524301:GON524324 GYJ524301:GYJ524324 HIF524301:HIF524324 HSB524301:HSB524324 IBX524301:IBX524324 ILT524301:ILT524324 IVP524301:IVP524324 JFL524301:JFL524324 JPH524301:JPH524324 JZD524301:JZD524324 KIZ524301:KIZ524324 KSV524301:KSV524324 LCR524301:LCR524324 LMN524301:LMN524324 LWJ524301:LWJ524324 MGF524301:MGF524324 MQB524301:MQB524324 MZX524301:MZX524324 NJT524301:NJT524324 NTP524301:NTP524324 ODL524301:ODL524324 ONH524301:ONH524324 OXD524301:OXD524324 PGZ524301:PGZ524324 PQV524301:PQV524324 QAR524301:QAR524324 QKN524301:QKN524324 QUJ524301:QUJ524324 REF524301:REF524324 ROB524301:ROB524324 RXX524301:RXX524324 SHT524301:SHT524324 SRP524301:SRP524324 TBL524301:TBL524324 TLH524301:TLH524324 TVD524301:TVD524324 UEZ524301:UEZ524324 UOV524301:UOV524324 UYR524301:UYR524324 VIN524301:VIN524324 VSJ524301:VSJ524324 WCF524301:WCF524324 WMB524301:WMB524324 WVX524301:WVX524324 JL589837:JL589860 TH589837:TH589860 ADD589837:ADD589860 AMZ589837:AMZ589860 AWV589837:AWV589860 BGR589837:BGR589860 BQN589837:BQN589860 CAJ589837:CAJ589860 CKF589837:CKF589860 CUB589837:CUB589860 DDX589837:DDX589860 DNT589837:DNT589860 DXP589837:DXP589860 EHL589837:EHL589860 ERH589837:ERH589860 FBD589837:FBD589860 FKZ589837:FKZ589860 FUV589837:FUV589860 GER589837:GER589860 GON589837:GON589860 GYJ589837:GYJ589860 HIF589837:HIF589860 HSB589837:HSB589860 IBX589837:IBX589860 ILT589837:ILT589860 IVP589837:IVP589860 JFL589837:JFL589860 JPH589837:JPH589860 JZD589837:JZD589860 KIZ589837:KIZ589860 KSV589837:KSV589860 LCR589837:LCR589860 LMN589837:LMN589860 LWJ589837:LWJ589860 MGF589837:MGF589860 MQB589837:MQB589860 MZX589837:MZX589860 NJT589837:NJT589860 NTP589837:NTP589860 ODL589837:ODL589860 ONH589837:ONH589860 OXD589837:OXD589860 PGZ589837:PGZ589860 PQV589837:PQV589860 QAR589837:QAR589860 QKN589837:QKN589860 QUJ589837:QUJ589860 REF589837:REF589860 ROB589837:ROB589860 RXX589837:RXX589860 SHT589837:SHT589860 SRP589837:SRP589860 TBL589837:TBL589860 TLH589837:TLH589860 TVD589837:TVD589860 UEZ589837:UEZ589860 UOV589837:UOV589860 UYR589837:UYR589860 VIN589837:VIN589860 VSJ589837:VSJ589860 WCF589837:WCF589860 WMB589837:WMB589860 WVX589837:WVX589860 JL655373:JL655396 TH655373:TH655396 ADD655373:ADD655396 AMZ655373:AMZ655396 AWV655373:AWV655396 BGR655373:BGR655396 BQN655373:BQN655396 CAJ655373:CAJ655396 CKF655373:CKF655396 CUB655373:CUB655396 DDX655373:DDX655396 DNT655373:DNT655396 DXP655373:DXP655396 EHL655373:EHL655396 ERH655373:ERH655396 FBD655373:FBD655396 FKZ655373:FKZ655396 FUV655373:FUV655396 GER655373:GER655396 GON655373:GON655396 GYJ655373:GYJ655396 HIF655373:HIF655396 HSB655373:HSB655396 IBX655373:IBX655396 ILT655373:ILT655396 IVP655373:IVP655396 JFL655373:JFL655396 JPH655373:JPH655396 JZD655373:JZD655396 KIZ655373:KIZ655396 KSV655373:KSV655396 LCR655373:LCR655396 LMN655373:LMN655396 LWJ655373:LWJ655396 MGF655373:MGF655396 MQB655373:MQB655396 MZX655373:MZX655396 NJT655373:NJT655396 NTP655373:NTP655396 ODL655373:ODL655396 ONH655373:ONH655396 OXD655373:OXD655396 PGZ655373:PGZ655396 PQV655373:PQV655396 QAR655373:QAR655396 QKN655373:QKN655396 QUJ655373:QUJ655396 REF655373:REF655396 ROB655373:ROB655396 RXX655373:RXX655396 SHT655373:SHT655396 SRP655373:SRP655396 TBL655373:TBL655396 TLH655373:TLH655396 TVD655373:TVD655396 UEZ655373:UEZ655396 UOV655373:UOV655396 UYR655373:UYR655396 VIN655373:VIN655396 VSJ655373:VSJ655396 WCF655373:WCF655396 WMB655373:WMB655396 WVX655373:WVX655396 JL720909:JL720932 TH720909:TH720932 ADD720909:ADD720932 AMZ720909:AMZ720932 AWV720909:AWV720932 BGR720909:BGR720932 BQN720909:BQN720932 CAJ720909:CAJ720932 CKF720909:CKF720932 CUB720909:CUB720932 DDX720909:DDX720932 DNT720909:DNT720932 DXP720909:DXP720932 EHL720909:EHL720932 ERH720909:ERH720932 FBD720909:FBD720932 FKZ720909:FKZ720932 FUV720909:FUV720932 GER720909:GER720932 GON720909:GON720932 GYJ720909:GYJ720932 HIF720909:HIF720932 HSB720909:HSB720932 IBX720909:IBX720932 ILT720909:ILT720932 IVP720909:IVP720932 JFL720909:JFL720932 JPH720909:JPH720932 JZD720909:JZD720932 KIZ720909:KIZ720932 KSV720909:KSV720932 LCR720909:LCR720932 LMN720909:LMN720932 LWJ720909:LWJ720932 MGF720909:MGF720932 MQB720909:MQB720932 MZX720909:MZX720932 NJT720909:NJT720932 NTP720909:NTP720932 ODL720909:ODL720932 ONH720909:ONH720932 OXD720909:OXD720932 PGZ720909:PGZ720932 PQV720909:PQV720932 QAR720909:QAR720932 QKN720909:QKN720932 QUJ720909:QUJ720932 REF720909:REF720932 ROB720909:ROB720932 RXX720909:RXX720932 SHT720909:SHT720932 SRP720909:SRP720932 TBL720909:TBL720932 TLH720909:TLH720932 TVD720909:TVD720932 UEZ720909:UEZ720932 UOV720909:UOV720932 UYR720909:UYR720932 VIN720909:VIN720932 VSJ720909:VSJ720932 WCF720909:WCF720932 WMB720909:WMB720932 WVX720909:WVX720932 JL786445:JL786468 TH786445:TH786468 ADD786445:ADD786468 AMZ786445:AMZ786468 AWV786445:AWV786468 BGR786445:BGR786468 BQN786445:BQN786468 CAJ786445:CAJ786468 CKF786445:CKF786468 CUB786445:CUB786468 DDX786445:DDX786468 DNT786445:DNT786468 DXP786445:DXP786468 EHL786445:EHL786468 ERH786445:ERH786468 FBD786445:FBD786468 FKZ786445:FKZ786468 FUV786445:FUV786468 GER786445:GER786468 GON786445:GON786468 GYJ786445:GYJ786468 HIF786445:HIF786468 HSB786445:HSB786468 IBX786445:IBX786468 ILT786445:ILT786468 IVP786445:IVP786468 JFL786445:JFL786468 JPH786445:JPH786468 JZD786445:JZD786468 KIZ786445:KIZ786468 KSV786445:KSV786468 LCR786445:LCR786468 LMN786445:LMN786468 LWJ786445:LWJ786468 MGF786445:MGF786468 MQB786445:MQB786468 MZX786445:MZX786468 NJT786445:NJT786468 NTP786445:NTP786468 ODL786445:ODL786468 ONH786445:ONH786468 OXD786445:OXD786468 PGZ786445:PGZ786468 PQV786445:PQV786468 QAR786445:QAR786468 QKN786445:QKN786468 QUJ786445:QUJ786468 REF786445:REF786468 ROB786445:ROB786468 RXX786445:RXX786468 SHT786445:SHT786468 SRP786445:SRP786468 TBL786445:TBL786468 TLH786445:TLH786468 TVD786445:TVD786468 UEZ786445:UEZ786468 UOV786445:UOV786468 UYR786445:UYR786468 VIN786445:VIN786468 VSJ786445:VSJ786468 WCF786445:WCF786468 WMB786445:WMB786468 WVX786445:WVX786468 JL851981:JL852004 TH851981:TH852004 ADD851981:ADD852004 AMZ851981:AMZ852004 AWV851981:AWV852004 BGR851981:BGR852004 BQN851981:BQN852004 CAJ851981:CAJ852004 CKF851981:CKF852004 CUB851981:CUB852004 DDX851981:DDX852004 DNT851981:DNT852004 DXP851981:DXP852004 EHL851981:EHL852004 ERH851981:ERH852004 FBD851981:FBD852004 FKZ851981:FKZ852004 FUV851981:FUV852004 GER851981:GER852004 GON851981:GON852004 GYJ851981:GYJ852004 HIF851981:HIF852004 HSB851981:HSB852004 IBX851981:IBX852004 ILT851981:ILT852004 IVP851981:IVP852004 JFL851981:JFL852004 JPH851981:JPH852004 JZD851981:JZD852004 KIZ851981:KIZ852004 KSV851981:KSV852004 LCR851981:LCR852004 LMN851981:LMN852004 LWJ851981:LWJ852004 MGF851981:MGF852004 MQB851981:MQB852004 MZX851981:MZX852004 NJT851981:NJT852004 NTP851981:NTP852004 ODL851981:ODL852004 ONH851981:ONH852004 OXD851981:OXD852004 PGZ851981:PGZ852004 PQV851981:PQV852004 QAR851981:QAR852004 QKN851981:QKN852004 QUJ851981:QUJ852004 REF851981:REF852004 ROB851981:ROB852004 RXX851981:RXX852004 SHT851981:SHT852004 SRP851981:SRP852004 TBL851981:TBL852004 TLH851981:TLH852004 TVD851981:TVD852004 UEZ851981:UEZ852004 UOV851981:UOV852004 UYR851981:UYR852004 VIN851981:VIN852004 VSJ851981:VSJ852004 WCF851981:WCF852004 WMB851981:WMB852004 WVX851981:WVX852004 JL917517:JL917540 TH917517:TH917540 ADD917517:ADD917540 AMZ917517:AMZ917540 AWV917517:AWV917540 BGR917517:BGR917540 BQN917517:BQN917540 CAJ917517:CAJ917540 CKF917517:CKF917540 CUB917517:CUB917540 DDX917517:DDX917540 DNT917517:DNT917540 DXP917517:DXP917540 EHL917517:EHL917540 ERH917517:ERH917540 FBD917517:FBD917540 FKZ917517:FKZ917540 FUV917517:FUV917540 GER917517:GER917540 GON917517:GON917540 GYJ917517:GYJ917540 HIF917517:HIF917540 HSB917517:HSB917540 IBX917517:IBX917540 ILT917517:ILT917540 IVP917517:IVP917540 JFL917517:JFL917540 JPH917517:JPH917540 JZD917517:JZD917540 KIZ917517:KIZ917540 KSV917517:KSV917540 LCR917517:LCR917540 LMN917517:LMN917540 LWJ917517:LWJ917540 MGF917517:MGF917540 MQB917517:MQB917540 MZX917517:MZX917540 NJT917517:NJT917540 NTP917517:NTP917540 ODL917517:ODL917540 ONH917517:ONH917540 OXD917517:OXD917540 PGZ917517:PGZ917540 PQV917517:PQV917540 QAR917517:QAR917540 QKN917517:QKN917540 QUJ917517:QUJ917540 REF917517:REF917540 ROB917517:ROB917540 RXX917517:RXX917540 SHT917517:SHT917540 SRP917517:SRP917540 TBL917517:TBL917540 TLH917517:TLH917540 TVD917517:TVD917540 UEZ917517:UEZ917540 UOV917517:UOV917540 UYR917517:UYR917540 VIN917517:VIN917540 VSJ917517:VSJ917540 WCF917517:WCF917540 WMB917517:WMB917540 WVX917517:WVX917540 JL983053:JL983076 TH983053:TH983076 ADD983053:ADD983076 AMZ983053:AMZ983076 AWV983053:AWV983076 BGR983053:BGR983076 BQN983053:BQN983076 CAJ983053:CAJ983076 CKF983053:CKF983076 CUB983053:CUB983076 DDX983053:DDX983076 DNT983053:DNT983076 DXP983053:DXP983076 EHL983053:EHL983076 ERH983053:ERH983076 FBD983053:FBD983076 FKZ983053:FKZ983076 FUV983053:FUV983076 GER983053:GER983076 GON983053:GON983076 GYJ983053:GYJ983076 HIF983053:HIF983076 HSB983053:HSB983076 IBX983053:IBX983076 ILT983053:ILT983076 IVP983053:IVP983076 JFL983053:JFL983076 JPH983053:JPH983076 JZD983053:JZD983076 KIZ983053:KIZ983076 KSV983053:KSV983076 LCR983053:LCR983076 LMN983053:LMN983076 LWJ983053:LWJ983076 MGF983053:MGF983076 MQB983053:MQB983076 MZX983053:MZX983076 NJT983053:NJT983076 NTP983053:NTP983076 ODL983053:ODL983076 ONH983053:ONH983076 OXD983053:OXD983076 PGZ983053:PGZ983076 PQV983053:PQV983076 QAR983053:QAR983076 QKN983053:QKN983076 QUJ983053:QUJ983076 REF983053:REF983076 ROB983053:ROB983076 RXX983053:RXX983076 SHT983053:SHT983076 SRP983053:SRP983076 TBL983053:TBL983076 TLH983053:TLH983076 TVD983053:TVD983076 UEZ983053:UEZ983076 UOV983053:UOV983076 UYR983053:UYR983076 VIN983053:VIN983076 VSJ983053:VSJ983076 WCF983053:WCF983076 WMB983053:WMB983076 ANE11:ANE36 AXA11:AXA36 BGW11:BGW36 BQS11:BQS36 CAO11:CAO36 CKK11:CKK36 CUG11:CUG36 DEC11:DEC36 DNY11:DNY36 DXU11:DXU36 EHQ11:EHQ36 ERM11:ERM36 FBI11:FBI36 FLE11:FLE36 FVA11:FVA36 GEW11:GEW36 GOS11:GOS36 GYO11:GYO36 HIK11:HIK36 HSG11:HSG36 ICC11:ICC36 ILY11:ILY36 IVU11:IVU36 JFQ11:JFQ36 JPM11:JPM36 JZI11:JZI36 KJE11:KJE36 KTA11:KTA36 LCW11:LCW36 LMS11:LMS36 LWO11:LWO36 MGK11:MGK36 MQG11:MQG36 NAC11:NAC36 NJY11:NJY36 NTU11:NTU36 ODQ11:ODQ36 ONM11:ONM36 OXI11:OXI36 PHE11:PHE36 PRA11:PRA36 QAW11:QAW36 QKS11:QKS36 QUO11:QUO36 REK11:REK36 ROG11:ROG36 RYC11:RYC36 SHY11:SHY36 SRU11:SRU36 TBQ11:TBQ36 TLM11:TLM36 TVI11:TVI36 UFE11:UFE36 UPA11:UPA36 UYW11:UYW36 VIS11:VIS36 VSO11:VSO36 WCK11:WCK36 WMG11:WMG36 WWC11:WWC36 JQ11:JQ36 JS11:JS36 TO11:TO36 ADK11:ADK36 ANG11:ANG36 AXC11:AXC36 BGY11:BGY36 BQU11:BQU36 CAQ11:CAQ36 CKM11:CKM36 CUI11:CUI36 DEE11:DEE36 DOA11:DOA36 DXW11:DXW36 EHS11:EHS36 ERO11:ERO36 FBK11:FBK36 FLG11:FLG36 FVC11:FVC36 GEY11:GEY36 GOU11:GOU36 GYQ11:GYQ36 HIM11:HIM36 HSI11:HSI36 ICE11:ICE36 IMA11:IMA36 IVW11:IVW36 JFS11:JFS36 JPO11:JPO36 JZK11:JZK36 KJG11:KJG36 KTC11:KTC36 LCY11:LCY36 LMU11:LMU36 LWQ11:LWQ36 MGM11:MGM36 MQI11:MQI36 NAE11:NAE36 NKA11:NKA36 NTW11:NTW36 ODS11:ODS36 ONO11:ONO36 OXK11:OXK36 PHG11:PHG36 PRC11:PRC36 QAY11:QAY36 QKU11:QKU36 QUQ11:QUQ36 REM11:REM36 ROI11:ROI36 RYE11:RYE36 SIA11:SIA36 SRW11:SRW36 TBS11:TBS36 TLO11:TLO36 TVK11:TVK36 UFG11:UFG36 UPC11:UPC36 UYY11:UYY36 VIU11:VIU36 VSQ11:VSQ36 WCM11:WCM36 WMI11:WMI36 WWE11:WWE36 ADI11:ADI36 TM11:TM36 W11:W37 U11:U37" xr:uid="{00000000-0002-0000-0500-000001000000}">
      <formula1>"1,2,3,4"</formula1>
    </dataValidation>
  </dataValidations>
  <pageMargins left="0" right="0" top="0.39370078740157483" bottom="0.59055118110236227" header="0.51181102362204722" footer="0.39370078740157483"/>
  <pageSetup paperSize="9" scale="82" fitToHeight="0" orientation="landscape" r:id="rId1"/>
  <headerFooter alignWithMargins="0">
    <oddFooter>第 &amp;P 頁，共 &amp;N 頁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7</vt:i4>
      </vt:variant>
    </vt:vector>
  </HeadingPairs>
  <TitlesOfParts>
    <vt:vector size="13" baseType="lpstr">
      <vt:lpstr>資訊清單資訊</vt:lpstr>
      <vt:lpstr>人員類資產群組清單</vt:lpstr>
      <vt:lpstr>評估標準</vt:lpstr>
      <vt:lpstr>人員類風險材1-1-PE-01</vt:lpstr>
      <vt:lpstr>人員類風險材1-1-PE-02</vt:lpstr>
      <vt:lpstr>人員類風險材1-1-PE-03</vt:lpstr>
      <vt:lpstr>ALL_LIST</vt:lpstr>
      <vt:lpstr>'人員類風險材1-1-PE-01'!Print_Area</vt:lpstr>
      <vt:lpstr>'人員類風險材1-1-PE-02'!Print_Area</vt:lpstr>
      <vt:lpstr>'人員類風險材1-1-PE-03'!Print_Area</vt:lpstr>
      <vt:lpstr>'人員類風險材1-1-PE-01'!Print_Titles</vt:lpstr>
      <vt:lpstr>'人員類風險材1-1-PE-02'!Print_Titles</vt:lpstr>
      <vt:lpstr>'人員類風險材1-1-PE-03'!Print_Titles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徐怡婷</dc:creator>
  <cp:lastModifiedBy>joyce</cp:lastModifiedBy>
  <cp:lastPrinted>2020-06-19T07:03:06Z</cp:lastPrinted>
  <dcterms:created xsi:type="dcterms:W3CDTF">2016-07-21T06:30:48Z</dcterms:created>
  <dcterms:modified xsi:type="dcterms:W3CDTF">2024-03-19T06:08:34Z</dcterms:modified>
</cp:coreProperties>
</file>