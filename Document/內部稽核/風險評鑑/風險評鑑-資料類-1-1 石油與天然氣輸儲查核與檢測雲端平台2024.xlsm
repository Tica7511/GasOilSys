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328" codeName="{3D1A710C-6663-3D7B-7F91-EC182F24A4BC}"/>
  <workbookPr codeName="ThisWorkbook"/>
  <mc:AlternateContent xmlns:mc="http://schemas.openxmlformats.org/markup-compatibility/2006">
    <mc:Choice Requires="x15">
      <x15ac:absPath xmlns:x15ac="http://schemas.microsoft.com/office/spreadsheetml/2010/11/ac" url="C:\Users\My Document\20210416_NB Data\My Doc\0_工研院\113\1_RA\材化所\1-1_石油與天然氣輸儲查核與檢測雲端平台\"/>
    </mc:Choice>
  </mc:AlternateContent>
  <xr:revisionPtr revIDLastSave="0" documentId="13_ncr:1_{A54C1D77-A331-4891-BA6A-4BCF724666E1}" xr6:coauthVersionLast="47" xr6:coauthVersionMax="47" xr10:uidLastSave="{00000000-0000-0000-0000-000000000000}"/>
  <bookViews>
    <workbookView xWindow="-110" yWindow="-110" windowWidth="19420" windowHeight="10300" tabRatio="932" firstSheet="1" activeTab="1" xr2:uid="{00000000-000D-0000-FFFF-FFFF00000000}"/>
  </bookViews>
  <sheets>
    <sheet name="資訊清單資訊" sheetId="1" r:id="rId1"/>
    <sheet name="資料類資產群組清單" sheetId="2" r:id="rId2"/>
    <sheet name="評估標準" sheetId="4" r:id="rId3"/>
    <sheet name="資料類風險材1-1-DA-01" sheetId="9" r:id="rId4"/>
    <sheet name="資料類風險材1-1-DA-02" sheetId="10" r:id="rId5"/>
    <sheet name="資料類風險材1-1-DA-03" sheetId="11" r:id="rId6"/>
    <sheet name="資料類風險材1-1-DA-04" sheetId="12" r:id="rId7"/>
    <sheet name="資料類風險材1-1-DA-05" sheetId="13" r:id="rId8"/>
  </sheets>
  <externalReferences>
    <externalReference r:id="rId9"/>
    <externalReference r:id="rId10"/>
  </externalReferences>
  <definedNames>
    <definedName name="_xlnm._FilterDatabase" localSheetId="3" hidden="1">'資料類風險材1-1-DA-01'!$M$10:$Z$10</definedName>
    <definedName name="_xlnm._FilterDatabase" localSheetId="4" hidden="1">'資料類風險材1-1-DA-02'!$M$10:$Z$10</definedName>
    <definedName name="_xlnm._FilterDatabase" localSheetId="5" hidden="1">'資料類風險材1-1-DA-03'!$M$10:$Z$10</definedName>
    <definedName name="_xlnm._FilterDatabase" localSheetId="6" hidden="1">'資料類風險材1-1-DA-04'!$M$10:$Z$10</definedName>
    <definedName name="_xlnm._FilterDatabase" localSheetId="7" hidden="1">'資料類風險材1-1-DA-05'!$M$10:$Z$10</definedName>
    <definedName name="_xlnm._FilterDatabase" localSheetId="1" hidden="1">資料類資產群組清單!$A$9:$Q$9</definedName>
    <definedName name="All_Availability">[1]Ref!$S$3:$S$6</definedName>
    <definedName name="All_Confidential">[1]Ref!$M$3:$M$6</definedName>
    <definedName name="All_Impact">[1]Ref!$AB$3:$AB$6</definedName>
    <definedName name="All_Integrity">[1]Ref!$P$3:$P$6</definedName>
    <definedName name="All_Law">[1]Ref!$V$3:$V$6</definedName>
    <definedName name="All_Likelihood">[1]Ref!$Y$3:$Y$6</definedName>
    <definedName name="ALL_LIST">資料類資產群組清單!$A$10:$Q$164</definedName>
    <definedName name="All_YN">[1]Ref!$AE$3:$AE$4</definedName>
    <definedName name="PE_SUBLIST" localSheetId="4">評估標準!#REF!</definedName>
    <definedName name="PE_SUBLIST" localSheetId="5">評估標準!#REF!</definedName>
    <definedName name="PE_SUBLIST" localSheetId="6">評估標準!#REF!</definedName>
    <definedName name="PE_SUBLIST" localSheetId="7">評估標準!#REF!</definedName>
    <definedName name="PE_SUBLIST">評估標準!#REF!</definedName>
    <definedName name="PE_Subtype">[1]Ref!$C$3:$C$12</definedName>
    <definedName name="PE_TypeList">[1]人員資產群組清單!$D$10:$D$34</definedName>
    <definedName name="PE_TypeSum">[1]Ref!$C$3:$D$12</definedName>
    <definedName name="_xlnm.Print_Area" localSheetId="3">'資料類風險材1-1-DA-01'!$M$1:$U$34</definedName>
    <definedName name="_xlnm.Print_Area" localSheetId="4">'資料類風險材1-1-DA-02'!$M$1:$U$34</definedName>
    <definedName name="_xlnm.Print_Area" localSheetId="5">'資料類風險材1-1-DA-03'!$M$1:$U$34</definedName>
    <definedName name="_xlnm.Print_Area" localSheetId="6">'資料類風險材1-1-DA-04'!$M$1:$U$34</definedName>
    <definedName name="_xlnm.Print_Area" localSheetId="7">'資料類風險材1-1-DA-05'!$M$1:$U$34</definedName>
    <definedName name="_xlnm.Print_Titles" localSheetId="3">'資料類風險材1-1-DA-01'!$2:$10</definedName>
    <definedName name="_xlnm.Print_Titles" localSheetId="4">'資料類風險材1-1-DA-02'!$2:$10</definedName>
    <definedName name="_xlnm.Print_Titles" localSheetId="5">'資料類風險材1-1-DA-03'!$2:$10</definedName>
    <definedName name="_xlnm.Print_Titles" localSheetId="6">'資料類風險材1-1-DA-04'!$2:$10</definedName>
    <definedName name="_xlnm.Print_Titles" localSheetId="7">'資料類風險材1-1-DA-05'!$2:$10</definedName>
    <definedName name="SW_List">[2]軟體資產群組清單!$A$11:$R$50</definedName>
    <definedName name="法律遵循" localSheetId="4">#REF!</definedName>
    <definedName name="法律遵循" localSheetId="5">#REF!</definedName>
    <definedName name="法律遵循" localSheetId="6">#REF!</definedName>
    <definedName name="法律遵循" localSheetId="7">#REF!</definedName>
    <definedName name="法律遵循">#REF!</definedName>
    <definedName name="業務運作" localSheetId="4">#REF!</definedName>
    <definedName name="業務運作" localSheetId="5">#REF!</definedName>
    <definedName name="業務運作" localSheetId="6">#REF!</definedName>
    <definedName name="業務運作" localSheetId="7">#REF!</definedName>
    <definedName name="業務運作">#REF!</definedName>
    <definedName name="業務類別" localSheetId="4">#REF!</definedName>
    <definedName name="業務類別" localSheetId="5">#REF!</definedName>
    <definedName name="業務類別" localSheetId="6">#REF!</definedName>
    <definedName name="業務類別" localSheetId="7">#REF!</definedName>
    <definedName name="業務類別">#REF!</definedName>
    <definedName name="業務類別名" localSheetId="4">#REF!</definedName>
    <definedName name="業務類別名" localSheetId="5">#REF!</definedName>
    <definedName name="業務類別名" localSheetId="6">#REF!</definedName>
    <definedName name="業務類別名" localSheetId="7">#REF!</definedName>
    <definedName name="業務類別名">#REF!</definedName>
    <definedName name="資產保護" localSheetId="4">#REF!</definedName>
    <definedName name="資產保護" localSheetId="5">#REF!</definedName>
    <definedName name="資產保護" localSheetId="6">#REF!</definedName>
    <definedName name="資產保護" localSheetId="7">#REF!</definedName>
    <definedName name="資產保護">#REF!</definedName>
    <definedName name="資產類別" localSheetId="4">#REF!</definedName>
    <definedName name="資產類別" localSheetId="5">#REF!</definedName>
    <definedName name="資產類別" localSheetId="6">#REF!</definedName>
    <definedName name="資產類別" localSheetId="7">#REF!</definedName>
    <definedName name="資產類別">#REF!</definedName>
    <definedName name="資產類別名" localSheetId="4">#REF!</definedName>
    <definedName name="資產類別名" localSheetId="5">#REF!</definedName>
    <definedName name="資產類別名" localSheetId="6">#REF!</definedName>
    <definedName name="資產類別名" localSheetId="7">#REF!</definedName>
    <definedName name="資產類別名">#REF!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Y34" i="13" l="1"/>
  <c r="J34" i="13"/>
  <c r="I34" i="13"/>
  <c r="H34" i="13"/>
  <c r="G34" i="13"/>
  <c r="F34" i="13"/>
  <c r="E34" i="13"/>
  <c r="D34" i="13"/>
  <c r="C34" i="13"/>
  <c r="B34" i="13"/>
  <c r="A34" i="13"/>
  <c r="Y33" i="13"/>
  <c r="Y32" i="13"/>
  <c r="Y31" i="13"/>
  <c r="Y30" i="13"/>
  <c r="Y29" i="13"/>
  <c r="Y28" i="13"/>
  <c r="J28" i="13"/>
  <c r="I28" i="13"/>
  <c r="H28" i="13"/>
  <c r="G28" i="13"/>
  <c r="F28" i="13"/>
  <c r="E28" i="13"/>
  <c r="D28" i="13"/>
  <c r="C28" i="13"/>
  <c r="B28" i="13"/>
  <c r="A28" i="13"/>
  <c r="Y27" i="13"/>
  <c r="J27" i="13"/>
  <c r="I27" i="13"/>
  <c r="H27" i="13"/>
  <c r="G27" i="13"/>
  <c r="F27" i="13"/>
  <c r="E27" i="13"/>
  <c r="D27" i="13"/>
  <c r="C27" i="13"/>
  <c r="B27" i="13"/>
  <c r="A27" i="13"/>
  <c r="J26" i="13"/>
  <c r="I26" i="13"/>
  <c r="H26" i="13"/>
  <c r="G26" i="13"/>
  <c r="F26" i="13"/>
  <c r="E26" i="13"/>
  <c r="D26" i="13"/>
  <c r="C26" i="13"/>
  <c r="B26" i="13"/>
  <c r="A26" i="13"/>
  <c r="J25" i="13"/>
  <c r="I25" i="13"/>
  <c r="H25" i="13"/>
  <c r="G25" i="13"/>
  <c r="F25" i="13"/>
  <c r="E25" i="13"/>
  <c r="D25" i="13"/>
  <c r="C25" i="13"/>
  <c r="B25" i="13"/>
  <c r="A25" i="13"/>
  <c r="J24" i="13"/>
  <c r="I24" i="13"/>
  <c r="H24" i="13"/>
  <c r="G24" i="13"/>
  <c r="F24" i="13"/>
  <c r="E24" i="13"/>
  <c r="D24" i="13"/>
  <c r="C24" i="13"/>
  <c r="B24" i="13"/>
  <c r="A24" i="13"/>
  <c r="J23" i="13"/>
  <c r="I23" i="13"/>
  <c r="H23" i="13"/>
  <c r="G23" i="13"/>
  <c r="F23" i="13"/>
  <c r="E23" i="13"/>
  <c r="D23" i="13"/>
  <c r="C23" i="13"/>
  <c r="B23" i="13"/>
  <c r="A23" i="13"/>
  <c r="J22" i="13"/>
  <c r="I22" i="13"/>
  <c r="H22" i="13"/>
  <c r="G22" i="13"/>
  <c r="F22" i="13"/>
  <c r="E22" i="13"/>
  <c r="D22" i="13"/>
  <c r="C22" i="13"/>
  <c r="B22" i="13"/>
  <c r="A22" i="13"/>
  <c r="J21" i="13"/>
  <c r="I21" i="13"/>
  <c r="H21" i="13"/>
  <c r="G21" i="13"/>
  <c r="F21" i="13"/>
  <c r="E21" i="13"/>
  <c r="D21" i="13"/>
  <c r="C21" i="13"/>
  <c r="B21" i="13"/>
  <c r="A21" i="13"/>
  <c r="J20" i="13"/>
  <c r="I20" i="13"/>
  <c r="H20" i="13"/>
  <c r="G20" i="13"/>
  <c r="F20" i="13"/>
  <c r="E20" i="13"/>
  <c r="D20" i="13"/>
  <c r="C20" i="13"/>
  <c r="B20" i="13"/>
  <c r="A20" i="13"/>
  <c r="J19" i="13"/>
  <c r="I19" i="13"/>
  <c r="H19" i="13"/>
  <c r="G19" i="13"/>
  <c r="F19" i="13"/>
  <c r="E19" i="13"/>
  <c r="D19" i="13"/>
  <c r="C19" i="13"/>
  <c r="B19" i="13"/>
  <c r="A19" i="13"/>
  <c r="J18" i="13"/>
  <c r="I18" i="13"/>
  <c r="H18" i="13"/>
  <c r="G18" i="13"/>
  <c r="F18" i="13"/>
  <c r="E18" i="13"/>
  <c r="D18" i="13"/>
  <c r="C18" i="13"/>
  <c r="B18" i="13"/>
  <c r="A18" i="13"/>
  <c r="J17" i="13"/>
  <c r="I17" i="13"/>
  <c r="H17" i="13"/>
  <c r="G17" i="13"/>
  <c r="F17" i="13"/>
  <c r="E17" i="13"/>
  <c r="D17" i="13"/>
  <c r="C17" i="13"/>
  <c r="B17" i="13"/>
  <c r="A17" i="13"/>
  <c r="Y15" i="13"/>
  <c r="J15" i="13"/>
  <c r="I15" i="13"/>
  <c r="H15" i="13"/>
  <c r="G15" i="13"/>
  <c r="F15" i="13"/>
  <c r="E15" i="13"/>
  <c r="D15" i="13"/>
  <c r="C15" i="13"/>
  <c r="B15" i="13"/>
  <c r="A15" i="13"/>
  <c r="Y14" i="13"/>
  <c r="J14" i="13"/>
  <c r="I14" i="13"/>
  <c r="H14" i="13"/>
  <c r="G14" i="13"/>
  <c r="F14" i="13"/>
  <c r="E14" i="13"/>
  <c r="D14" i="13"/>
  <c r="C14" i="13"/>
  <c r="B14" i="13"/>
  <c r="A14" i="13"/>
  <c r="J13" i="13"/>
  <c r="I13" i="13"/>
  <c r="H13" i="13"/>
  <c r="G13" i="13"/>
  <c r="F13" i="13"/>
  <c r="E13" i="13"/>
  <c r="D13" i="13"/>
  <c r="C13" i="13"/>
  <c r="B13" i="13"/>
  <c r="A13" i="13"/>
  <c r="J12" i="13"/>
  <c r="I12" i="13"/>
  <c r="H12" i="13"/>
  <c r="G12" i="13"/>
  <c r="F12" i="13"/>
  <c r="E12" i="13"/>
  <c r="D12" i="13"/>
  <c r="C12" i="13"/>
  <c r="B12" i="13"/>
  <c r="A12" i="13"/>
  <c r="J11" i="13"/>
  <c r="I11" i="13"/>
  <c r="H11" i="13"/>
  <c r="G11" i="13"/>
  <c r="F11" i="13"/>
  <c r="E11" i="13"/>
  <c r="D11" i="13"/>
  <c r="C11" i="13"/>
  <c r="B11" i="13"/>
  <c r="A11" i="13"/>
  <c r="S6" i="13"/>
  <c r="S5" i="13"/>
  <c r="N5" i="13"/>
  <c r="S4" i="13"/>
  <c r="N4" i="13"/>
  <c r="S3" i="13"/>
  <c r="N2" i="13"/>
  <c r="M1" i="13"/>
  <c r="Y34" i="12"/>
  <c r="J34" i="12"/>
  <c r="I34" i="12"/>
  <c r="H34" i="12"/>
  <c r="G34" i="12"/>
  <c r="F34" i="12"/>
  <c r="E34" i="12"/>
  <c r="D34" i="12"/>
  <c r="C34" i="12"/>
  <c r="B34" i="12"/>
  <c r="A34" i="12"/>
  <c r="Y33" i="12"/>
  <c r="Y32" i="12"/>
  <c r="Y31" i="12"/>
  <c r="Y30" i="12"/>
  <c r="Y29" i="12"/>
  <c r="Y28" i="12"/>
  <c r="J28" i="12"/>
  <c r="I28" i="12"/>
  <c r="H28" i="12"/>
  <c r="G28" i="12"/>
  <c r="F28" i="12"/>
  <c r="E28" i="12"/>
  <c r="D28" i="12"/>
  <c r="C28" i="12"/>
  <c r="B28" i="12"/>
  <c r="A28" i="12"/>
  <c r="Y27" i="12"/>
  <c r="J27" i="12"/>
  <c r="I27" i="12"/>
  <c r="H27" i="12"/>
  <c r="G27" i="12"/>
  <c r="F27" i="12"/>
  <c r="E27" i="12"/>
  <c r="D27" i="12"/>
  <c r="C27" i="12"/>
  <c r="B27" i="12"/>
  <c r="A27" i="12"/>
  <c r="J26" i="12"/>
  <c r="I26" i="12"/>
  <c r="H26" i="12"/>
  <c r="G26" i="12"/>
  <c r="F26" i="12"/>
  <c r="E26" i="12"/>
  <c r="D26" i="12"/>
  <c r="C26" i="12"/>
  <c r="B26" i="12"/>
  <c r="A26" i="12"/>
  <c r="J25" i="12"/>
  <c r="I25" i="12"/>
  <c r="H25" i="12"/>
  <c r="G25" i="12"/>
  <c r="F25" i="12"/>
  <c r="E25" i="12"/>
  <c r="D25" i="12"/>
  <c r="C25" i="12"/>
  <c r="B25" i="12"/>
  <c r="A25" i="12"/>
  <c r="J24" i="12"/>
  <c r="I24" i="12"/>
  <c r="H24" i="12"/>
  <c r="G24" i="12"/>
  <c r="F24" i="12"/>
  <c r="E24" i="12"/>
  <c r="D24" i="12"/>
  <c r="C24" i="12"/>
  <c r="B24" i="12"/>
  <c r="A24" i="12"/>
  <c r="J23" i="12"/>
  <c r="I23" i="12"/>
  <c r="H23" i="12"/>
  <c r="G23" i="12"/>
  <c r="F23" i="12"/>
  <c r="E23" i="12"/>
  <c r="D23" i="12"/>
  <c r="C23" i="12"/>
  <c r="B23" i="12"/>
  <c r="A23" i="12"/>
  <c r="J22" i="12"/>
  <c r="I22" i="12"/>
  <c r="H22" i="12"/>
  <c r="G22" i="12"/>
  <c r="F22" i="12"/>
  <c r="E22" i="12"/>
  <c r="D22" i="12"/>
  <c r="C22" i="12"/>
  <c r="B22" i="12"/>
  <c r="A22" i="12"/>
  <c r="J21" i="12"/>
  <c r="I21" i="12"/>
  <c r="H21" i="12"/>
  <c r="G21" i="12"/>
  <c r="F21" i="12"/>
  <c r="E21" i="12"/>
  <c r="D21" i="12"/>
  <c r="C21" i="12"/>
  <c r="B21" i="12"/>
  <c r="A21" i="12"/>
  <c r="J20" i="12"/>
  <c r="I20" i="12"/>
  <c r="H20" i="12"/>
  <c r="G20" i="12"/>
  <c r="F20" i="12"/>
  <c r="E20" i="12"/>
  <c r="D20" i="12"/>
  <c r="C20" i="12"/>
  <c r="B20" i="12"/>
  <c r="A20" i="12"/>
  <c r="J19" i="12"/>
  <c r="I19" i="12"/>
  <c r="H19" i="12"/>
  <c r="G19" i="12"/>
  <c r="F19" i="12"/>
  <c r="E19" i="12"/>
  <c r="D19" i="12"/>
  <c r="C19" i="12"/>
  <c r="B19" i="12"/>
  <c r="A19" i="12"/>
  <c r="J18" i="12"/>
  <c r="I18" i="12"/>
  <c r="H18" i="12"/>
  <c r="G18" i="12"/>
  <c r="F18" i="12"/>
  <c r="E18" i="12"/>
  <c r="D18" i="12"/>
  <c r="C18" i="12"/>
  <c r="B18" i="12"/>
  <c r="A18" i="12"/>
  <c r="J17" i="12"/>
  <c r="I17" i="12"/>
  <c r="H17" i="12"/>
  <c r="G17" i="12"/>
  <c r="F17" i="12"/>
  <c r="E17" i="12"/>
  <c r="D17" i="12"/>
  <c r="C17" i="12"/>
  <c r="B17" i="12"/>
  <c r="A17" i="12"/>
  <c r="Y15" i="12"/>
  <c r="J15" i="12"/>
  <c r="I15" i="12"/>
  <c r="H15" i="12"/>
  <c r="G15" i="12"/>
  <c r="F15" i="12"/>
  <c r="E15" i="12"/>
  <c r="D15" i="12"/>
  <c r="C15" i="12"/>
  <c r="B15" i="12"/>
  <c r="A15" i="12"/>
  <c r="Y14" i="12"/>
  <c r="J14" i="12"/>
  <c r="I14" i="12"/>
  <c r="H14" i="12"/>
  <c r="G14" i="12"/>
  <c r="F14" i="12"/>
  <c r="E14" i="12"/>
  <c r="D14" i="12"/>
  <c r="C14" i="12"/>
  <c r="B14" i="12"/>
  <c r="A14" i="12"/>
  <c r="J13" i="12"/>
  <c r="I13" i="12"/>
  <c r="H13" i="12"/>
  <c r="G13" i="12"/>
  <c r="F13" i="12"/>
  <c r="E13" i="12"/>
  <c r="D13" i="12"/>
  <c r="C13" i="12"/>
  <c r="B13" i="12"/>
  <c r="A13" i="12"/>
  <c r="J12" i="12"/>
  <c r="I12" i="12"/>
  <c r="H12" i="12"/>
  <c r="G12" i="12"/>
  <c r="F12" i="12"/>
  <c r="E12" i="12"/>
  <c r="D12" i="12"/>
  <c r="C12" i="12"/>
  <c r="B12" i="12"/>
  <c r="A12" i="12"/>
  <c r="J11" i="12"/>
  <c r="I11" i="12"/>
  <c r="H11" i="12"/>
  <c r="G11" i="12"/>
  <c r="F11" i="12"/>
  <c r="E11" i="12"/>
  <c r="D11" i="12"/>
  <c r="C11" i="12"/>
  <c r="B11" i="12"/>
  <c r="A11" i="12"/>
  <c r="S6" i="12"/>
  <c r="S5" i="12"/>
  <c r="N5" i="12"/>
  <c r="S4" i="12"/>
  <c r="N4" i="12"/>
  <c r="S3" i="12"/>
  <c r="N2" i="12"/>
  <c r="M1" i="12"/>
  <c r="Y34" i="11"/>
  <c r="J34" i="11"/>
  <c r="I34" i="11"/>
  <c r="H34" i="11"/>
  <c r="G34" i="11"/>
  <c r="F34" i="11"/>
  <c r="E34" i="11"/>
  <c r="D34" i="11"/>
  <c r="C34" i="11"/>
  <c r="B34" i="11"/>
  <c r="A34" i="11"/>
  <c r="Y33" i="11"/>
  <c r="Y32" i="11"/>
  <c r="Y31" i="11"/>
  <c r="Y30" i="11"/>
  <c r="Y29" i="11"/>
  <c r="Y28" i="11"/>
  <c r="J28" i="11"/>
  <c r="I28" i="11"/>
  <c r="H28" i="11"/>
  <c r="G28" i="11"/>
  <c r="F28" i="11"/>
  <c r="E28" i="11"/>
  <c r="D28" i="11"/>
  <c r="C28" i="11"/>
  <c r="B28" i="11"/>
  <c r="A28" i="11"/>
  <c r="Y27" i="11"/>
  <c r="J27" i="11"/>
  <c r="I27" i="11"/>
  <c r="H27" i="11"/>
  <c r="G27" i="11"/>
  <c r="F27" i="11"/>
  <c r="E27" i="11"/>
  <c r="D27" i="11"/>
  <c r="C27" i="11"/>
  <c r="B27" i="11"/>
  <c r="A27" i="11"/>
  <c r="J26" i="11"/>
  <c r="I26" i="11"/>
  <c r="H26" i="11"/>
  <c r="G26" i="11"/>
  <c r="F26" i="11"/>
  <c r="E26" i="11"/>
  <c r="D26" i="11"/>
  <c r="C26" i="11"/>
  <c r="B26" i="11"/>
  <c r="A26" i="11"/>
  <c r="J25" i="11"/>
  <c r="I25" i="11"/>
  <c r="H25" i="11"/>
  <c r="G25" i="11"/>
  <c r="F25" i="11"/>
  <c r="E25" i="11"/>
  <c r="D25" i="11"/>
  <c r="C25" i="11"/>
  <c r="B25" i="11"/>
  <c r="A25" i="11"/>
  <c r="J24" i="11"/>
  <c r="I24" i="11"/>
  <c r="H24" i="11"/>
  <c r="G24" i="11"/>
  <c r="F24" i="11"/>
  <c r="E24" i="11"/>
  <c r="D24" i="11"/>
  <c r="C24" i="11"/>
  <c r="B24" i="11"/>
  <c r="A24" i="11"/>
  <c r="J23" i="11"/>
  <c r="I23" i="11"/>
  <c r="H23" i="11"/>
  <c r="G23" i="11"/>
  <c r="F23" i="11"/>
  <c r="E23" i="11"/>
  <c r="D23" i="11"/>
  <c r="C23" i="11"/>
  <c r="B23" i="11"/>
  <c r="A23" i="11"/>
  <c r="J22" i="11"/>
  <c r="I22" i="11"/>
  <c r="H22" i="11"/>
  <c r="G22" i="11"/>
  <c r="F22" i="11"/>
  <c r="E22" i="11"/>
  <c r="D22" i="11"/>
  <c r="C22" i="11"/>
  <c r="B22" i="11"/>
  <c r="A22" i="11"/>
  <c r="J21" i="11"/>
  <c r="I21" i="11"/>
  <c r="H21" i="11"/>
  <c r="G21" i="11"/>
  <c r="F21" i="11"/>
  <c r="E21" i="11"/>
  <c r="D21" i="11"/>
  <c r="C21" i="11"/>
  <c r="B21" i="11"/>
  <c r="A21" i="11"/>
  <c r="J20" i="11"/>
  <c r="I20" i="11"/>
  <c r="H20" i="11"/>
  <c r="G20" i="11"/>
  <c r="F20" i="11"/>
  <c r="E20" i="11"/>
  <c r="D20" i="11"/>
  <c r="C20" i="11"/>
  <c r="B20" i="11"/>
  <c r="A20" i="11"/>
  <c r="J19" i="11"/>
  <c r="I19" i="11"/>
  <c r="H19" i="11"/>
  <c r="G19" i="11"/>
  <c r="F19" i="11"/>
  <c r="E19" i="11"/>
  <c r="D19" i="11"/>
  <c r="C19" i="11"/>
  <c r="B19" i="11"/>
  <c r="A19" i="11"/>
  <c r="J18" i="11"/>
  <c r="I18" i="11"/>
  <c r="H18" i="11"/>
  <c r="G18" i="11"/>
  <c r="F18" i="11"/>
  <c r="E18" i="11"/>
  <c r="D18" i="11"/>
  <c r="C18" i="11"/>
  <c r="B18" i="11"/>
  <c r="A18" i="11"/>
  <c r="J17" i="11"/>
  <c r="I17" i="11"/>
  <c r="H17" i="11"/>
  <c r="G17" i="11"/>
  <c r="F17" i="11"/>
  <c r="E17" i="11"/>
  <c r="D17" i="11"/>
  <c r="C17" i="11"/>
  <c r="B17" i="11"/>
  <c r="A17" i="11"/>
  <c r="Y15" i="11"/>
  <c r="J15" i="11"/>
  <c r="I15" i="11"/>
  <c r="H15" i="11"/>
  <c r="G15" i="11"/>
  <c r="F15" i="11"/>
  <c r="E15" i="11"/>
  <c r="D15" i="11"/>
  <c r="C15" i="11"/>
  <c r="B15" i="11"/>
  <c r="A15" i="11"/>
  <c r="Y14" i="11"/>
  <c r="J14" i="11"/>
  <c r="I14" i="11"/>
  <c r="H14" i="11"/>
  <c r="G14" i="11"/>
  <c r="F14" i="11"/>
  <c r="E14" i="11"/>
  <c r="D14" i="11"/>
  <c r="C14" i="11"/>
  <c r="B14" i="11"/>
  <c r="A14" i="11"/>
  <c r="J13" i="11"/>
  <c r="I13" i="11"/>
  <c r="H13" i="11"/>
  <c r="G13" i="11"/>
  <c r="F13" i="11"/>
  <c r="E13" i="11"/>
  <c r="D13" i="11"/>
  <c r="C13" i="11"/>
  <c r="B13" i="11"/>
  <c r="A13" i="11"/>
  <c r="J12" i="11"/>
  <c r="I12" i="11"/>
  <c r="H12" i="11"/>
  <c r="G12" i="11"/>
  <c r="F12" i="11"/>
  <c r="E12" i="11"/>
  <c r="D12" i="11"/>
  <c r="C12" i="11"/>
  <c r="B12" i="11"/>
  <c r="A12" i="11"/>
  <c r="J11" i="11"/>
  <c r="I11" i="11"/>
  <c r="H11" i="11"/>
  <c r="G11" i="11"/>
  <c r="F11" i="11"/>
  <c r="E11" i="11"/>
  <c r="D11" i="11"/>
  <c r="C11" i="11"/>
  <c r="B11" i="11"/>
  <c r="A11" i="11"/>
  <c r="S6" i="11"/>
  <c r="S5" i="11"/>
  <c r="N5" i="11"/>
  <c r="S4" i="11"/>
  <c r="N4" i="11"/>
  <c r="S3" i="11"/>
  <c r="N2" i="11"/>
  <c r="M1" i="11"/>
  <c r="Y34" i="10"/>
  <c r="J34" i="10"/>
  <c r="I34" i="10"/>
  <c r="H34" i="10"/>
  <c r="G34" i="10"/>
  <c r="F34" i="10"/>
  <c r="E34" i="10"/>
  <c r="D34" i="10"/>
  <c r="C34" i="10"/>
  <c r="B34" i="10"/>
  <c r="A34" i="10"/>
  <c r="Y28" i="10"/>
  <c r="J28" i="10"/>
  <c r="I28" i="10"/>
  <c r="H28" i="10"/>
  <c r="G28" i="10"/>
  <c r="F28" i="10"/>
  <c r="E28" i="10"/>
  <c r="D28" i="10"/>
  <c r="C28" i="10"/>
  <c r="B28" i="10"/>
  <c r="A28" i="10"/>
  <c r="Y27" i="10"/>
  <c r="J27" i="10"/>
  <c r="I27" i="10"/>
  <c r="H27" i="10"/>
  <c r="G27" i="10"/>
  <c r="F27" i="10"/>
  <c r="E27" i="10"/>
  <c r="D27" i="10"/>
  <c r="C27" i="10"/>
  <c r="B27" i="10"/>
  <c r="A27" i="10"/>
  <c r="J26" i="10"/>
  <c r="I26" i="10"/>
  <c r="H26" i="10"/>
  <c r="G26" i="10"/>
  <c r="F26" i="10"/>
  <c r="E26" i="10"/>
  <c r="D26" i="10"/>
  <c r="C26" i="10"/>
  <c r="B26" i="10"/>
  <c r="A26" i="10"/>
  <c r="J25" i="10"/>
  <c r="I25" i="10"/>
  <c r="H25" i="10"/>
  <c r="G25" i="10"/>
  <c r="F25" i="10"/>
  <c r="E25" i="10"/>
  <c r="D25" i="10"/>
  <c r="C25" i="10"/>
  <c r="B25" i="10"/>
  <c r="A25" i="10"/>
  <c r="J24" i="10"/>
  <c r="I24" i="10"/>
  <c r="H24" i="10"/>
  <c r="G24" i="10"/>
  <c r="F24" i="10"/>
  <c r="E24" i="10"/>
  <c r="D24" i="10"/>
  <c r="C24" i="10"/>
  <c r="B24" i="10"/>
  <c r="A24" i="10"/>
  <c r="J23" i="10"/>
  <c r="I23" i="10"/>
  <c r="H23" i="10"/>
  <c r="G23" i="10"/>
  <c r="F23" i="10"/>
  <c r="E23" i="10"/>
  <c r="D23" i="10"/>
  <c r="C23" i="10"/>
  <c r="B23" i="10"/>
  <c r="A23" i="10"/>
  <c r="J22" i="10"/>
  <c r="I22" i="10"/>
  <c r="H22" i="10"/>
  <c r="G22" i="10"/>
  <c r="F22" i="10"/>
  <c r="E22" i="10"/>
  <c r="D22" i="10"/>
  <c r="C22" i="10"/>
  <c r="B22" i="10"/>
  <c r="A22" i="10"/>
  <c r="J21" i="10"/>
  <c r="I21" i="10"/>
  <c r="H21" i="10"/>
  <c r="G21" i="10"/>
  <c r="F21" i="10"/>
  <c r="E21" i="10"/>
  <c r="D21" i="10"/>
  <c r="C21" i="10"/>
  <c r="B21" i="10"/>
  <c r="A21" i="10"/>
  <c r="J20" i="10"/>
  <c r="I20" i="10"/>
  <c r="H20" i="10"/>
  <c r="G20" i="10"/>
  <c r="F20" i="10"/>
  <c r="E20" i="10"/>
  <c r="D20" i="10"/>
  <c r="C20" i="10"/>
  <c r="B20" i="10"/>
  <c r="A20" i="10"/>
  <c r="J19" i="10"/>
  <c r="I19" i="10"/>
  <c r="H19" i="10"/>
  <c r="G19" i="10"/>
  <c r="F19" i="10"/>
  <c r="E19" i="10"/>
  <c r="D19" i="10"/>
  <c r="C19" i="10"/>
  <c r="B19" i="10"/>
  <c r="A19" i="10"/>
  <c r="J18" i="10"/>
  <c r="I18" i="10"/>
  <c r="H18" i="10"/>
  <c r="G18" i="10"/>
  <c r="F18" i="10"/>
  <c r="E18" i="10"/>
  <c r="D18" i="10"/>
  <c r="C18" i="10"/>
  <c r="B18" i="10"/>
  <c r="A18" i="10"/>
  <c r="J17" i="10"/>
  <c r="I17" i="10"/>
  <c r="H17" i="10"/>
  <c r="G17" i="10"/>
  <c r="F17" i="10"/>
  <c r="E17" i="10"/>
  <c r="D17" i="10"/>
  <c r="C17" i="10"/>
  <c r="B17" i="10"/>
  <c r="A17" i="10"/>
  <c r="J15" i="10"/>
  <c r="I15" i="10"/>
  <c r="H15" i="10"/>
  <c r="G15" i="10"/>
  <c r="F15" i="10"/>
  <c r="E15" i="10"/>
  <c r="D15" i="10"/>
  <c r="C15" i="10"/>
  <c r="B15" i="10"/>
  <c r="A15" i="10"/>
  <c r="J14" i="10"/>
  <c r="I14" i="10"/>
  <c r="H14" i="10"/>
  <c r="G14" i="10"/>
  <c r="F14" i="10"/>
  <c r="E14" i="10"/>
  <c r="D14" i="10"/>
  <c r="C14" i="10"/>
  <c r="B14" i="10"/>
  <c r="A14" i="10"/>
  <c r="J13" i="10"/>
  <c r="I13" i="10"/>
  <c r="H13" i="10"/>
  <c r="G13" i="10"/>
  <c r="F13" i="10"/>
  <c r="E13" i="10"/>
  <c r="D13" i="10"/>
  <c r="C13" i="10"/>
  <c r="B13" i="10"/>
  <c r="A13" i="10"/>
  <c r="J12" i="10"/>
  <c r="I12" i="10"/>
  <c r="H12" i="10"/>
  <c r="G12" i="10"/>
  <c r="F12" i="10"/>
  <c r="E12" i="10"/>
  <c r="D12" i="10"/>
  <c r="C12" i="10"/>
  <c r="B12" i="10"/>
  <c r="A12" i="10"/>
  <c r="J11" i="10"/>
  <c r="I11" i="10"/>
  <c r="H11" i="10"/>
  <c r="G11" i="10"/>
  <c r="F11" i="10"/>
  <c r="E11" i="10"/>
  <c r="D11" i="10"/>
  <c r="C11" i="10"/>
  <c r="B11" i="10"/>
  <c r="A11" i="10"/>
  <c r="S6" i="10"/>
  <c r="S5" i="10"/>
  <c r="N5" i="10"/>
  <c r="S4" i="10"/>
  <c r="N4" i="10"/>
  <c r="S3" i="10"/>
  <c r="N2" i="10"/>
  <c r="M1" i="10"/>
  <c r="P14" i="2"/>
  <c r="K24" i="13" s="1"/>
  <c r="P13" i="2"/>
  <c r="K25" i="12" s="1"/>
  <c r="P12" i="2"/>
  <c r="K28" i="11" s="1"/>
  <c r="P11" i="2"/>
  <c r="K24" i="10" s="1"/>
  <c r="P10" i="2"/>
  <c r="K12" i="10" l="1"/>
  <c r="K11" i="10"/>
  <c r="K27" i="10"/>
  <c r="K13" i="11"/>
  <c r="K27" i="11"/>
  <c r="K20" i="13"/>
  <c r="K21" i="11"/>
  <c r="K22" i="10"/>
  <c r="K22" i="11"/>
  <c r="K34" i="11"/>
  <c r="K15" i="11"/>
  <c r="K25" i="13"/>
  <c r="K11" i="11"/>
  <c r="K26" i="11"/>
  <c r="K14" i="10"/>
  <c r="K12" i="12"/>
  <c r="K11" i="13"/>
  <c r="K22" i="13"/>
  <c r="K27" i="13"/>
  <c r="K20" i="12"/>
  <c r="K17" i="10"/>
  <c r="K20" i="10"/>
  <c r="K25" i="10"/>
  <c r="S2" i="11"/>
  <c r="Y13" i="11" s="1"/>
  <c r="K19" i="11"/>
  <c r="K24" i="11"/>
  <c r="K18" i="12"/>
  <c r="K23" i="12"/>
  <c r="K28" i="12"/>
  <c r="K14" i="13"/>
  <c r="K17" i="13"/>
  <c r="K18" i="10"/>
  <c r="K23" i="10"/>
  <c r="K28" i="10"/>
  <c r="K14" i="11"/>
  <c r="K17" i="11"/>
  <c r="K13" i="12"/>
  <c r="K12" i="13"/>
  <c r="K15" i="12"/>
  <c r="K26" i="10"/>
  <c r="K34" i="10"/>
  <c r="K20" i="11"/>
  <c r="K25" i="11"/>
  <c r="S2" i="12"/>
  <c r="Y17" i="12" s="1"/>
  <c r="K19" i="12"/>
  <c r="K24" i="12"/>
  <c r="K18" i="13"/>
  <c r="K23" i="13"/>
  <c r="K28" i="13"/>
  <c r="K21" i="12"/>
  <c r="K26" i="12"/>
  <c r="K34" i="12"/>
  <c r="K13" i="10"/>
  <c r="K12" i="11"/>
  <c r="K11" i="12"/>
  <c r="K22" i="12"/>
  <c r="K27" i="12"/>
  <c r="K15" i="13"/>
  <c r="K21" i="13"/>
  <c r="K26" i="13"/>
  <c r="K34" i="13"/>
  <c r="K15" i="10"/>
  <c r="K21" i="10"/>
  <c r="S2" i="10"/>
  <c r="Y12" i="10" s="1"/>
  <c r="K19" i="10"/>
  <c r="K18" i="11"/>
  <c r="K23" i="11"/>
  <c r="K14" i="12"/>
  <c r="K17" i="12"/>
  <c r="K13" i="13"/>
  <c r="S2" i="13"/>
  <c r="Y25" i="13" s="1"/>
  <c r="K19" i="13"/>
  <c r="Y24" i="13"/>
  <c r="Y19" i="13"/>
  <c r="Y24" i="12"/>
  <c r="Y19" i="12"/>
  <c r="Y24" i="11"/>
  <c r="Y19" i="11"/>
  <c r="Y33" i="9"/>
  <c r="Y32" i="9"/>
  <c r="Y31" i="9"/>
  <c r="Y30" i="9"/>
  <c r="Y29" i="9"/>
  <c r="Y28" i="9"/>
  <c r="Y27" i="9"/>
  <c r="Y15" i="9"/>
  <c r="Y14" i="9"/>
  <c r="Y25" i="10" l="1"/>
  <c r="Y26" i="11"/>
  <c r="Y16" i="11"/>
  <c r="Y24" i="10"/>
  <c r="Y18" i="11"/>
  <c r="Y12" i="11"/>
  <c r="Y21" i="10"/>
  <c r="Y20" i="10"/>
  <c r="Y19" i="10"/>
  <c r="Y11" i="10"/>
  <c r="Y17" i="10"/>
  <c r="Y21" i="11"/>
  <c r="Y20" i="11"/>
  <c r="Y25" i="11"/>
  <c r="Y26" i="10"/>
  <c r="Y13" i="10"/>
  <c r="Y17" i="11"/>
  <c r="Y11" i="11"/>
  <c r="Y16" i="10"/>
  <c r="Y18" i="10"/>
  <c r="Y21" i="13"/>
  <c r="Y16" i="12"/>
  <c r="Y17" i="13"/>
  <c r="Y12" i="12"/>
  <c r="Y13" i="13"/>
  <c r="Y11" i="13"/>
  <c r="Y16" i="13"/>
  <c r="Y26" i="12"/>
  <c r="Y26" i="13"/>
  <c r="Y20" i="13"/>
  <c r="Y18" i="12"/>
  <c r="Y18" i="13"/>
  <c r="Y12" i="13"/>
  <c r="Y25" i="12"/>
  <c r="Y23" i="12"/>
  <c r="Y22" i="12"/>
  <c r="Y13" i="12"/>
  <c r="Y23" i="10"/>
  <c r="Y30" i="10"/>
  <c r="Y29" i="10"/>
  <c r="Y15" i="10"/>
  <c r="Y31" i="10"/>
  <c r="Y33" i="10"/>
  <c r="Y14" i="10"/>
  <c r="Y32" i="10"/>
  <c r="Y22" i="10"/>
  <c r="Y23" i="11"/>
  <c r="Y22" i="11"/>
  <c r="Y21" i="12"/>
  <c r="Y11" i="12"/>
  <c r="Y20" i="12"/>
  <c r="Y23" i="13"/>
  <c r="Y22" i="13"/>
  <c r="Y34" i="9"/>
  <c r="J34" i="9"/>
  <c r="I34" i="9"/>
  <c r="H34" i="9"/>
  <c r="G34" i="9"/>
  <c r="F34" i="9"/>
  <c r="E34" i="9"/>
  <c r="D34" i="9"/>
  <c r="C34" i="9"/>
  <c r="B34" i="9"/>
  <c r="A34" i="9"/>
  <c r="S2" i="9"/>
  <c r="Y22" i="9" s="1"/>
  <c r="J28" i="9"/>
  <c r="I28" i="9"/>
  <c r="H28" i="9"/>
  <c r="G28" i="9"/>
  <c r="F28" i="9"/>
  <c r="E28" i="9"/>
  <c r="D28" i="9"/>
  <c r="C28" i="9"/>
  <c r="B28" i="9"/>
  <c r="A28" i="9"/>
  <c r="J27" i="9"/>
  <c r="I27" i="9"/>
  <c r="H27" i="9"/>
  <c r="G27" i="9"/>
  <c r="F27" i="9"/>
  <c r="E27" i="9"/>
  <c r="D27" i="9"/>
  <c r="C27" i="9"/>
  <c r="B27" i="9"/>
  <c r="A27" i="9"/>
  <c r="J26" i="9"/>
  <c r="I26" i="9"/>
  <c r="H26" i="9"/>
  <c r="G26" i="9"/>
  <c r="F26" i="9"/>
  <c r="E26" i="9"/>
  <c r="D26" i="9"/>
  <c r="C26" i="9"/>
  <c r="B26" i="9"/>
  <c r="A26" i="9"/>
  <c r="J25" i="9"/>
  <c r="I25" i="9"/>
  <c r="H25" i="9"/>
  <c r="G25" i="9"/>
  <c r="F25" i="9"/>
  <c r="E25" i="9"/>
  <c r="D25" i="9"/>
  <c r="C25" i="9"/>
  <c r="B25" i="9"/>
  <c r="A25" i="9"/>
  <c r="J24" i="9"/>
  <c r="I24" i="9"/>
  <c r="H24" i="9"/>
  <c r="G24" i="9"/>
  <c r="F24" i="9"/>
  <c r="E24" i="9"/>
  <c r="D24" i="9"/>
  <c r="C24" i="9"/>
  <c r="B24" i="9"/>
  <c r="A24" i="9"/>
  <c r="J23" i="9"/>
  <c r="I23" i="9"/>
  <c r="H23" i="9"/>
  <c r="G23" i="9"/>
  <c r="F23" i="9"/>
  <c r="E23" i="9"/>
  <c r="D23" i="9"/>
  <c r="C23" i="9"/>
  <c r="B23" i="9"/>
  <c r="A23" i="9"/>
  <c r="J22" i="9"/>
  <c r="I22" i="9"/>
  <c r="H22" i="9"/>
  <c r="G22" i="9"/>
  <c r="F22" i="9"/>
  <c r="E22" i="9"/>
  <c r="D22" i="9"/>
  <c r="C22" i="9"/>
  <c r="B22" i="9"/>
  <c r="A22" i="9"/>
  <c r="J21" i="9"/>
  <c r="I21" i="9"/>
  <c r="H21" i="9"/>
  <c r="G21" i="9"/>
  <c r="F21" i="9"/>
  <c r="E21" i="9"/>
  <c r="D21" i="9"/>
  <c r="C21" i="9"/>
  <c r="B21" i="9"/>
  <c r="A21" i="9"/>
  <c r="J20" i="9"/>
  <c r="I20" i="9"/>
  <c r="H20" i="9"/>
  <c r="G20" i="9"/>
  <c r="F20" i="9"/>
  <c r="E20" i="9"/>
  <c r="D20" i="9"/>
  <c r="C20" i="9"/>
  <c r="B20" i="9"/>
  <c r="A20" i="9"/>
  <c r="J19" i="9"/>
  <c r="I19" i="9"/>
  <c r="H19" i="9"/>
  <c r="G19" i="9"/>
  <c r="F19" i="9"/>
  <c r="E19" i="9"/>
  <c r="D19" i="9"/>
  <c r="C19" i="9"/>
  <c r="B19" i="9"/>
  <c r="A19" i="9"/>
  <c r="J18" i="9"/>
  <c r="I18" i="9"/>
  <c r="H18" i="9"/>
  <c r="G18" i="9"/>
  <c r="F18" i="9"/>
  <c r="E18" i="9"/>
  <c r="D18" i="9"/>
  <c r="C18" i="9"/>
  <c r="B18" i="9"/>
  <c r="A18" i="9"/>
  <c r="J17" i="9"/>
  <c r="I17" i="9"/>
  <c r="H17" i="9"/>
  <c r="G17" i="9"/>
  <c r="F17" i="9"/>
  <c r="E17" i="9"/>
  <c r="D17" i="9"/>
  <c r="C17" i="9"/>
  <c r="B17" i="9"/>
  <c r="A17" i="9"/>
  <c r="J15" i="9"/>
  <c r="I15" i="9"/>
  <c r="H15" i="9"/>
  <c r="G15" i="9"/>
  <c r="F15" i="9"/>
  <c r="E15" i="9"/>
  <c r="D15" i="9"/>
  <c r="C15" i="9"/>
  <c r="B15" i="9"/>
  <c r="A15" i="9"/>
  <c r="J14" i="9"/>
  <c r="I14" i="9"/>
  <c r="H14" i="9"/>
  <c r="G14" i="9"/>
  <c r="F14" i="9"/>
  <c r="E14" i="9"/>
  <c r="D14" i="9"/>
  <c r="C14" i="9"/>
  <c r="B14" i="9"/>
  <c r="A14" i="9"/>
  <c r="J13" i="9"/>
  <c r="I13" i="9"/>
  <c r="H13" i="9"/>
  <c r="G13" i="9"/>
  <c r="F13" i="9"/>
  <c r="E13" i="9"/>
  <c r="D13" i="9"/>
  <c r="C13" i="9"/>
  <c r="B13" i="9"/>
  <c r="A13" i="9"/>
  <c r="J12" i="9"/>
  <c r="I12" i="9"/>
  <c r="H12" i="9"/>
  <c r="G12" i="9"/>
  <c r="F12" i="9"/>
  <c r="E12" i="9"/>
  <c r="D12" i="9"/>
  <c r="C12" i="9"/>
  <c r="B12" i="9"/>
  <c r="A12" i="9"/>
  <c r="J11" i="9"/>
  <c r="I11" i="9"/>
  <c r="H11" i="9"/>
  <c r="G11" i="9"/>
  <c r="F11" i="9"/>
  <c r="E11" i="9"/>
  <c r="D11" i="9"/>
  <c r="C11" i="9"/>
  <c r="B11" i="9"/>
  <c r="A11" i="9"/>
  <c r="A2" i="2"/>
  <c r="N4" i="9"/>
  <c r="N2" i="9"/>
  <c r="M1" i="9"/>
  <c r="N5" i="9"/>
  <c r="S3" i="9"/>
  <c r="A6" i="2"/>
  <c r="S6" i="9"/>
  <c r="S4" i="9"/>
  <c r="S5" i="9"/>
  <c r="A3" i="2"/>
  <c r="A4" i="2"/>
  <c r="A5" i="2"/>
  <c r="A1" i="2"/>
  <c r="A7" i="2"/>
  <c r="K34" i="9"/>
  <c r="K15" i="9"/>
  <c r="K14" i="9"/>
  <c r="K13" i="9"/>
  <c r="K11" i="9"/>
  <c r="K28" i="9"/>
  <c r="K27" i="9"/>
  <c r="K26" i="9"/>
  <c r="K25" i="9"/>
  <c r="K24" i="9"/>
  <c r="K23" i="9"/>
  <c r="K22" i="9"/>
  <c r="K21" i="9"/>
  <c r="K20" i="9"/>
  <c r="K19" i="9"/>
  <c r="K18" i="9"/>
  <c r="K17" i="9"/>
  <c r="K12" i="9"/>
  <c r="S7" i="13" l="1"/>
  <c r="L21" i="13" s="1"/>
  <c r="S7" i="11"/>
  <c r="L28" i="11" s="1"/>
  <c r="S7" i="12"/>
  <c r="L28" i="12" s="1"/>
  <c r="S7" i="10"/>
  <c r="L22" i="10" s="1"/>
  <c r="Y23" i="9"/>
  <c r="Y19" i="9"/>
  <c r="Y11" i="9"/>
  <c r="Y26" i="9"/>
  <c r="Y18" i="9"/>
  <c r="Y25" i="9"/>
  <c r="Y21" i="9"/>
  <c r="Y17" i="9"/>
  <c r="Y13" i="9"/>
  <c r="Y24" i="9"/>
  <c r="Y20" i="9"/>
  <c r="Y16" i="9"/>
  <c r="Y12" i="9"/>
  <c r="L25" i="11" l="1"/>
  <c r="L19" i="11"/>
  <c r="L18" i="11"/>
  <c r="L27" i="11"/>
  <c r="L22" i="11"/>
  <c r="L13" i="11"/>
  <c r="L26" i="11"/>
  <c r="L17" i="11"/>
  <c r="L14" i="11"/>
  <c r="L34" i="11"/>
  <c r="L11" i="11"/>
  <c r="L12" i="11"/>
  <c r="L23" i="11"/>
  <c r="L21" i="11"/>
  <c r="L15" i="11"/>
  <c r="L20" i="11"/>
  <c r="L24" i="11"/>
  <c r="L25" i="13"/>
  <c r="L20" i="12"/>
  <c r="L15" i="13"/>
  <c r="L20" i="13"/>
  <c r="L12" i="13"/>
  <c r="L17" i="13"/>
  <c r="L19" i="13"/>
  <c r="L24" i="13"/>
  <c r="L11" i="13"/>
  <c r="L14" i="13"/>
  <c r="L23" i="13"/>
  <c r="L28" i="13"/>
  <c r="L34" i="13"/>
  <c r="L18" i="13"/>
  <c r="L27" i="13"/>
  <c r="L22" i="13"/>
  <c r="L13" i="13"/>
  <c r="L26" i="13"/>
  <c r="L19" i="10"/>
  <c r="L24" i="10"/>
  <c r="L13" i="12"/>
  <c r="L21" i="10"/>
  <c r="L11" i="10"/>
  <c r="L23" i="10"/>
  <c r="L28" i="10"/>
  <c r="L23" i="12"/>
  <c r="L25" i="10"/>
  <c r="L25" i="12"/>
  <c r="L27" i="10"/>
  <c r="L20" i="10"/>
  <c r="L13" i="10"/>
  <c r="L18" i="10"/>
  <c r="L14" i="10"/>
  <c r="L27" i="12"/>
  <c r="L34" i="10"/>
  <c r="L12" i="10"/>
  <c r="L26" i="12"/>
  <c r="L26" i="10"/>
  <c r="L17" i="10"/>
  <c r="L11" i="12"/>
  <c r="L34" i="12"/>
  <c r="L21" i="12"/>
  <c r="L24" i="12"/>
  <c r="L22" i="12"/>
  <c r="L15" i="10"/>
  <c r="L19" i="12"/>
  <c r="L15" i="12"/>
  <c r="L17" i="12"/>
  <c r="L14" i="12"/>
  <c r="L18" i="12"/>
  <c r="L12" i="12"/>
  <c r="S7" i="9"/>
  <c r="L24" i="9" s="1"/>
  <c r="L19" i="9" l="1"/>
  <c r="L27" i="9"/>
  <c r="L15" i="9"/>
  <c r="L17" i="9"/>
  <c r="L22" i="9"/>
  <c r="L12" i="9"/>
  <c r="L34" i="9"/>
  <c r="L14" i="9"/>
  <c r="L20" i="9"/>
  <c r="L25" i="9"/>
  <c r="L23" i="9"/>
  <c r="L28" i="9"/>
  <c r="L11" i="9"/>
  <c r="L13" i="9"/>
  <c r="L18" i="9"/>
  <c r="L26" i="9"/>
  <c r="L2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Joyce Wu</author>
  </authors>
  <commentList>
    <comment ref="E10" authorId="0" shapeId="0" xr:uid="{0C921A18-84D9-41B7-9775-1EAE8113E8F4}">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M10" authorId="0" shapeId="0" xr:uid="{D1B8335D-DFC5-4C67-B545-331B2A99430B}">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E11" authorId="0" shapeId="0" xr:uid="{524E728F-EAE7-4442-AFCC-6BA651208382}">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M11" authorId="0" shapeId="0" xr:uid="{0C8B69B3-BFC2-4E19-8B0A-108B8283BC2C}">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E12" authorId="0" shapeId="0" xr:uid="{AD15D6F4-0010-432D-8A3F-B607588BDBBE}">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M12" authorId="0" shapeId="0" xr:uid="{76B21FE9-8943-46AD-B265-81B15DEA2713}">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E13" authorId="0" shapeId="0" xr:uid="{50AB983A-C8C1-4E10-927C-79CB2901A753}">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M13" authorId="0" shapeId="0" xr:uid="{295A1857-D9F7-4EF9-8747-FD4340BDA8E7}">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E14" authorId="0" shapeId="0" xr:uid="{8AE1B813-9D0D-4A14-AA7F-659DFF04AEA6}">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M14" authorId="0" shapeId="0" xr:uid="{21AD3F1A-AFE2-4C73-AA15-4CBFF67468E2}">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Joyce Wu</author>
  </authors>
  <commentList>
    <comment ref="V11" authorId="0" shapeId="0" xr:uid="{4A649423-739A-417B-B8E0-EA8B442B51C9}">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V12" authorId="0" shapeId="0" xr:uid="{358C2335-DB13-48FE-9080-73DD206F613E}">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V13" authorId="0" shapeId="0" xr:uid="{FEFE9F82-EEC4-4B34-99DA-26C1AA12CF5A}">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V18" authorId="0" shapeId="0" xr:uid="{B8FFE60E-1809-4351-884A-3E774307FB91}">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V21" authorId="0" shapeId="0" xr:uid="{B825597A-E957-4E85-9907-94CF2CF5745D}">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Joyce Wu</author>
  </authors>
  <commentList>
    <comment ref="V11" authorId="0" shapeId="0" xr:uid="{E4DAA426-3230-49F1-8C56-9F2FC970C0D2}">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V12" authorId="0" shapeId="0" xr:uid="{EAB898C8-938B-4208-B918-8AC5CB22A808}">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V13" authorId="0" shapeId="0" xr:uid="{7DC1C5D5-27AE-4B15-ABC6-A4D142F4053A}">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V18" authorId="0" shapeId="0" xr:uid="{BC5D22CF-6DFA-47A3-AE17-DBB7D103B7A3}">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V21" authorId="0" shapeId="0" xr:uid="{0487D3F3-BA6D-4F4D-A9C2-8DCF7A60BF3B}">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V22" authorId="0" shapeId="0" xr:uid="{5E6FB256-5B0F-4F8C-9589-4176A90C94EF}">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Joyce Wu</author>
  </authors>
  <commentList>
    <comment ref="V11" authorId="0" shapeId="0" xr:uid="{4DA1ED00-FCFD-47C7-A330-A7CD1B36CFA1}">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V12" authorId="0" shapeId="0" xr:uid="{149C35B4-1601-4FA5-A9CE-2B7AC598356B}">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V13" authorId="0" shapeId="0" xr:uid="{CA6F35EF-F9FD-43D5-BC79-F6F66CCF3B46}">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V18" authorId="0" shapeId="0" xr:uid="{01384A2B-3AEB-4C3F-A443-F52187D32BA5}">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V21" authorId="0" shapeId="0" xr:uid="{948AD2B1-1E94-4AAC-A9FA-A10573EB0C0C}">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V22" authorId="0" shapeId="0" xr:uid="{5E9C2A0A-875E-48FF-A8ED-7EC2B2D2CB9A}">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Joyce Wu</author>
  </authors>
  <commentList>
    <comment ref="V11" authorId="0" shapeId="0" xr:uid="{A10AABB9-E902-49E6-BFAD-4E21DF33C601}">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V12" authorId="0" shapeId="0" xr:uid="{5DE10878-0BC1-456F-BAED-765BF3BEFF13}">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V13" authorId="0" shapeId="0" xr:uid="{F15B4FDA-464E-4348-8683-EE7C6466FFD3}">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V18" authorId="0" shapeId="0" xr:uid="{A3A3C5CC-F30E-4942-9EB2-5F128CDA96D9}">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V21" authorId="0" shapeId="0" xr:uid="{EC7575A4-59FC-4A54-B6D6-3D0DC728BD42}">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V22" authorId="0" shapeId="0" xr:uid="{1C9E1679-5BFB-4BAF-B0BA-9C74BF4E40E7}">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List>
</comments>
</file>

<file path=xl/sharedStrings.xml><?xml version="1.0" encoding="utf-8"?>
<sst xmlns="http://schemas.openxmlformats.org/spreadsheetml/2006/main" count="911" uniqueCount="233">
  <si>
    <t>版本</t>
  </si>
  <si>
    <t>機密等級</t>
  </si>
  <si>
    <t>資產子類別</t>
    <phoneticPr fontId="4" type="noConversion"/>
  </si>
  <si>
    <t>數量</t>
    <phoneticPr fontId="4" type="noConversion"/>
  </si>
  <si>
    <t>弱點</t>
  </si>
  <si>
    <t>資產類別編號：</t>
  </si>
  <si>
    <t>評鑑人員：</t>
  </si>
  <si>
    <t>評鑑日期：</t>
  </si>
  <si>
    <t>評鑑人主管：</t>
  </si>
  <si>
    <t>類別：</t>
    <phoneticPr fontId="4" type="noConversion"/>
  </si>
  <si>
    <t>資產(群組)名稱：</t>
    <phoneticPr fontId="4" type="noConversion"/>
  </si>
  <si>
    <t>資訊資產價值：</t>
    <phoneticPr fontId="4" type="noConversion"/>
  </si>
  <si>
    <t>最大綜合風險：</t>
    <phoneticPr fontId="4" type="noConversion"/>
  </si>
  <si>
    <t>資產類別編號</t>
    <phoneticPr fontId="4" type="noConversion"/>
  </si>
  <si>
    <t>資產子類別</t>
    <phoneticPr fontId="4" type="noConversion"/>
  </si>
  <si>
    <t>資產名稱</t>
    <phoneticPr fontId="4" type="noConversion"/>
  </si>
  <si>
    <t>資產說明</t>
    <phoneticPr fontId="4" type="noConversion"/>
  </si>
  <si>
    <t>負責人</t>
    <phoneticPr fontId="4" type="noConversion"/>
  </si>
  <si>
    <t>C</t>
    <phoneticPr fontId="4" type="noConversion"/>
  </si>
  <si>
    <t>I</t>
    <phoneticPr fontId="4" type="noConversion"/>
  </si>
  <si>
    <t>A</t>
    <phoneticPr fontId="4" type="noConversion"/>
  </si>
  <si>
    <t>Law</t>
    <phoneticPr fontId="4" type="noConversion"/>
  </si>
  <si>
    <t>資產價值</t>
    <phoneticPr fontId="4" type="noConversion"/>
  </si>
  <si>
    <t>威脅</t>
  </si>
  <si>
    <t>適用性</t>
    <phoneticPr fontId="4" type="noConversion"/>
  </si>
  <si>
    <t>可能性</t>
    <phoneticPr fontId="4" type="noConversion"/>
  </si>
  <si>
    <t>理由</t>
    <phoneticPr fontId="4" type="noConversion"/>
  </si>
  <si>
    <t>衝擊性</t>
    <phoneticPr fontId="4" type="noConversion"/>
  </si>
  <si>
    <t>風險值</t>
    <phoneticPr fontId="4" type="noConversion"/>
  </si>
  <si>
    <t>備註</t>
    <phoneticPr fontId="4" type="noConversion"/>
  </si>
  <si>
    <t>資訊資產風險評鑑</t>
    <phoneticPr fontId="1" type="noConversion"/>
  </si>
  <si>
    <t>最大綜合風險</t>
    <phoneticPr fontId="4" type="noConversion"/>
  </si>
  <si>
    <t>資訊資產群組清單
威脅弱點評估表</t>
    <phoneticPr fontId="1" type="noConversion"/>
  </si>
  <si>
    <r>
      <rPr>
        <b/>
        <sz val="12"/>
        <rFont val="微軟正黑體"/>
        <family val="2"/>
        <charset val="136"/>
      </rPr>
      <t>限閱級</t>
    </r>
  </si>
  <si>
    <t>發生機率評估準則</t>
  </si>
  <si>
    <t>機率</t>
  </si>
  <si>
    <t>幾乎不可能發生</t>
  </si>
  <si>
    <t>很少發生</t>
  </si>
  <si>
    <t>偶爾發生</t>
  </si>
  <si>
    <t>時常發生</t>
  </si>
  <si>
    <t>中</t>
  </si>
  <si>
    <t>高</t>
  </si>
  <si>
    <t>極高</t>
  </si>
  <si>
    <t>計畫代號</t>
    <phoneticPr fontId="1" type="noConversion"/>
  </si>
  <si>
    <t>編號</t>
    <phoneticPr fontId="1" type="noConversion"/>
  </si>
  <si>
    <t>日期</t>
    <phoneticPr fontId="1" type="noConversion"/>
  </si>
  <si>
    <t>可能性(弱點)-事件發生機率評估標準</t>
    <phoneticPr fontId="1" type="noConversion"/>
  </si>
  <si>
    <r>
      <t>1年內可能發生</t>
    </r>
    <r>
      <rPr>
        <sz val="12"/>
        <color rgb="FFFF0000"/>
        <rFont val="微軟正黑體"/>
        <family val="2"/>
        <charset val="136"/>
      </rPr>
      <t>5次~ 7次</t>
    </r>
    <phoneticPr fontId="1" type="noConversion"/>
  </si>
  <si>
    <t>等級</t>
    <phoneticPr fontId="1" type="noConversion"/>
  </si>
  <si>
    <r>
      <t>1年內可能發生</t>
    </r>
    <r>
      <rPr>
        <sz val="12"/>
        <color rgb="FFFF0000"/>
        <rFont val="微軟正黑體"/>
        <family val="2"/>
        <charset val="136"/>
      </rPr>
      <t>1次以下</t>
    </r>
    <phoneticPr fontId="1" type="noConversion"/>
  </si>
  <si>
    <r>
      <t>1年內可能發生</t>
    </r>
    <r>
      <rPr>
        <sz val="12"/>
        <color rgb="FFFF0000"/>
        <rFont val="微軟正黑體"/>
        <family val="2"/>
        <charset val="136"/>
      </rPr>
      <t>2次~ 4次</t>
    </r>
    <phoneticPr fontId="1" type="noConversion"/>
  </si>
  <si>
    <r>
      <t>1年內可能發生</t>
    </r>
    <r>
      <rPr>
        <sz val="12"/>
        <color rgb="FFFF0000"/>
        <rFont val="微軟正黑體"/>
        <family val="2"/>
        <charset val="136"/>
      </rPr>
      <t>8次以上</t>
    </r>
    <phoneticPr fontId="1" type="noConversion"/>
  </si>
  <si>
    <t>衝擊性(威脅)-事件衝擊程度評估標準</t>
    <phoneticPr fontId="1" type="noConversion"/>
  </si>
  <si>
    <t>低</t>
    <phoneticPr fontId="1" type="noConversion"/>
  </si>
  <si>
    <r>
      <t>風險發生幾乎</t>
    </r>
    <r>
      <rPr>
        <sz val="12"/>
        <color rgb="FFFF0000"/>
        <rFont val="微軟正黑體"/>
        <family val="2"/>
        <charset val="136"/>
      </rPr>
      <t>不會影響到業務</t>
    </r>
    <r>
      <rPr>
        <sz val="12"/>
        <color theme="1"/>
        <rFont val="微軟正黑體"/>
        <family val="2"/>
        <charset val="136"/>
      </rPr>
      <t xml:space="preserve">
（可以立即完成復原）</t>
    </r>
    <phoneticPr fontId="1" type="noConversion"/>
  </si>
  <si>
    <t>資產概述</t>
    <phoneticPr fontId="4" type="noConversion"/>
  </si>
  <si>
    <t>資產名稱</t>
    <phoneticPr fontId="4" type="noConversion"/>
  </si>
  <si>
    <t>資產說明</t>
    <phoneticPr fontId="4" type="noConversion"/>
  </si>
  <si>
    <t>位置</t>
    <phoneticPr fontId="4" type="noConversion"/>
  </si>
  <si>
    <t>數量</t>
    <phoneticPr fontId="4" type="noConversion"/>
  </si>
  <si>
    <t>負責人</t>
    <phoneticPr fontId="4" type="noConversion"/>
  </si>
  <si>
    <t>C</t>
    <phoneticPr fontId="4" type="noConversion"/>
  </si>
  <si>
    <t>理由</t>
    <phoneticPr fontId="4" type="noConversion"/>
  </si>
  <si>
    <t>I</t>
    <phoneticPr fontId="4" type="noConversion"/>
  </si>
  <si>
    <t>理由</t>
    <phoneticPr fontId="4" type="noConversion"/>
  </si>
  <si>
    <t>A</t>
    <phoneticPr fontId="4" type="noConversion"/>
  </si>
  <si>
    <t>Law</t>
    <phoneticPr fontId="4" type="noConversion"/>
  </si>
  <si>
    <t>理由</t>
    <phoneticPr fontId="4" type="noConversion"/>
  </si>
  <si>
    <t>資產
價值</t>
    <phoneticPr fontId="4" type="noConversion"/>
  </si>
  <si>
    <t>評鑑
人員</t>
    <phoneticPr fontId="4" type="noConversion"/>
  </si>
  <si>
    <t>資產價值評鑑</t>
    <phoneticPr fontId="4" type="noConversion"/>
  </si>
  <si>
    <t>資產類別
編號</t>
    <phoneticPr fontId="4" type="noConversion"/>
  </si>
  <si>
    <t>C：</t>
    <phoneticPr fontId="4" type="noConversion"/>
  </si>
  <si>
    <t>I：</t>
    <phoneticPr fontId="4" type="noConversion"/>
  </si>
  <si>
    <t>A：</t>
    <phoneticPr fontId="4" type="noConversion"/>
  </si>
  <si>
    <t>L：</t>
    <phoneticPr fontId="4" type="noConversion"/>
  </si>
  <si>
    <t>資料類(DA)</t>
    <phoneticPr fontId="1" type="noConversion"/>
  </si>
  <si>
    <t>不當或未授權的存取 (文件,資訊設備或網路)</t>
  </si>
  <si>
    <t>價值評鑑</t>
    <phoneticPr fontId="1" type="noConversion"/>
  </si>
  <si>
    <t>威脅弱點評估</t>
    <phoneticPr fontId="1" type="noConversion"/>
  </si>
  <si>
    <t>H&amp;I欄不可移動</t>
    <phoneticPr fontId="1" type="noConversion"/>
  </si>
  <si>
    <t>價值</t>
  </si>
  <si>
    <t>機密性( C )-評估標準說明</t>
    <phoneticPr fontId="1" type="noConversion"/>
  </si>
  <si>
    <t>CIA關聯</t>
    <phoneticPr fontId="1" type="noConversion"/>
  </si>
  <si>
    <r>
      <rPr>
        <sz val="12"/>
        <color rgb="FFFF0000"/>
        <rFont val="微軟正黑體"/>
        <family val="2"/>
        <charset val="136"/>
      </rPr>
      <t>一般</t>
    </r>
    <r>
      <rPr>
        <sz val="12"/>
        <color theme="1"/>
        <rFont val="微軟正黑體"/>
        <family val="2"/>
        <charset val="136"/>
      </rPr>
      <t>︰此資訊資產被揭露不會對本組織造成任何影響</t>
    </r>
    <phoneticPr fontId="1" type="noConversion"/>
  </si>
  <si>
    <t>C</t>
    <phoneticPr fontId="1" type="noConversion"/>
  </si>
  <si>
    <r>
      <rPr>
        <sz val="12"/>
        <color rgb="FFFF0000"/>
        <rFont val="微軟正黑體"/>
        <family val="2"/>
        <charset val="136"/>
      </rPr>
      <t>限閱</t>
    </r>
    <r>
      <rPr>
        <sz val="12"/>
        <color theme="1"/>
        <rFont val="微軟正黑體"/>
        <family val="2"/>
        <charset val="136"/>
      </rPr>
      <t>︰此資訊資產所包含資訊敏感且有特殊之機密性要求，僅限組織內部存取</t>
    </r>
    <phoneticPr fontId="1" type="noConversion"/>
  </si>
  <si>
    <r>
      <rPr>
        <sz val="12"/>
        <color rgb="FFFF0000"/>
        <rFont val="微軟正黑體"/>
        <family val="2"/>
        <charset val="136"/>
      </rPr>
      <t>密</t>
    </r>
    <r>
      <rPr>
        <sz val="12"/>
        <color theme="1"/>
        <rFont val="微軟正黑體"/>
        <family val="2"/>
        <charset val="136"/>
      </rPr>
      <t>︰此資訊資產所包含資訊不當揭露會對本組織營運造成顯著影響，限定特定、業務範圍人員讀取</t>
    </r>
    <phoneticPr fontId="1" type="noConversion"/>
  </si>
  <si>
    <t>AI</t>
    <phoneticPr fontId="1" type="noConversion"/>
  </si>
  <si>
    <r>
      <rPr>
        <sz val="12"/>
        <color rgb="FFFF0000"/>
        <rFont val="微軟正黑體"/>
        <family val="2"/>
        <charset val="136"/>
      </rPr>
      <t>機密</t>
    </r>
    <r>
      <rPr>
        <sz val="12"/>
        <color theme="1"/>
        <rFont val="微軟正黑體"/>
        <family val="2"/>
        <charset val="136"/>
      </rPr>
      <t>︰此資訊資產所包含資訊為內部或法律所規範的機密資訊，不當揭露會造成組織嚴重傷害，限定少數特定人員才可讀取</t>
    </r>
    <phoneticPr fontId="1" type="noConversion"/>
  </si>
  <si>
    <t>完整性( I )-評估標準說明</t>
    <phoneticPr fontId="1" type="noConversion"/>
  </si>
  <si>
    <r>
      <rPr>
        <sz val="12"/>
        <color rgb="FFFF0000"/>
        <rFont val="微軟正黑體"/>
        <family val="2"/>
        <charset val="136"/>
      </rPr>
      <t>資訊</t>
    </r>
    <r>
      <rPr>
        <sz val="12"/>
        <color theme="1"/>
        <rFont val="微軟正黑體"/>
        <family val="2"/>
        <charset val="136"/>
      </rPr>
      <t>遭竄改或處理</t>
    </r>
    <r>
      <rPr>
        <sz val="12"/>
        <color rgb="FFFF0000"/>
        <rFont val="微軟正黑體"/>
        <family val="2"/>
        <charset val="136"/>
      </rPr>
      <t>錯誤</t>
    </r>
    <r>
      <rPr>
        <sz val="12"/>
        <color theme="1"/>
        <rFont val="微軟正黑體"/>
        <family val="2"/>
        <charset val="136"/>
      </rPr>
      <t>會對組織造成</t>
    </r>
    <r>
      <rPr>
        <sz val="12"/>
        <color rgb="FFFF0000"/>
        <rFont val="微軟正黑體"/>
        <family val="2"/>
        <charset val="136"/>
      </rPr>
      <t>輕度影響</t>
    </r>
    <phoneticPr fontId="1" type="noConversion"/>
  </si>
  <si>
    <t>失竊</t>
    <phoneticPr fontId="4" type="noConversion"/>
  </si>
  <si>
    <t>CA</t>
    <phoneticPr fontId="1" type="noConversion"/>
  </si>
  <si>
    <r>
      <rPr>
        <sz val="12"/>
        <color rgb="FFFF0000"/>
        <rFont val="微軟正黑體"/>
        <family val="2"/>
        <charset val="136"/>
      </rPr>
      <t>資訊</t>
    </r>
    <r>
      <rPr>
        <sz val="12"/>
        <color theme="1"/>
        <rFont val="微軟正黑體"/>
        <family val="2"/>
        <charset val="136"/>
      </rPr>
      <t>遭竄改或處理</t>
    </r>
    <r>
      <rPr>
        <sz val="12"/>
        <color rgb="FFFF0000"/>
        <rFont val="微軟正黑體"/>
        <family val="2"/>
        <charset val="136"/>
      </rPr>
      <t>錯誤</t>
    </r>
    <r>
      <rPr>
        <sz val="12"/>
        <color theme="1"/>
        <rFont val="微軟正黑體"/>
        <family val="2"/>
        <charset val="136"/>
      </rPr>
      <t>會對組織造成</t>
    </r>
    <r>
      <rPr>
        <sz val="12"/>
        <color rgb="FFFF0000"/>
        <rFont val="微軟正黑體"/>
        <family val="2"/>
        <charset val="136"/>
      </rPr>
      <t>中度影響</t>
    </r>
    <phoneticPr fontId="1" type="noConversion"/>
  </si>
  <si>
    <r>
      <rPr>
        <sz val="12"/>
        <color rgb="FFFF0000"/>
        <rFont val="微軟正黑體"/>
        <family val="2"/>
        <charset val="136"/>
      </rPr>
      <t>資訊</t>
    </r>
    <r>
      <rPr>
        <sz val="12"/>
        <color theme="1"/>
        <rFont val="微軟正黑體"/>
        <family val="2"/>
        <charset val="136"/>
      </rPr>
      <t>遭竄改或處理錯誤會對組織造成</t>
    </r>
    <r>
      <rPr>
        <sz val="12"/>
        <color rgb="FFFF0000"/>
        <rFont val="微軟正黑體"/>
        <family val="2"/>
        <charset val="136"/>
      </rPr>
      <t>重度影響</t>
    </r>
    <phoneticPr fontId="1" type="noConversion"/>
  </si>
  <si>
    <r>
      <rPr>
        <sz val="12"/>
        <color rgb="FFFF0000"/>
        <rFont val="微軟正黑體"/>
        <family val="2"/>
        <charset val="136"/>
      </rPr>
      <t>資訊</t>
    </r>
    <r>
      <rPr>
        <sz val="12"/>
        <color theme="1"/>
        <rFont val="微軟正黑體"/>
        <family val="2"/>
        <charset val="136"/>
      </rPr>
      <t>遭竄改或處理</t>
    </r>
    <r>
      <rPr>
        <sz val="12"/>
        <color rgb="FFFF0000"/>
        <rFont val="微軟正黑體"/>
        <family val="2"/>
        <charset val="136"/>
      </rPr>
      <t>錯誤</t>
    </r>
    <r>
      <rPr>
        <sz val="12"/>
        <color theme="1"/>
        <rFont val="微軟正黑體"/>
        <family val="2"/>
        <charset val="136"/>
      </rPr>
      <t>會對組織造成</t>
    </r>
    <r>
      <rPr>
        <sz val="12"/>
        <color rgb="FFFF0000"/>
        <rFont val="微軟正黑體"/>
        <family val="2"/>
        <charset val="136"/>
      </rPr>
      <t>極為嚴重影響</t>
    </r>
    <r>
      <rPr>
        <sz val="12"/>
        <color theme="1"/>
        <rFont val="微軟正黑體"/>
        <family val="2"/>
        <charset val="136"/>
      </rPr>
      <t>，可能會造成</t>
    </r>
    <r>
      <rPr>
        <sz val="12"/>
        <color rgb="FFFF0000"/>
        <rFont val="微軟正黑體"/>
        <family val="2"/>
        <charset val="136"/>
      </rPr>
      <t>業務終止</t>
    </r>
    <phoneticPr fontId="1" type="noConversion"/>
  </si>
  <si>
    <r>
      <t>風險發生</t>
    </r>
    <r>
      <rPr>
        <sz val="12"/>
        <color rgb="FFFF0000"/>
        <rFont val="微軟正黑體"/>
        <family val="2"/>
        <charset val="136"/>
      </rPr>
      <t>可能影響到業務</t>
    </r>
    <r>
      <rPr>
        <sz val="12"/>
        <color theme="1"/>
        <rFont val="微軟正黑體"/>
        <family val="2"/>
        <charset val="136"/>
      </rPr>
      <t xml:space="preserve">
</t>
    </r>
    <r>
      <rPr>
        <sz val="10"/>
        <color theme="1"/>
        <rFont val="微軟正黑體"/>
        <family val="2"/>
        <charset val="136"/>
      </rPr>
      <t>（可以立即完成復原，但若持續發生且次數頻繁,對業務執行可能帶來潛在風險）</t>
    </r>
    <phoneticPr fontId="1" type="noConversion"/>
  </si>
  <si>
    <t>可用性( A )-評估標準說明</t>
    <phoneticPr fontId="1" type="noConversion"/>
  </si>
  <si>
    <r>
      <t>風險發生可能</t>
    </r>
    <r>
      <rPr>
        <sz val="12"/>
        <color rgb="FFFF0000"/>
        <rFont val="微軟正黑體"/>
        <family val="2"/>
        <charset val="136"/>
      </rPr>
      <t>造成業務暫停</t>
    </r>
    <r>
      <rPr>
        <sz val="12"/>
        <color theme="1"/>
        <rFont val="微軟正黑體"/>
        <family val="2"/>
        <charset val="136"/>
      </rPr>
      <t xml:space="preserve">
</t>
    </r>
    <r>
      <rPr>
        <sz val="10"/>
        <color theme="1"/>
        <rFont val="微軟正黑體"/>
        <family val="2"/>
        <charset val="136"/>
      </rPr>
      <t>（對於本中心整體業務執行影響不大、造成的損失可能僅影響單一業務或系統、損失可能影響僅個人或少數幾人、可以由個人進行復原、修復或進行復原的措施可以在8hrs內完成）</t>
    </r>
    <phoneticPr fontId="1" type="noConversion"/>
  </si>
  <si>
    <r>
      <t>該資訊資產</t>
    </r>
    <r>
      <rPr>
        <sz val="12"/>
        <color rgb="FFFF0000"/>
        <rFont val="微軟正黑體"/>
        <family val="2"/>
        <charset val="136"/>
      </rPr>
      <t>容許失效1天</t>
    </r>
    <r>
      <rPr>
        <sz val="12"/>
        <color theme="1"/>
        <rFont val="微軟正黑體"/>
        <family val="2"/>
        <charset val="136"/>
      </rPr>
      <t>以上，不用被修復或是尋找替代品</t>
    </r>
    <phoneticPr fontId="1" type="noConversion"/>
  </si>
  <si>
    <r>
      <t>風險發生可能</t>
    </r>
    <r>
      <rPr>
        <sz val="12"/>
        <color rgb="FFFF0000"/>
        <rFont val="微軟正黑體"/>
        <family val="2"/>
        <charset val="136"/>
      </rPr>
      <t>造成業務中斷</t>
    </r>
    <r>
      <rPr>
        <sz val="12"/>
        <color theme="1"/>
        <rFont val="微軟正黑體"/>
        <family val="2"/>
        <charset val="136"/>
      </rPr>
      <t xml:space="preserve">
</t>
    </r>
    <r>
      <rPr>
        <sz val="10"/>
        <color theme="1"/>
        <rFont val="微軟正黑體"/>
        <family val="2"/>
        <charset val="136"/>
      </rPr>
      <t>（風險處理不當可能對本中心形象或校譽造成損害、造成的損害可能影響全校、系統或相關服務停頓或癱瘓,業務無法運作、復原的措施僅能由特定專業人員才能進行或修復人員不易取得、復原無法於4hrs內完成、可能造成人員傷亡）</t>
    </r>
    <phoneticPr fontId="1" type="noConversion"/>
  </si>
  <si>
    <r>
      <t>該資訊資產</t>
    </r>
    <r>
      <rPr>
        <sz val="12"/>
        <color rgb="FFFF0000"/>
        <rFont val="微軟正黑體"/>
        <family val="2"/>
        <charset val="136"/>
      </rPr>
      <t>容許失效4小時(半天)以上，1天以下</t>
    </r>
    <r>
      <rPr>
        <sz val="12"/>
        <color theme="1"/>
        <rFont val="微軟正黑體"/>
        <family val="2"/>
        <charset val="136"/>
      </rPr>
      <t>，不用被修復或是尋找替代品</t>
    </r>
    <phoneticPr fontId="1" type="noConversion"/>
  </si>
  <si>
    <r>
      <t>該資訊資產</t>
    </r>
    <r>
      <rPr>
        <sz val="12"/>
        <color rgb="FFFF0000"/>
        <rFont val="微軟正黑體"/>
        <family val="2"/>
        <charset val="136"/>
      </rPr>
      <t>容許失效60分鐘(1小時)以上，4小時以下</t>
    </r>
    <r>
      <rPr>
        <sz val="12"/>
        <color theme="1"/>
        <rFont val="微軟正黑體"/>
        <family val="2"/>
        <charset val="136"/>
      </rPr>
      <t>，不用被修復或是尋找替代品</t>
    </r>
    <phoneticPr fontId="1" type="noConversion"/>
  </si>
  <si>
    <r>
      <t>該資訊資產</t>
    </r>
    <r>
      <rPr>
        <sz val="12"/>
        <color rgb="FFFF0000"/>
        <rFont val="微軟正黑體"/>
        <family val="2"/>
        <charset val="136"/>
      </rPr>
      <t>容許失效60分鐘內</t>
    </r>
    <r>
      <rPr>
        <sz val="12"/>
        <color theme="1"/>
        <rFont val="微軟正黑體"/>
        <family val="2"/>
        <charset val="136"/>
      </rPr>
      <t>，不用被修復或是尋找替代品</t>
    </r>
    <phoneticPr fontId="1" type="noConversion"/>
  </si>
  <si>
    <t>人員可用性( A )-評估標準說明</t>
    <phoneticPr fontId="1" type="noConversion"/>
  </si>
  <si>
    <r>
      <t>低：人員負責/接觸的業務，</t>
    </r>
    <r>
      <rPr>
        <sz val="12"/>
        <color rgb="FFFF0000"/>
        <rFont val="微軟正黑體"/>
        <family val="2"/>
        <charset val="136"/>
      </rPr>
      <t>不會</t>
    </r>
    <r>
      <rPr>
        <sz val="12"/>
        <color theme="1"/>
        <rFont val="微軟正黑體"/>
        <family val="2"/>
        <charset val="136"/>
      </rPr>
      <t>因為休假或缺乏代理人等因素而</t>
    </r>
    <r>
      <rPr>
        <sz val="12"/>
        <color rgb="FFFF0000"/>
        <rFont val="微軟正黑體"/>
        <family val="2"/>
        <charset val="136"/>
      </rPr>
      <t>影響業務</t>
    </r>
    <r>
      <rPr>
        <sz val="12"/>
        <color theme="1"/>
        <rFont val="微軟正黑體"/>
        <family val="2"/>
        <charset val="136"/>
      </rPr>
      <t>之執行</t>
    </r>
    <phoneticPr fontId="1" type="noConversion"/>
  </si>
  <si>
    <r>
      <t>中：人員負責/接觸的業務，</t>
    </r>
    <r>
      <rPr>
        <sz val="12"/>
        <color rgb="FFFF0000"/>
        <rFont val="微軟正黑體"/>
        <family val="2"/>
        <charset val="136"/>
      </rPr>
      <t>可能會</t>
    </r>
    <r>
      <rPr>
        <sz val="12"/>
        <color theme="1"/>
        <rFont val="微軟正黑體"/>
        <family val="2"/>
        <charset val="136"/>
      </rPr>
      <t>因為休假或缺乏代理人等因素而</t>
    </r>
    <r>
      <rPr>
        <sz val="12"/>
        <color rgb="FFFF0000"/>
        <rFont val="微軟正黑體"/>
        <family val="2"/>
        <charset val="136"/>
      </rPr>
      <t>影響業務</t>
    </r>
    <r>
      <rPr>
        <sz val="12"/>
        <color theme="1"/>
        <rFont val="微軟正黑體"/>
        <family val="2"/>
        <charset val="136"/>
      </rPr>
      <t>之執行</t>
    </r>
    <phoneticPr fontId="1" type="noConversion"/>
  </si>
  <si>
    <r>
      <t>高：人員負責/接觸的業務，因為休假或缺乏代理人等因素對業務執行</t>
    </r>
    <r>
      <rPr>
        <sz val="12"/>
        <color rgb="FFFF0000"/>
        <rFont val="微軟正黑體"/>
        <family val="2"/>
        <charset val="136"/>
      </rPr>
      <t>影響較高</t>
    </r>
    <phoneticPr fontId="1" type="noConversion"/>
  </si>
  <si>
    <r>
      <t>極高：人員負責/接觸的業務，會因為休假或缺乏代理人等因素對業務執行</t>
    </r>
    <r>
      <rPr>
        <sz val="12"/>
        <color rgb="FFFF0000"/>
        <rFont val="微軟正黑體"/>
        <family val="2"/>
        <charset val="136"/>
      </rPr>
      <t>影響極高</t>
    </r>
    <phoneticPr fontId="1" type="noConversion"/>
  </si>
  <si>
    <t>法令/合約( L )-評估標準說明</t>
    <phoneticPr fontId="1" type="noConversion"/>
  </si>
  <si>
    <r>
      <t>重大影響，對單位(部門)</t>
    </r>
    <r>
      <rPr>
        <sz val="12"/>
        <color rgb="FFFF0000"/>
        <rFont val="微軟正黑體"/>
        <family val="2"/>
        <charset val="136"/>
      </rPr>
      <t>工研院</t>
    </r>
    <r>
      <rPr>
        <sz val="12"/>
        <color theme="1"/>
        <rFont val="微軟正黑體"/>
        <family val="2"/>
        <charset val="136"/>
      </rPr>
      <t>造成相當大損害</t>
    </r>
    <phoneticPr fontId="1" type="noConversion"/>
  </si>
  <si>
    <r>
      <t>不可承受的影響，對全組織</t>
    </r>
    <r>
      <rPr>
        <sz val="12"/>
        <color rgb="FFFF0000"/>
        <rFont val="微軟正黑體"/>
        <family val="2"/>
        <charset val="136"/>
      </rPr>
      <t>能源局</t>
    </r>
    <r>
      <rPr>
        <sz val="12"/>
        <color theme="1"/>
        <rFont val="微軟正黑體"/>
        <family val="2"/>
        <charset val="136"/>
      </rPr>
      <t>造成相當大損害</t>
    </r>
    <phoneticPr fontId="1" type="noConversion"/>
  </si>
  <si>
    <t>同仁未依作業程序執行機密文件提供(口頭授權、事後補單)</t>
    <phoneticPr fontId="4" type="noConversion"/>
  </si>
  <si>
    <t>不當或未授權的存取 (文件,資訊設備或網路)</t>
    <phoneticPr fontId="4" type="noConversion"/>
  </si>
  <si>
    <t>儲存媒介內之資料沒有適當刪除就丟棄或重覆使用</t>
    <phoneticPr fontId="4" type="noConversion"/>
  </si>
  <si>
    <t>存取權限授權不當</t>
    <phoneticPr fontId="4" type="noConversion"/>
  </si>
  <si>
    <t>資訊交換網路
傳輸造成外洩</t>
  </si>
  <si>
    <t>缺乏應用系統間資料交換政策(如：個資table view)</t>
    <phoneticPr fontId="4" type="noConversion"/>
  </si>
  <si>
    <t>資訊交換網路傳輸造成外洩
傳輸造成外洩</t>
    <phoneticPr fontId="4" type="noConversion"/>
  </si>
  <si>
    <t>透過網路、伺服器傳送時被竊取</t>
    <phoneticPr fontId="4" type="noConversion"/>
  </si>
  <si>
    <t>Email網址或信件內容錯誤致外洩</t>
    <phoneticPr fontId="4" type="noConversion"/>
  </si>
  <si>
    <t>藉由可攜式裝置(PDA,NB,USB disk)
造成機密外洩</t>
  </si>
  <si>
    <t>缺乏有效之機密資訊管理機制</t>
    <phoneticPr fontId="4" type="noConversion"/>
  </si>
  <si>
    <t>惡意的軟體(病毒、木馬)導致資料損毀、外洩</t>
  </si>
  <si>
    <t>人員安全意識不足</t>
  </si>
  <si>
    <t>軟體使用和下載控管不足(如：未管制非法軟體、未限制安裝shareware, freeware)</t>
    <phoneticPr fontId="4" type="noConversion"/>
  </si>
  <si>
    <t>失竊</t>
  </si>
  <si>
    <t>缺乏建築物、門、窗等的保護</t>
    <phoneticPr fontId="4" type="noConversion"/>
  </si>
  <si>
    <t>不當變更</t>
  </si>
  <si>
    <t>缺乏或未落實版本控管作業</t>
    <phoneticPr fontId="4" type="noConversion"/>
  </si>
  <si>
    <t>備份服務不穩定或失效</t>
    <phoneticPr fontId="4" type="noConversion"/>
  </si>
  <si>
    <t>不正確的使用軟體和硬體</t>
    <phoneticPr fontId="4" type="noConversion"/>
  </si>
  <si>
    <t>缺乏傳送或接收訊息的證據</t>
    <phoneticPr fontId="4" type="noConversion"/>
  </si>
  <si>
    <t>缺少規範要求員工不可在電話或網站上提供資訊的規範</t>
    <phoneticPr fontId="23" type="noConversion"/>
  </si>
  <si>
    <t>社交工程</t>
  </si>
  <si>
    <t>email server或其他IT技術防範管理不足</t>
    <phoneticPr fontId="4" type="noConversion"/>
  </si>
  <si>
    <t>有存取權限者惡意存取</t>
  </si>
  <si>
    <t>BYOD的管理造成資料外洩</t>
    <phoneticPr fontId="4" type="noConversion"/>
  </si>
  <si>
    <t>裝置遺失時資料未有加密保護</t>
  </si>
  <si>
    <t>合約訂定不清，如：未包括服務水準要求，轉包要求及相關資安條款</t>
    <phoneticPr fontId="1" type="noConversion"/>
  </si>
  <si>
    <t>委託第三方之風險：廠商服務水準低落或履約狀況不佳</t>
    <phoneticPr fontId="1" type="noConversion"/>
  </si>
  <si>
    <t>缺乏監督廠商之措施與機制</t>
    <phoneticPr fontId="1" type="noConversion"/>
  </si>
  <si>
    <t>簽約前未檢視或驗證廠商履約能力及廠商是否具合約要求之控管機制</t>
    <phoneticPr fontId="1" type="noConversion"/>
  </si>
  <si>
    <t>委託第三方之風險：惡性倒閉/服務中斷或終止</t>
    <phoneticPr fontId="1" type="noConversion"/>
  </si>
  <si>
    <t>缺乏替代方案 (如：備份或備援或其他供應商替代方案)</t>
    <phoneticPr fontId="1" type="noConversion"/>
  </si>
  <si>
    <t>合約未列保護性條款(資安、智財權、個資法)</t>
    <phoneticPr fontId="1" type="noConversion"/>
  </si>
  <si>
    <t>其他威脅</t>
  </si>
  <si>
    <t>其他弱點</t>
    <phoneticPr fontId="4" type="noConversion"/>
  </si>
  <si>
    <t>透過可攜式儲存媒體之機密資訊外洩
造成機密外洩</t>
    <phoneticPr fontId="4" type="noConversion"/>
  </si>
  <si>
    <t>惡意的軟體(病毒、木馬)導致資料損毀、外洩</t>
    <phoneticPr fontId="4" type="noConversion"/>
  </si>
  <si>
    <t>不當變更</t>
    <phoneticPr fontId="4" type="noConversion"/>
  </si>
  <si>
    <t>資料遺失、毀損、不可用</t>
    <phoneticPr fontId="4" type="noConversion"/>
  </si>
  <si>
    <t>操作人員的錯誤造成資料毀損或誤刪</t>
    <phoneticPr fontId="4" type="noConversion"/>
  </si>
  <si>
    <t>否認性</t>
    <phoneticPr fontId="4" type="noConversion"/>
  </si>
  <si>
    <t>社交工程</t>
    <phoneticPr fontId="4" type="noConversion"/>
  </si>
  <si>
    <t>委託第三方之風險：廠商將資料外洩</t>
    <phoneticPr fontId="1" type="noConversion"/>
  </si>
  <si>
    <t>A</t>
    <phoneticPr fontId="1" type="noConversion"/>
  </si>
  <si>
    <t>I</t>
    <phoneticPr fontId="1" type="noConversion"/>
  </si>
  <si>
    <t>CIA</t>
    <phoneticPr fontId="1" type="noConversion"/>
  </si>
  <si>
    <t>N</t>
  </si>
  <si>
    <t>Y</t>
  </si>
  <si>
    <t>NA</t>
    <phoneticPr fontId="1" type="noConversion"/>
  </si>
  <si>
    <t>無</t>
    <phoneticPr fontId="1" type="noConversion"/>
  </si>
  <si>
    <t>契約為本院機密</t>
    <phoneticPr fontId="1" type="noConversion"/>
  </si>
  <si>
    <t>合約有正確性要求</t>
    <phoneticPr fontId="1" type="noConversion"/>
  </si>
  <si>
    <t>Y</t>
    <phoneticPr fontId="4" type="noConversion"/>
  </si>
  <si>
    <t>作業上不需要</t>
    <phoneticPr fontId="4" type="noConversion"/>
  </si>
  <si>
    <t>人員有接受資安三小時訓練，會配合院內的管控要求來管理電腦</t>
    <phoneticPr fontId="4" type="noConversion"/>
  </si>
  <si>
    <t>24小時全面門禁</t>
    <phoneticPr fontId="4" type="noConversion"/>
  </si>
  <si>
    <t>個人電腦操作簡單不易發生此情況</t>
    <phoneticPr fontId="4" type="noConversion"/>
  </si>
  <si>
    <t>本院有規範</t>
    <phoneticPr fontId="4" type="noConversion"/>
  </si>
  <si>
    <t>資訊處提供完整的防禦工具</t>
    <phoneticPr fontId="4" type="noConversion"/>
  </si>
  <si>
    <t>工業技術研究院機密資料 禁止複製、轉載、外流ITRI CONFIDENTIAL DOCUMENT DO NOT COPY OR DISTRIBUTE</t>
    <phoneticPr fontId="1" type="noConversion"/>
  </si>
  <si>
    <t>石油與天然氣輸儲查核與檢測雲端平台</t>
    <phoneticPr fontId="1" type="noConversion"/>
  </si>
  <si>
    <t>材1-1</t>
    <phoneticPr fontId="1" type="noConversion"/>
  </si>
  <si>
    <t>材1-1-DA-01</t>
    <phoneticPr fontId="1" type="noConversion"/>
  </si>
  <si>
    <t>材1-1-DA-02</t>
    <phoneticPr fontId="1" type="noConversion"/>
  </si>
  <si>
    <t>材1-1-DA-03</t>
    <phoneticPr fontId="1" type="noConversion"/>
  </si>
  <si>
    <t>材1-1-DA-04</t>
    <phoneticPr fontId="1" type="noConversion"/>
  </si>
  <si>
    <t>材1-1-DA-05</t>
    <phoneticPr fontId="1" type="noConversion"/>
  </si>
  <si>
    <t>交付能源局之資通安全維護計畫</t>
    <phoneticPr fontId="1" type="noConversion"/>
  </si>
  <si>
    <t>賴斐瓔 </t>
  </si>
  <si>
    <t>錯誤容易更正
影響不大
不影響我的系統，不影響結案</t>
  </si>
  <si>
    <t>合約要求</t>
  </si>
  <si>
    <t>系統-程式原碼</t>
    <phoneticPr fontId="1" type="noConversion"/>
  </si>
  <si>
    <t>資訊處機房VSTS</t>
    <phoneticPr fontId="1" type="noConversion"/>
  </si>
  <si>
    <t>原始程式碼需要限定專案內成員才可以讀取</t>
  </si>
  <si>
    <t>還原時程式原碼需正確及完整</t>
  </si>
  <si>
    <t>核章與領牌有關，時效性需求大約半日</t>
  </si>
  <si>
    <t>無</t>
  </si>
  <si>
    <t>系統開發文件</t>
    <phoneticPr fontId="1" type="noConversion"/>
  </si>
  <si>
    <t>個人電腦</t>
  </si>
  <si>
    <t>限內部人員存取</t>
    <phoneticPr fontId="1" type="noConversion"/>
  </si>
  <si>
    <t>開發後需要參考的機會較少</t>
    <phoneticPr fontId="1" type="noConversion"/>
  </si>
  <si>
    <t>已在維運狀態，視需要時參考用</t>
    <phoneticPr fontId="1" type="noConversion"/>
  </si>
  <si>
    <t>操作手冊</t>
    <phoneticPr fontId="1" type="noConversion"/>
  </si>
  <si>
    <t>系統-操作手冊</t>
    <phoneticPr fontId="1" type="noConversion"/>
  </si>
  <si>
    <t>公開資訊</t>
  </si>
  <si>
    <t>僅作為操作之參考</t>
    <phoneticPr fontId="1" type="noConversion"/>
  </si>
  <si>
    <t>手冊是輔助非必要</t>
  </si>
  <si>
    <r>
      <rPr>
        <sz val="12"/>
        <rFont val="微軟正黑體"/>
        <family val="2"/>
        <charset val="136"/>
      </rPr>
      <t>包括合約書與簽約執行計畫書</t>
    </r>
    <r>
      <rPr>
        <sz val="12"/>
        <rFont val="Calibri"/>
        <family val="2"/>
      </rPr>
      <t>(SCAN</t>
    </r>
    <r>
      <rPr>
        <sz val="12"/>
        <rFont val="細明體"/>
        <family val="2"/>
        <charset val="136"/>
      </rPr>
      <t>檔</t>
    </r>
    <r>
      <rPr>
        <sz val="12"/>
        <rFont val="Calibri"/>
        <family val="2"/>
      </rPr>
      <t>)</t>
    </r>
    <phoneticPr fontId="1" type="noConversion"/>
  </si>
  <si>
    <t>電子公文/合約系統</t>
  </si>
  <si>
    <t>吳榮正</t>
    <phoneticPr fontId="1" type="noConversion"/>
  </si>
  <si>
    <t>行政處保管正本</t>
    <phoneticPr fontId="1" type="noConversion"/>
  </si>
  <si>
    <t>吳榮正</t>
    <phoneticPr fontId="1" type="noConversion"/>
  </si>
  <si>
    <t>材1-1-DA-01</t>
    <phoneticPr fontId="4" type="noConversion"/>
  </si>
  <si>
    <t>材1-1-DA-02</t>
    <phoneticPr fontId="4" type="noConversion"/>
  </si>
  <si>
    <t>材1-1-DA-03</t>
    <phoneticPr fontId="4" type="noConversion"/>
  </si>
  <si>
    <t>材1-1-DA-04</t>
    <phoneticPr fontId="4" type="noConversion"/>
  </si>
  <si>
    <t>材1-1-DA-05</t>
    <phoneticPr fontId="4" type="noConversion"/>
  </si>
  <si>
    <t>影響網站服務</t>
  </si>
  <si>
    <t>N</t>
    <phoneticPr fontId="4" type="noConversion"/>
  </si>
  <si>
    <t>最終由計畫團隊人員統一控管</t>
    <phoneticPr fontId="4" type="noConversion"/>
  </si>
  <si>
    <t>Y</t>
    <phoneticPr fontId="1" type="noConversion"/>
  </si>
  <si>
    <t>N</t>
    <phoneticPr fontId="1" type="noConversion"/>
  </si>
  <si>
    <t>在計畫主持人保管</t>
    <phoneticPr fontId="4" type="noConversion"/>
  </si>
  <si>
    <t>以年度作版控</t>
    <phoneticPr fontId="4" type="noConversion"/>
  </si>
  <si>
    <t>專案起始後60日</t>
  </si>
  <si>
    <t>內部使用</t>
    <phoneticPr fontId="1" type="noConversion"/>
  </si>
  <si>
    <t>經授權才可存取
由網站負責人保管</t>
    <phoneticPr fontId="4" type="noConversion"/>
  </si>
  <si>
    <t>不允許儲存到隨身碟，電腦報廢或移作他用前，會先格式化</t>
    <phoneticPr fontId="4" type="noConversion"/>
  </si>
  <si>
    <t>已規範授權三個人，經過計畫主持人同意</t>
    <phoneticPr fontId="4" type="noConversion"/>
  </si>
  <si>
    <t>加註年月日作版本識別</t>
    <phoneticPr fontId="4" type="noConversion"/>
  </si>
  <si>
    <t>不需備份</t>
    <phoneticPr fontId="4" type="noConversion"/>
  </si>
  <si>
    <t>作業上不需要，但如果執行沒有電子簽章</t>
    <phoneticPr fontId="4" type="noConversion"/>
  </si>
  <si>
    <t>SDRIVE</t>
  </si>
  <si>
    <t>資通安全維護計畫</t>
    <phoneticPr fontId="1" type="noConversion"/>
  </si>
  <si>
    <r>
      <rPr>
        <sz val="12"/>
        <rFont val="微軟正黑體"/>
        <family val="2"/>
        <charset val="136"/>
      </rPr>
      <t>合約書</t>
    </r>
    <r>
      <rPr>
        <sz val="12"/>
        <rFont val="Calibri"/>
        <family val="2"/>
        <charset val="136"/>
      </rPr>
      <t>(</t>
    </r>
    <r>
      <rPr>
        <sz val="12"/>
        <rFont val="Calibri"/>
        <family val="2"/>
      </rPr>
      <t>SCAN</t>
    </r>
    <r>
      <rPr>
        <sz val="12"/>
        <rFont val="細明體"/>
        <family val="2"/>
        <charset val="136"/>
      </rPr>
      <t>檔</t>
    </r>
    <r>
      <rPr>
        <sz val="12"/>
        <rFont val="Calibri"/>
        <family val="2"/>
      </rPr>
      <t>)</t>
    </r>
    <phoneticPr fontId="1" type="noConversion"/>
  </si>
  <si>
    <t>每日備份至異機</t>
    <phoneticPr fontId="4" type="noConversion"/>
  </si>
  <si>
    <t>1133/19</t>
    <phoneticPr fontId="1" type="noConversion"/>
  </si>
  <si>
    <t>異動時備份</t>
    <phoneticPr fontId="4" type="noConversion"/>
  </si>
  <si>
    <t>113/3/19</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</si>
</sst>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33">
    <font>
      <sz val="12"/>
      <color theme="1"/>
      <name val="新細明體"/>
      <family val="2"/>
      <charset val="136"/>
      <scheme val="minor"/>
    </font>
    <font>
      <sz val="9"/>
      <name val="新細明體"/>
      <family val="2"/>
      <charset val="136"/>
      <scheme val="minor"/>
    </font>
    <font>
      <sz val="12"/>
      <name val="微軟正黑體"/>
      <family val="2"/>
      <charset val="136"/>
    </font>
    <font>
      <b/>
      <sz val="12"/>
      <name val="微軟正黑體"/>
      <family val="2"/>
      <charset val="136"/>
    </font>
    <font>
      <sz val="9"/>
      <name val="新細明體"/>
      <family val="1"/>
      <charset val="136"/>
    </font>
    <font>
      <sz val="12"/>
      <name val="新細明體"/>
      <family val="1"/>
      <charset val="136"/>
    </font>
    <font>
      <sz val="12"/>
      <color theme="1"/>
      <name val="微軟正黑體"/>
      <family val="2"/>
      <charset val="136"/>
    </font>
    <font>
      <sz val="24"/>
      <color theme="1" tint="0.14999847407452621"/>
      <name val="微軟正黑體"/>
      <family val="2"/>
      <charset val="136"/>
    </font>
    <font>
      <sz val="28"/>
      <color theme="0"/>
      <name val="微軟正黑體"/>
      <family val="2"/>
      <charset val="136"/>
    </font>
    <font>
      <sz val="12"/>
      <color rgb="FFFF0000"/>
      <name val="微軟正黑體"/>
      <family val="2"/>
      <charset val="136"/>
    </font>
    <font>
      <sz val="12"/>
      <color indexed="8"/>
      <name val="微軟正黑體"/>
      <family val="2"/>
      <charset val="136"/>
    </font>
    <font>
      <sz val="18"/>
      <color indexed="8"/>
      <name val="微軟正黑體"/>
      <family val="2"/>
      <charset val="136"/>
    </font>
    <font>
      <sz val="9"/>
      <color indexed="8"/>
      <name val="微軟正黑體"/>
      <family val="2"/>
      <charset val="136"/>
    </font>
    <font>
      <sz val="12"/>
      <color indexed="8"/>
      <name val="新細明體"/>
      <family val="1"/>
      <charset val="136"/>
    </font>
    <font>
      <sz val="28"/>
      <color rgb="FFFEC636"/>
      <name val="微軟正黑體"/>
      <family val="2"/>
      <charset val="136"/>
    </font>
    <font>
      <b/>
      <sz val="12"/>
      <name val="Calibri"/>
      <family val="2"/>
    </font>
    <font>
      <b/>
      <sz val="12"/>
      <color theme="0"/>
      <name val="微軟正黑體"/>
      <family val="2"/>
      <charset val="136"/>
    </font>
    <font>
      <b/>
      <sz val="12"/>
      <color indexed="8"/>
      <name val="微軟正黑體"/>
      <family val="2"/>
      <charset val="136"/>
    </font>
    <font>
      <sz val="10"/>
      <color theme="1"/>
      <name val="微軟正黑體"/>
      <family val="2"/>
      <charset val="136"/>
    </font>
    <font>
      <b/>
      <sz val="3"/>
      <name val="微軟正黑體"/>
      <family val="2"/>
      <charset val="136"/>
    </font>
    <font>
      <sz val="3"/>
      <color indexed="8"/>
      <name val="微軟正黑體"/>
      <family val="2"/>
      <charset val="136"/>
    </font>
    <font>
      <sz val="12"/>
      <color rgb="FF000000"/>
      <name val="新細明體"/>
      <family val="1"/>
      <charset val="136"/>
    </font>
    <font>
      <sz val="12"/>
      <color theme="0"/>
      <name val="微軟正黑體"/>
      <family val="2"/>
      <charset val="136"/>
    </font>
    <font>
      <sz val="9"/>
      <name val="細明體"/>
      <family val="3"/>
      <charset val="136"/>
    </font>
    <font>
      <sz val="2"/>
      <color indexed="8"/>
      <name val="微軟正黑體"/>
      <family val="2"/>
      <charset val="136"/>
    </font>
    <font>
      <sz val="8"/>
      <color theme="0"/>
      <name val="微軟正黑體"/>
      <family val="2"/>
      <charset val="136"/>
    </font>
    <font>
      <sz val="26"/>
      <color theme="0"/>
      <name val="微軟正黑體"/>
      <family val="2"/>
      <charset val="136"/>
    </font>
    <font>
      <sz val="12"/>
      <name val="Calibri"/>
      <family val="2"/>
      <charset val="136"/>
    </font>
    <font>
      <sz val="12"/>
      <name val="Calibri"/>
      <family val="2"/>
    </font>
    <font>
      <sz val="12"/>
      <name val="細明體"/>
      <family val="2"/>
      <charset val="136"/>
    </font>
    <font>
      <sz val="9"/>
      <color indexed="81"/>
      <name val="Tahoma"/>
      <family val="2"/>
    </font>
    <font>
      <b/>
      <sz val="9"/>
      <color indexed="81"/>
      <name val="Tahoma"/>
      <family val="2"/>
    </font>
    <font>
      <sz val="9"/>
      <color indexed="81"/>
      <name val="細明體"/>
      <family val="3"/>
      <charset val="136"/>
    </font>
  </fonts>
  <fills count="15">
    <fill>
      <patternFill patternType="none"/>
    </fill>
    <fill>
      <patternFill patternType="gray125"/>
    </fill>
    <fill>
      <patternFill patternType="solid">
        <fgColor theme="0" tint="-4.9989318521683403E-2"/>
        <bgColor indexed="64"/>
      </patternFill>
    </fill>
    <fill>
      <patternFill patternType="solid">
        <fgColor theme="0" tint="-4.9989318521683403E-2"/>
        <bgColor theme="2"/>
      </patternFill>
    </fill>
    <fill>
      <patternFill patternType="solid">
        <fgColor rgb="FF99CCFF"/>
        <bgColor indexed="64"/>
      </patternFill>
    </fill>
    <fill>
      <patternFill patternType="solid">
        <fgColor rgb="FF6699CC"/>
        <bgColor indexed="64"/>
      </patternFill>
    </fill>
    <fill>
      <patternFill patternType="solid">
        <fgColor theme="4"/>
        <bgColor indexed="64"/>
      </patternFill>
    </fill>
    <fill>
      <patternFill patternType="solid">
        <fgColor theme="4" tint="0.79998168889431442"/>
        <bgColor indexed="64"/>
      </patternFill>
    </fill>
    <fill>
      <patternFill patternType="solid">
        <fgColor rgb="FFFFC000"/>
        <bgColor indexed="64"/>
      </patternFill>
    </fill>
    <fill>
      <patternFill patternType="solid">
        <fgColor rgb="FFFF614C"/>
        <bgColor indexed="64"/>
      </patternFill>
    </fill>
    <fill>
      <patternFill patternType="solid">
        <fgColor rgb="FF003366"/>
        <bgColor indexed="64"/>
      </patternFill>
    </fill>
    <fill>
      <patternFill patternType="solid">
        <fgColor theme="4" tint="0.39997558519241921"/>
        <bgColor indexed="64"/>
      </patternFill>
    </fill>
    <fill>
      <patternFill patternType="solid">
        <fgColor rgb="FFFF0000"/>
        <bgColor indexed="64"/>
      </patternFill>
    </fill>
    <fill>
      <patternFill patternType="solid">
        <fgColor rgb="FFFFFF00"/>
        <bgColor indexed="64"/>
      </patternFill>
    </fill>
    <fill>
      <patternFill patternType="solid">
        <fgColor rgb="FFFFFF00"/>
        <bgColor theme="2"/>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style="dotted">
        <color indexed="64"/>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diagonal/>
    </border>
    <border>
      <left style="thin">
        <color indexed="64"/>
      </left>
      <right style="medium">
        <color indexed="64"/>
      </right>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s>
  <cellStyleXfs count="7">
    <xf numFmtId="0" fontId="0" fillId="0" borderId="0">
      <alignment vertical="center"/>
    </xf>
    <xf numFmtId="0" fontId="5" fillId="0" borderId="0">
      <alignment vertical="center"/>
    </xf>
    <xf numFmtId="0" fontId="5" fillId="0" borderId="0"/>
    <xf numFmtId="0" fontId="5" fillId="0" borderId="0">
      <alignment vertical="center"/>
    </xf>
    <xf numFmtId="0" fontId="13" fillId="0" borderId="0">
      <alignment vertical="center"/>
    </xf>
    <xf numFmtId="0" fontId="5" fillId="0" borderId="0">
      <alignment vertical="center"/>
    </xf>
    <xf numFmtId="0" fontId="5" fillId="0" borderId="0">
      <alignment vertical="center"/>
    </xf>
  </cellStyleXfs>
  <cellXfs count="199">
    <xf numFmtId="0" fontId="0" fillId="0" borderId="0" xfId="0">
      <alignment vertical="center"/>
    </xf>
    <xf numFmtId="0" fontId="3" fillId="3" borderId="1" xfId="0" applyFont="1" applyFill="1" applyBorder="1" applyAlignment="1">
      <alignment vertical="center" wrapText="1"/>
    </xf>
    <xf numFmtId="0" fontId="6" fillId="0" borderId="0" xfId="0" applyFont="1" applyAlignment="1">
      <alignment horizontal="center" vertical="center"/>
    </xf>
    <xf numFmtId="0" fontId="2" fillId="0" borderId="0" xfId="0" applyFont="1" applyAlignment="1">
      <alignment horizontal="center" vertical="center"/>
    </xf>
    <xf numFmtId="49" fontId="2" fillId="0" borderId="0" xfId="0" applyNumberFormat="1" applyFont="1" applyAlignment="1">
      <alignment horizontal="center" vertical="center" wrapText="1"/>
    </xf>
    <xf numFmtId="0" fontId="6" fillId="2" borderId="0" xfId="0" applyFont="1" applyFill="1">
      <alignment vertical="center"/>
    </xf>
    <xf numFmtId="0" fontId="10" fillId="0" borderId="0" xfId="3" applyFont="1" applyAlignment="1" applyProtection="1">
      <alignment vertical="center" wrapText="1"/>
      <protection locked="0"/>
    </xf>
    <xf numFmtId="0" fontId="12" fillId="0" borderId="0" xfId="3" applyFont="1" applyAlignment="1" applyProtection="1">
      <alignment vertical="center" wrapText="1"/>
      <protection locked="0"/>
    </xf>
    <xf numFmtId="0" fontId="6" fillId="11" borderId="1" xfId="0" applyFont="1" applyFill="1" applyBorder="1" applyAlignment="1">
      <alignment horizontal="center" vertical="center" wrapText="1"/>
    </xf>
    <xf numFmtId="0" fontId="6" fillId="0" borderId="1" xfId="0" applyFont="1" applyBorder="1" applyAlignment="1">
      <alignment horizontal="center" vertical="center" wrapText="1"/>
    </xf>
    <xf numFmtId="0" fontId="6" fillId="0" borderId="0" xfId="0" applyFont="1" applyAlignment="1">
      <alignment horizontal="center" vertical="center" wrapText="1"/>
    </xf>
    <xf numFmtId="0" fontId="2" fillId="0" borderId="0" xfId="0" applyFont="1" applyAlignment="1">
      <alignment horizontal="center" vertical="center" wrapText="1"/>
    </xf>
    <xf numFmtId="0" fontId="2" fillId="7" borderId="1" xfId="1" applyFont="1" applyFill="1" applyBorder="1" applyAlignment="1" applyProtection="1">
      <alignment horizontal="center" vertical="center" wrapText="1"/>
      <protection locked="0"/>
    </xf>
    <xf numFmtId="49" fontId="2" fillId="4" borderId="1" xfId="1" applyNumberFormat="1" applyFont="1" applyFill="1" applyBorder="1" applyAlignment="1" applyProtection="1">
      <alignment horizontal="center" vertical="center" wrapText="1"/>
      <protection locked="0"/>
    </xf>
    <xf numFmtId="49" fontId="2" fillId="7" borderId="1" xfId="1" applyNumberFormat="1" applyFont="1" applyFill="1" applyBorder="1" applyAlignment="1" applyProtection="1">
      <alignment horizontal="center" vertical="center" wrapText="1"/>
      <protection locked="0"/>
    </xf>
    <xf numFmtId="0" fontId="10" fillId="8" borderId="6" xfId="3" applyFont="1" applyFill="1" applyBorder="1" applyAlignment="1">
      <alignment horizontal="center" vertical="center" wrapText="1"/>
    </xf>
    <xf numFmtId="0" fontId="10" fillId="7" borderId="6" xfId="3" applyFont="1" applyFill="1" applyBorder="1" applyAlignment="1">
      <alignment horizontal="center" vertical="center" wrapText="1"/>
    </xf>
    <xf numFmtId="0" fontId="11" fillId="0" borderId="0" xfId="3" applyFont="1" applyAlignment="1" applyProtection="1">
      <alignment vertical="center" wrapText="1"/>
      <protection locked="0"/>
    </xf>
    <xf numFmtId="0" fontId="17" fillId="0" borderId="0" xfId="3" applyFont="1" applyAlignment="1" applyProtection="1">
      <alignment vertical="center" wrapText="1"/>
      <protection locked="0"/>
    </xf>
    <xf numFmtId="49" fontId="2" fillId="0" borderId="0" xfId="0" applyNumberFormat="1" applyFont="1" applyAlignment="1" applyProtection="1">
      <alignment vertical="center" wrapText="1"/>
      <protection locked="0"/>
    </xf>
    <xf numFmtId="49" fontId="2" fillId="0" borderId="0" xfId="0" applyNumberFormat="1" applyFont="1" applyAlignment="1">
      <alignment vertical="center" wrapText="1"/>
    </xf>
    <xf numFmtId="0" fontId="2" fillId="0" borderId="1" xfId="0" applyFont="1" applyBorder="1" applyAlignment="1">
      <alignment vertical="center" wrapText="1"/>
    </xf>
    <xf numFmtId="0" fontId="10" fillId="9" borderId="6" xfId="3" applyFont="1" applyFill="1" applyBorder="1" applyAlignment="1" applyProtection="1">
      <alignment horizontal="center" vertical="center" wrapText="1"/>
      <protection locked="0"/>
    </xf>
    <xf numFmtId="0" fontId="2" fillId="0" borderId="0" xfId="0" applyFont="1" applyAlignment="1" applyProtection="1">
      <alignment vertical="center" wrapText="1"/>
      <protection locked="0"/>
    </xf>
    <xf numFmtId="49" fontId="2" fillId="4" borderId="4" xfId="1" applyNumberFormat="1" applyFont="1" applyFill="1" applyBorder="1" applyAlignment="1" applyProtection="1">
      <alignment horizontal="center" vertical="center" wrapText="1"/>
      <protection locked="0"/>
    </xf>
    <xf numFmtId="49" fontId="2" fillId="6" borderId="8" xfId="0" applyNumberFormat="1" applyFont="1" applyFill="1" applyBorder="1" applyAlignment="1" applyProtection="1">
      <alignment horizontal="center" vertical="center" wrapText="1"/>
      <protection locked="0"/>
    </xf>
    <xf numFmtId="49" fontId="2" fillId="6" borderId="9" xfId="1" applyNumberFormat="1" applyFont="1" applyFill="1" applyBorder="1" applyAlignment="1" applyProtection="1">
      <alignment horizontal="center" vertical="center" wrapText="1"/>
      <protection locked="0"/>
    </xf>
    <xf numFmtId="0" fontId="3" fillId="7" borderId="1" xfId="1" applyFont="1" applyFill="1" applyBorder="1" applyAlignment="1" applyProtection="1">
      <alignment horizontal="center" vertical="center" wrapText="1"/>
      <protection locked="0"/>
    </xf>
    <xf numFmtId="0" fontId="10" fillId="7" borderId="6" xfId="3" applyFont="1" applyFill="1" applyBorder="1" applyAlignment="1" applyProtection="1">
      <alignment horizontal="right" vertical="center" wrapText="1"/>
      <protection locked="0"/>
    </xf>
    <xf numFmtId="0" fontId="10" fillId="8" borderId="6" xfId="3" applyFont="1" applyFill="1" applyBorder="1" applyAlignment="1" applyProtection="1">
      <alignment horizontal="left" vertical="center" wrapText="1"/>
      <protection locked="0"/>
    </xf>
    <xf numFmtId="0" fontId="10" fillId="9" borderId="6" xfId="3" applyFont="1" applyFill="1" applyBorder="1" applyAlignment="1" applyProtection="1">
      <alignment horizontal="left" vertical="center" wrapText="1"/>
      <protection locked="0"/>
    </xf>
    <xf numFmtId="49" fontId="19" fillId="0" borderId="1" xfId="1" applyNumberFormat="1" applyFont="1" applyBorder="1" applyAlignment="1" applyProtection="1">
      <alignment horizontal="center" vertical="center" wrapText="1"/>
      <protection locked="0"/>
    </xf>
    <xf numFmtId="0" fontId="19" fillId="0" borderId="1" xfId="1" applyFont="1" applyBorder="1" applyAlignment="1" applyProtection="1">
      <alignment horizontal="center" vertical="center" wrapText="1"/>
      <protection locked="0"/>
    </xf>
    <xf numFmtId="0" fontId="19" fillId="0" borderId="2" xfId="1" applyFont="1" applyBorder="1" applyAlignment="1" applyProtection="1">
      <alignment horizontal="center" vertical="center" wrapText="1"/>
      <protection locked="0"/>
    </xf>
    <xf numFmtId="49" fontId="19" fillId="0" borderId="2" xfId="1" applyNumberFormat="1" applyFont="1" applyBorder="1" applyAlignment="1" applyProtection="1">
      <alignment horizontal="center" vertical="center" wrapText="1"/>
      <protection locked="0"/>
    </xf>
    <xf numFmtId="0" fontId="20" fillId="0" borderId="0" xfId="3" applyFont="1" applyAlignment="1" applyProtection="1">
      <alignment vertical="center" wrapText="1"/>
      <protection locked="0"/>
    </xf>
    <xf numFmtId="0" fontId="10" fillId="0" borderId="0" xfId="3" applyFont="1" applyAlignment="1" applyProtection="1">
      <alignment horizontal="left" vertical="center" wrapText="1"/>
      <protection locked="0"/>
    </xf>
    <xf numFmtId="0" fontId="10" fillId="7" borderId="1" xfId="3" applyFont="1" applyFill="1" applyBorder="1" applyAlignment="1" applyProtection="1">
      <alignment horizontal="right" vertical="center" wrapText="1"/>
      <protection locked="0"/>
    </xf>
    <xf numFmtId="0" fontId="2" fillId="7" borderId="1" xfId="3" applyFont="1" applyFill="1" applyBorder="1" applyAlignment="1" applyProtection="1">
      <alignment horizontal="right" vertical="center" wrapText="1"/>
      <protection locked="0"/>
    </xf>
    <xf numFmtId="0" fontId="10" fillId="7" borderId="9" xfId="3" applyFont="1" applyFill="1" applyBorder="1" applyAlignment="1" applyProtection="1">
      <alignment horizontal="right" vertical="center" wrapText="1"/>
      <protection locked="0"/>
    </xf>
    <xf numFmtId="0" fontId="2" fillId="7" borderId="12" xfId="3" applyFont="1" applyFill="1" applyBorder="1" applyAlignment="1" applyProtection="1">
      <alignment horizontal="right" vertical="center" wrapText="1"/>
      <protection locked="0"/>
    </xf>
    <xf numFmtId="0" fontId="22" fillId="10" borderId="1" xfId="0" applyFont="1" applyFill="1" applyBorder="1" applyAlignment="1">
      <alignment horizontal="center" vertical="center"/>
    </xf>
    <xf numFmtId="0" fontId="22" fillId="10" borderId="1" xfId="0" applyFont="1" applyFill="1" applyBorder="1" applyAlignment="1">
      <alignment horizontal="center" vertical="center" wrapText="1"/>
    </xf>
    <xf numFmtId="0" fontId="22" fillId="10" borderId="1" xfId="1" applyFont="1" applyFill="1" applyBorder="1" applyAlignment="1" applyProtection="1">
      <alignment horizontal="center" vertical="center" wrapText="1"/>
      <protection locked="0"/>
    </xf>
    <xf numFmtId="0" fontId="6" fillId="0" borderId="1" xfId="0" applyFont="1" applyBorder="1" applyAlignment="1">
      <alignment horizontal="center" vertical="center"/>
    </xf>
    <xf numFmtId="0" fontId="6" fillId="0" borderId="1" xfId="0" applyFont="1" applyBorder="1" applyAlignment="1">
      <alignment horizontal="left" vertical="center" wrapText="1"/>
    </xf>
    <xf numFmtId="0" fontId="2" fillId="0" borderId="1" xfId="5" applyFont="1" applyBorder="1" applyAlignment="1" applyProtection="1">
      <alignment vertical="center" wrapText="1"/>
      <protection hidden="1"/>
    </xf>
    <xf numFmtId="0" fontId="2" fillId="0" borderId="1" xfId="0" applyFont="1" applyBorder="1" applyAlignment="1" applyProtection="1">
      <alignment vertical="center" wrapText="1"/>
      <protection hidden="1"/>
    </xf>
    <xf numFmtId="0" fontId="6" fillId="0" borderId="0" xfId="0" applyFont="1" applyAlignment="1">
      <alignment horizontal="left" vertical="center" wrapText="1"/>
    </xf>
    <xf numFmtId="0" fontId="2" fillId="0" borderId="1" xfId="0" applyFont="1" applyBorder="1" applyAlignment="1" applyProtection="1">
      <alignment vertical="center" wrapText="1"/>
      <protection locked="0" hidden="1"/>
    </xf>
    <xf numFmtId="0" fontId="2" fillId="0" borderId="0" xfId="0" applyFont="1" applyAlignment="1">
      <alignment horizontal="left" vertical="center" wrapText="1"/>
    </xf>
    <xf numFmtId="49" fontId="2" fillId="0" borderId="0" xfId="0" applyNumberFormat="1" applyFont="1" applyAlignment="1">
      <alignment horizontal="center" vertical="center"/>
    </xf>
    <xf numFmtId="0" fontId="24" fillId="0" borderId="1" xfId="3" applyFont="1" applyBorder="1" applyAlignment="1" applyProtection="1">
      <alignment vertical="center" wrapText="1"/>
      <protection locked="0"/>
    </xf>
    <xf numFmtId="0" fontId="24" fillId="0" borderId="2" xfId="3" applyFont="1" applyBorder="1" applyAlignment="1" applyProtection="1">
      <alignment vertical="center" wrapText="1"/>
      <protection locked="0"/>
    </xf>
    <xf numFmtId="0" fontId="2" fillId="0" borderId="1" xfId="0" applyFont="1" applyBorder="1" applyAlignment="1" applyProtection="1">
      <alignment horizontal="center" vertical="center" wrapText="1"/>
      <protection locked="0" hidden="1"/>
    </xf>
    <xf numFmtId="0" fontId="2" fillId="0" borderId="1" xfId="0" applyFont="1" applyBorder="1" applyAlignment="1" applyProtection="1">
      <alignment horizontal="left" vertical="center" wrapText="1"/>
      <protection locked="0" hidden="1"/>
    </xf>
    <xf numFmtId="0" fontId="2" fillId="7" borderId="1" xfId="0" applyFont="1" applyFill="1" applyBorder="1" applyAlignment="1" applyProtection="1">
      <alignment horizontal="center" vertical="center" wrapText="1"/>
      <protection hidden="1"/>
    </xf>
    <xf numFmtId="0" fontId="2" fillId="0" borderId="1" xfId="0" applyFont="1" applyBorder="1" applyAlignment="1">
      <alignment horizontal="left" vertical="center" wrapText="1"/>
    </xf>
    <xf numFmtId="0" fontId="2" fillId="0" borderId="8" xfId="0" applyFont="1" applyBorder="1" applyAlignment="1">
      <alignment vertical="center" wrapText="1"/>
    </xf>
    <xf numFmtId="0" fontId="2" fillId="7" borderId="8" xfId="0" applyFont="1" applyFill="1" applyBorder="1" applyAlignment="1" applyProtection="1">
      <alignment horizontal="center" vertical="center" wrapText="1"/>
      <protection hidden="1"/>
    </xf>
    <xf numFmtId="0" fontId="2" fillId="7" borderId="2" xfId="0" applyFont="1" applyFill="1" applyBorder="1" applyAlignment="1">
      <alignment horizontal="center" vertical="center" wrapText="1"/>
    </xf>
    <xf numFmtId="0" fontId="10" fillId="0" borderId="21" xfId="3" applyFont="1" applyBorder="1" applyAlignment="1" applyProtection="1">
      <alignment horizontal="left" vertical="center" wrapText="1"/>
      <protection locked="0"/>
    </xf>
    <xf numFmtId="0" fontId="2" fillId="0" borderId="1" xfId="1" applyFont="1" applyBorder="1" applyAlignment="1" applyProtection="1">
      <alignment vertical="center" wrapText="1"/>
      <protection hidden="1"/>
    </xf>
    <xf numFmtId="49" fontId="2" fillId="0" borderId="1" xfId="1" applyNumberFormat="1" applyFont="1" applyBorder="1" applyAlignment="1" applyProtection="1">
      <alignment horizontal="left" vertical="center" wrapText="1"/>
      <protection locked="0"/>
    </xf>
    <xf numFmtId="0" fontId="2" fillId="0" borderId="8" xfId="0" applyFont="1" applyBorder="1" applyAlignment="1" applyProtection="1">
      <alignment horizontal="center" vertical="center" wrapText="1"/>
      <protection locked="0" hidden="1"/>
    </xf>
    <xf numFmtId="0" fontId="2" fillId="0" borderId="8" xfId="0" applyFont="1" applyBorder="1" applyAlignment="1">
      <alignment horizontal="left" vertical="center" wrapText="1"/>
    </xf>
    <xf numFmtId="0" fontId="2" fillId="0" borderId="0" xfId="0" applyFont="1" applyAlignment="1" applyProtection="1">
      <alignment horizontal="left" vertical="center" wrapText="1"/>
      <protection locked="0"/>
    </xf>
    <xf numFmtId="0" fontId="2" fillId="0" borderId="0" xfId="0" applyFont="1" applyAlignment="1" applyProtection="1">
      <alignment horizontal="center" vertical="center" wrapText="1"/>
      <protection locked="0"/>
    </xf>
    <xf numFmtId="49" fontId="2" fillId="0" borderId="9" xfId="1" applyNumberFormat="1" applyFont="1" applyBorder="1" applyAlignment="1" applyProtection="1">
      <alignment horizontal="left" vertical="center" wrapText="1"/>
      <protection locked="0"/>
    </xf>
    <xf numFmtId="0" fontId="2" fillId="0" borderId="1" xfId="0" applyFont="1" applyBorder="1" applyAlignment="1" applyProtection="1">
      <alignment horizontal="left" vertical="center" wrapText="1"/>
      <protection locked="0"/>
    </xf>
    <xf numFmtId="0" fontId="2" fillId="0" borderId="1" xfId="0" applyFont="1" applyBorder="1" applyAlignment="1" applyProtection="1">
      <alignment horizontal="center" vertical="center" wrapText="1"/>
      <protection locked="0"/>
    </xf>
    <xf numFmtId="49" fontId="2" fillId="0" borderId="1" xfId="1" applyNumberFormat="1" applyFont="1" applyBorder="1" applyAlignment="1" applyProtection="1">
      <alignment horizontal="center" vertical="center" wrapText="1"/>
      <protection locked="0"/>
    </xf>
    <xf numFmtId="0" fontId="2" fillId="0" borderId="1" xfId="1" applyFont="1" applyBorder="1" applyAlignment="1" applyProtection="1">
      <alignment horizontal="center" vertical="center" wrapText="1"/>
      <protection locked="0"/>
    </xf>
    <xf numFmtId="0" fontId="2" fillId="0" borderId="1" xfId="1" applyFont="1" applyBorder="1" applyAlignment="1" applyProtection="1">
      <alignment horizontal="left" vertical="center" wrapText="1"/>
      <protection locked="0"/>
    </xf>
    <xf numFmtId="0" fontId="27" fillId="0" borderId="1" xfId="0" applyFont="1" applyBorder="1" applyAlignment="1" applyProtection="1">
      <alignment horizontal="left" vertical="center" wrapText="1"/>
      <protection locked="0"/>
    </xf>
    <xf numFmtId="0" fontId="28" fillId="0" borderId="1" xfId="0" applyFont="1" applyBorder="1" applyAlignment="1" applyProtection="1">
      <alignment horizontal="center" vertical="center" wrapText="1"/>
      <protection locked="0"/>
    </xf>
    <xf numFmtId="0" fontId="2" fillId="0" borderId="1" xfId="0" applyFont="1" applyBorder="1" applyAlignment="1" applyProtection="1">
      <alignment horizontal="center" vertical="center"/>
      <protection locked="0"/>
    </xf>
    <xf numFmtId="0" fontId="2" fillId="0" borderId="0" xfId="3" applyFont="1" applyAlignment="1" applyProtection="1">
      <alignment horizontal="left" vertical="center" wrapText="1"/>
      <protection locked="0"/>
    </xf>
    <xf numFmtId="0" fontId="26" fillId="5" borderId="0" xfId="0" applyFont="1" applyFill="1" applyAlignment="1">
      <alignment horizontal="left" vertical="center"/>
    </xf>
    <xf numFmtId="0" fontId="14" fillId="5" borderId="0" xfId="0" applyFont="1" applyFill="1" applyAlignment="1">
      <alignment horizontal="right" vertical="center" wrapText="1"/>
    </xf>
    <xf numFmtId="0" fontId="14" fillId="5" borderId="0" xfId="0" applyFont="1" applyFill="1" applyAlignment="1">
      <alignment horizontal="right" vertical="center"/>
    </xf>
    <xf numFmtId="0" fontId="8" fillId="5" borderId="0" xfId="0" applyFont="1" applyFill="1" applyAlignment="1">
      <alignment horizontal="right" vertical="center"/>
    </xf>
    <xf numFmtId="0" fontId="15" fillId="3" borderId="2" xfId="0" applyFont="1" applyFill="1" applyBorder="1" applyAlignment="1">
      <alignment horizontal="center" vertical="center"/>
    </xf>
    <xf numFmtId="0" fontId="15" fillId="3" borderId="3" xfId="0" applyFont="1" applyFill="1" applyBorder="1" applyAlignment="1">
      <alignment horizontal="center" vertical="center"/>
    </xf>
    <xf numFmtId="0" fontId="15" fillId="3" borderId="4" xfId="0" applyFont="1" applyFill="1" applyBorder="1" applyAlignment="1">
      <alignment horizontal="center" vertical="center"/>
    </xf>
    <xf numFmtId="49" fontId="3" fillId="3" borderId="2" xfId="0" applyNumberFormat="1" applyFont="1" applyFill="1" applyBorder="1" applyAlignment="1">
      <alignment horizontal="center" vertical="center"/>
    </xf>
    <xf numFmtId="49" fontId="3" fillId="3" borderId="3" xfId="0" applyNumberFormat="1" applyFont="1" applyFill="1" applyBorder="1" applyAlignment="1">
      <alignment horizontal="center" vertical="center"/>
    </xf>
    <xf numFmtId="49" fontId="3" fillId="3" borderId="4" xfId="0" applyNumberFormat="1" applyFont="1" applyFill="1" applyBorder="1" applyAlignment="1">
      <alignment horizontal="center" vertical="center"/>
    </xf>
    <xf numFmtId="0" fontId="25" fillId="10" borderId="0" xfId="0" applyFont="1" applyFill="1" applyAlignment="1">
      <alignment horizontal="center" vertical="center"/>
    </xf>
    <xf numFmtId="0" fontId="15" fillId="14" borderId="2" xfId="0" applyFont="1" applyFill="1" applyBorder="1" applyAlignment="1">
      <alignment horizontal="center" vertical="center"/>
    </xf>
    <xf numFmtId="0" fontId="15" fillId="14" borderId="3" xfId="0" applyFont="1" applyFill="1" applyBorder="1" applyAlignment="1">
      <alignment horizontal="center" vertical="center"/>
    </xf>
    <xf numFmtId="0" fontId="15" fillId="14" borderId="4" xfId="0" applyFont="1" applyFill="1" applyBorder="1" applyAlignment="1">
      <alignment horizontal="center" vertical="center"/>
    </xf>
    <xf numFmtId="176" fontId="15" fillId="3" borderId="2" xfId="0" applyNumberFormat="1" applyFont="1" applyFill="1" applyBorder="1" applyAlignment="1">
      <alignment horizontal="center" vertical="center"/>
    </xf>
    <xf numFmtId="176" fontId="15" fillId="3" borderId="3" xfId="0" applyNumberFormat="1" applyFont="1" applyFill="1" applyBorder="1" applyAlignment="1">
      <alignment horizontal="center" vertical="center"/>
    </xf>
    <xf numFmtId="176" fontId="15" fillId="3" borderId="4" xfId="0" applyNumberFormat="1" applyFont="1" applyFill="1" applyBorder="1" applyAlignment="1">
      <alignment horizontal="center" vertical="center"/>
    </xf>
    <xf numFmtId="0" fontId="7" fillId="4" borderId="0" xfId="0" applyFont="1" applyFill="1" applyAlignment="1">
      <alignment horizontal="left" vertical="center"/>
    </xf>
    <xf numFmtId="0" fontId="2" fillId="2" borderId="1" xfId="0" applyFont="1" applyFill="1" applyBorder="1" applyAlignment="1" applyProtection="1">
      <alignment horizontal="center" vertical="center" wrapText="1"/>
      <protection locked="0"/>
    </xf>
    <xf numFmtId="0" fontId="2" fillId="2" borderId="1" xfId="0" applyFont="1" applyFill="1" applyBorder="1" applyAlignment="1">
      <alignment horizontal="left" vertical="center" wrapText="1"/>
    </xf>
    <xf numFmtId="0" fontId="2" fillId="2" borderId="8" xfId="0" applyFont="1" applyFill="1" applyBorder="1" applyAlignment="1">
      <alignment horizontal="left" vertical="center" wrapText="1"/>
    </xf>
    <xf numFmtId="49" fontId="2" fillId="4" borderId="3" xfId="0" applyNumberFormat="1" applyFont="1" applyFill="1" applyBorder="1" applyAlignment="1" applyProtection="1">
      <alignment horizontal="center" vertical="center" wrapText="1"/>
      <protection locked="0"/>
    </xf>
    <xf numFmtId="49" fontId="2" fillId="4" borderId="4" xfId="0" applyNumberFormat="1" applyFont="1" applyFill="1" applyBorder="1" applyAlignment="1" applyProtection="1">
      <alignment horizontal="center" vertical="center" wrapText="1"/>
      <protection locked="0"/>
    </xf>
    <xf numFmtId="49" fontId="2" fillId="7" borderId="2" xfId="0" applyNumberFormat="1" applyFont="1" applyFill="1" applyBorder="1" applyAlignment="1" applyProtection="1">
      <alignment horizontal="center" vertical="center" wrapText="1"/>
      <protection locked="0"/>
    </xf>
    <xf numFmtId="49" fontId="2" fillId="7" borderId="3" xfId="0" applyNumberFormat="1" applyFont="1" applyFill="1" applyBorder="1" applyAlignment="1" applyProtection="1">
      <alignment horizontal="center" vertical="center" wrapText="1"/>
      <protection locked="0"/>
    </xf>
    <xf numFmtId="49" fontId="2" fillId="7" borderId="4" xfId="0" applyNumberFormat="1" applyFont="1" applyFill="1" applyBorder="1" applyAlignment="1" applyProtection="1">
      <alignment horizontal="center" vertical="center" wrapText="1"/>
      <protection locked="0"/>
    </xf>
    <xf numFmtId="0" fontId="6" fillId="0" borderId="14" xfId="0" applyFont="1" applyBorder="1" applyAlignment="1">
      <alignment horizontal="center" vertical="center"/>
    </xf>
    <xf numFmtId="0" fontId="6" fillId="0" borderId="0" xfId="0" applyFont="1" applyAlignment="1">
      <alignment horizontal="center" vertical="center" wrapText="1"/>
    </xf>
    <xf numFmtId="0" fontId="22" fillId="12" borderId="14" xfId="0" applyFont="1" applyFill="1" applyBorder="1" applyAlignment="1">
      <alignment horizontal="center" vertical="center"/>
    </xf>
    <xf numFmtId="0" fontId="16" fillId="10" borderId="0" xfId="0" applyFont="1" applyFill="1" applyAlignment="1">
      <alignment horizontal="left" vertical="center" wrapText="1"/>
    </xf>
    <xf numFmtId="0" fontId="16" fillId="10" borderId="7" xfId="0" applyFont="1" applyFill="1" applyBorder="1" applyAlignment="1">
      <alignment horizontal="left" vertical="center" wrapText="1"/>
    </xf>
    <xf numFmtId="0" fontId="10" fillId="0" borderId="5" xfId="3" applyFont="1" applyBorder="1" applyAlignment="1" applyProtection="1">
      <alignment vertical="center" wrapText="1"/>
      <protection locked="0"/>
    </xf>
    <xf numFmtId="0" fontId="10" fillId="0" borderId="10" xfId="3" applyFont="1" applyBorder="1" applyAlignment="1" applyProtection="1">
      <alignment vertical="center" wrapText="1"/>
      <protection locked="0"/>
    </xf>
    <xf numFmtId="0" fontId="10" fillId="0" borderId="22" xfId="3" applyFont="1" applyBorder="1" applyAlignment="1" applyProtection="1">
      <alignment vertical="center" wrapText="1"/>
      <protection locked="0"/>
    </xf>
    <xf numFmtId="0" fontId="2" fillId="0" borderId="5" xfId="3" applyFont="1" applyBorder="1" applyAlignment="1" applyProtection="1">
      <alignment vertical="center" wrapText="1"/>
      <protection locked="0"/>
    </xf>
    <xf numFmtId="0" fontId="2" fillId="0" borderId="10" xfId="3" applyFont="1" applyBorder="1" applyAlignment="1" applyProtection="1">
      <alignment vertical="center" wrapText="1"/>
      <protection locked="0"/>
    </xf>
    <xf numFmtId="0" fontId="2" fillId="0" borderId="22" xfId="3" applyFont="1" applyBorder="1" applyAlignment="1" applyProtection="1">
      <alignment vertical="center" wrapText="1"/>
      <protection locked="0"/>
    </xf>
    <xf numFmtId="0" fontId="2" fillId="0" borderId="13" xfId="3" applyFont="1" applyBorder="1" applyAlignment="1">
      <alignment horizontal="left" vertical="center" wrapText="1"/>
    </xf>
    <xf numFmtId="0" fontId="2" fillId="0" borderId="11" xfId="3" applyFont="1" applyBorder="1" applyAlignment="1">
      <alignment horizontal="left" vertical="center" wrapText="1"/>
    </xf>
    <xf numFmtId="0" fontId="2" fillId="0" borderId="23" xfId="3" applyFont="1" applyBorder="1" applyAlignment="1">
      <alignment horizontal="left" vertical="center" wrapText="1"/>
    </xf>
    <xf numFmtId="0" fontId="2" fillId="0" borderId="5" xfId="3" applyFont="1" applyBorder="1" applyAlignment="1">
      <alignment horizontal="left" vertical="center" wrapText="1"/>
    </xf>
    <xf numFmtId="0" fontId="2" fillId="0" borderId="10" xfId="3" applyFont="1" applyBorder="1" applyAlignment="1">
      <alignment horizontal="left" vertical="center" wrapText="1"/>
    </xf>
    <xf numFmtId="0" fontId="2" fillId="0" borderId="22" xfId="3" applyFont="1" applyBorder="1" applyAlignment="1">
      <alignment horizontal="left" vertical="center" wrapText="1"/>
    </xf>
    <xf numFmtId="0" fontId="2" fillId="13" borderId="5" xfId="3" applyFont="1" applyFill="1" applyBorder="1" applyAlignment="1" applyProtection="1">
      <alignment horizontal="left" vertical="center" wrapText="1"/>
      <protection locked="0"/>
    </xf>
    <xf numFmtId="0" fontId="2" fillId="13" borderId="10" xfId="3" applyFont="1" applyFill="1" applyBorder="1" applyAlignment="1" applyProtection="1">
      <alignment horizontal="left" vertical="center" wrapText="1"/>
      <protection locked="0"/>
    </xf>
    <xf numFmtId="0" fontId="2" fillId="13" borderId="22" xfId="3" applyFont="1" applyFill="1" applyBorder="1" applyAlignment="1" applyProtection="1">
      <alignment horizontal="left" vertical="center" wrapText="1"/>
      <protection locked="0"/>
    </xf>
    <xf numFmtId="0" fontId="2" fillId="0" borderId="24" xfId="3" applyFont="1" applyBorder="1" applyAlignment="1" applyProtection="1">
      <alignment vertical="center" wrapText="1"/>
      <protection locked="0"/>
    </xf>
    <xf numFmtId="0" fontId="2" fillId="0" borderId="25" xfId="3" applyFont="1" applyBorder="1" applyAlignment="1" applyProtection="1">
      <alignment vertical="center" wrapText="1"/>
      <protection locked="0"/>
    </xf>
    <xf numFmtId="0" fontId="2" fillId="0" borderId="26" xfId="3" applyFont="1" applyBorder="1" applyAlignment="1" applyProtection="1">
      <alignment vertical="center" wrapText="1"/>
      <protection locked="0"/>
    </xf>
    <xf numFmtId="0" fontId="2" fillId="0" borderId="19" xfId="5" applyFont="1" applyBorder="1" applyAlignment="1" applyProtection="1">
      <alignment horizontal="left" vertical="center" wrapText="1"/>
      <protection hidden="1"/>
    </xf>
    <xf numFmtId="0" fontId="2" fillId="0" borderId="15" xfId="5" applyFont="1" applyBorder="1" applyAlignment="1" applyProtection="1">
      <alignment horizontal="left" vertical="center" wrapText="1"/>
      <protection hidden="1"/>
    </xf>
    <xf numFmtId="0" fontId="2" fillId="0" borderId="16" xfId="5" applyFont="1" applyBorder="1" applyAlignment="1" applyProtection="1">
      <alignment horizontal="left" vertical="center" wrapText="1"/>
      <protection hidden="1"/>
    </xf>
    <xf numFmtId="0" fontId="2" fillId="0" borderId="4" xfId="0" applyFont="1" applyBorder="1" applyAlignment="1" applyProtection="1">
      <alignment horizontal="left" vertical="center" wrapText="1"/>
      <protection hidden="1"/>
    </xf>
    <xf numFmtId="0" fontId="2" fillId="0" borderId="1" xfId="0" applyFont="1" applyBorder="1" applyAlignment="1" applyProtection="1">
      <alignment horizontal="left" vertical="center" wrapText="1"/>
      <protection hidden="1"/>
    </xf>
    <xf numFmtId="0" fontId="22" fillId="0" borderId="20" xfId="5" applyFont="1" applyBorder="1" applyAlignment="1" applyProtection="1">
      <alignment horizontal="left" vertical="center" wrapText="1"/>
      <protection hidden="1"/>
    </xf>
    <xf numFmtId="0" fontId="22" fillId="0" borderId="0" xfId="5" applyFont="1" applyAlignment="1" applyProtection="1">
      <alignment horizontal="left" vertical="center" wrapText="1"/>
      <protection hidden="1"/>
    </xf>
    <xf numFmtId="0" fontId="22" fillId="0" borderId="7" xfId="5" applyFont="1" applyBorder="1" applyAlignment="1" applyProtection="1">
      <alignment horizontal="left" vertical="center" wrapText="1"/>
      <protection hidden="1"/>
    </xf>
    <xf numFmtId="0" fontId="2" fillId="0" borderId="4" xfId="6" applyFont="1" applyBorder="1" applyAlignment="1" applyProtection="1">
      <alignment horizontal="left" vertical="center" wrapText="1"/>
      <protection hidden="1"/>
    </xf>
    <xf numFmtId="0" fontId="2" fillId="0" borderId="1" xfId="6" applyFont="1" applyBorder="1" applyAlignment="1" applyProtection="1">
      <alignment horizontal="left" vertical="center" wrapText="1"/>
      <protection hidden="1"/>
    </xf>
    <xf numFmtId="0" fontId="22" fillId="0" borderId="20" xfId="0" applyFont="1" applyBorder="1" applyAlignment="1" applyProtection="1">
      <alignment horizontal="left" vertical="center" wrapText="1"/>
      <protection hidden="1"/>
    </xf>
    <xf numFmtId="0" fontId="22" fillId="0" borderId="0" xfId="0" applyFont="1" applyAlignment="1" applyProtection="1">
      <alignment horizontal="left" vertical="center" wrapText="1"/>
      <protection hidden="1"/>
    </xf>
    <xf numFmtId="0" fontId="22" fillId="0" borderId="7" xfId="0" applyFont="1" applyBorder="1" applyAlignment="1" applyProtection="1">
      <alignment horizontal="left" vertical="center" wrapText="1"/>
      <protection hidden="1"/>
    </xf>
    <xf numFmtId="0" fontId="22" fillId="0" borderId="18" xfId="0" applyFont="1" applyBorder="1" applyAlignment="1" applyProtection="1">
      <alignment horizontal="left" vertical="center" wrapText="1"/>
      <protection hidden="1"/>
    </xf>
    <xf numFmtId="0" fontId="22" fillId="0" borderId="14" xfId="0" applyFont="1" applyBorder="1" applyAlignment="1" applyProtection="1">
      <alignment horizontal="left" vertical="center" wrapText="1"/>
      <protection hidden="1"/>
    </xf>
    <xf numFmtId="0" fontId="22" fillId="0" borderId="17" xfId="0" applyFont="1" applyBorder="1" applyAlignment="1" applyProtection="1">
      <alignment horizontal="left" vertical="center" wrapText="1"/>
      <protection hidden="1"/>
    </xf>
    <xf numFmtId="0" fontId="2" fillId="0" borderId="3" xfId="0" applyFont="1" applyBorder="1" applyAlignment="1" applyProtection="1">
      <alignment horizontal="left" vertical="center" wrapText="1"/>
      <protection hidden="1"/>
    </xf>
    <xf numFmtId="0" fontId="2" fillId="0" borderId="20" xfId="0" applyFont="1" applyBorder="1" applyAlignment="1" applyProtection="1">
      <alignment horizontal="left" vertical="center" wrapText="1"/>
      <protection hidden="1"/>
    </xf>
    <xf numFmtId="0" fontId="2" fillId="0" borderId="0" xfId="0" applyFont="1" applyAlignment="1" applyProtection="1">
      <alignment horizontal="left" vertical="center" wrapText="1"/>
      <protection hidden="1"/>
    </xf>
    <xf numFmtId="0" fontId="2" fillId="0" borderId="7" xfId="0" applyFont="1" applyBorder="1" applyAlignment="1" applyProtection="1">
      <alignment horizontal="left" vertical="center" wrapText="1"/>
      <protection hidden="1"/>
    </xf>
    <xf numFmtId="0" fontId="11" fillId="0" borderId="0" xfId="3" applyFont="1" applyAlignment="1" applyProtection="1">
      <alignment horizontal="center" vertical="center" wrapText="1"/>
      <protection locked="0"/>
    </xf>
    <xf numFmtId="0" fontId="2" fillId="0" borderId="19" xfId="0" applyFont="1" applyBorder="1" applyAlignment="1" applyProtection="1">
      <alignment horizontal="left" vertical="center" wrapText="1"/>
      <protection hidden="1"/>
    </xf>
    <xf numFmtId="0" fontId="2" fillId="0" borderId="15" xfId="0" applyFont="1" applyBorder="1" applyAlignment="1" applyProtection="1">
      <alignment horizontal="left" vertical="center" wrapText="1"/>
      <protection hidden="1"/>
    </xf>
    <xf numFmtId="0" fontId="2" fillId="0" borderId="16" xfId="0" applyFont="1" applyBorder="1" applyAlignment="1" applyProtection="1">
      <alignment horizontal="left" vertical="center" wrapText="1"/>
      <protection hidden="1"/>
    </xf>
    <xf numFmtId="0" fontId="3" fillId="7" borderId="2" xfId="1" applyFont="1" applyFill="1" applyBorder="1" applyAlignment="1" applyProtection="1">
      <alignment horizontal="center" vertical="center" wrapText="1"/>
      <protection locked="0"/>
    </xf>
    <xf numFmtId="0" fontId="3" fillId="7" borderId="3" xfId="1" applyFont="1" applyFill="1" applyBorder="1" applyAlignment="1" applyProtection="1">
      <alignment horizontal="center" vertical="center" wrapText="1"/>
      <protection locked="0"/>
    </xf>
    <xf numFmtId="0" fontId="3" fillId="7" borderId="4" xfId="1" applyFont="1" applyFill="1" applyBorder="1" applyAlignment="1" applyProtection="1">
      <alignment horizontal="center" vertical="center" wrapText="1"/>
      <protection locked="0"/>
    </xf>
    <xf numFmtId="0" fontId="2" fillId="0" borderId="4" xfId="1" applyFont="1" applyBorder="1" applyAlignment="1" applyProtection="1">
      <alignment horizontal="left" vertical="center" wrapText="1"/>
      <protection hidden="1"/>
    </xf>
    <xf numFmtId="0" fontId="2" fillId="0" borderId="1" xfId="1" applyFont="1" applyBorder="1" applyAlignment="1" applyProtection="1">
      <alignment horizontal="left" vertical="center" wrapText="1"/>
      <protection hidden="1"/>
    </xf>
    <xf numFmtId="0" fontId="2" fillId="0" borderId="20" xfId="0" applyFont="1" applyBorder="1" applyAlignment="1" applyProtection="1">
      <alignment horizontal="left" vertical="center" wrapText="1"/>
      <protection locked="0" hidden="1"/>
    </xf>
    <xf numFmtId="0" fontId="2" fillId="0" borderId="0" xfId="0" applyFont="1" applyAlignment="1" applyProtection="1">
      <alignment horizontal="left" vertical="center" wrapText="1"/>
      <protection locked="0" hidden="1"/>
    </xf>
    <xf numFmtId="0" fontId="2" fillId="0" borderId="7" xfId="0" applyFont="1" applyBorder="1" applyAlignment="1" applyProtection="1">
      <alignment horizontal="left" vertical="center" wrapText="1"/>
      <protection locked="0" hidden="1"/>
    </xf>
    <xf numFmtId="0" fontId="2" fillId="0" borderId="19" xfId="0" applyFont="1" applyBorder="1" applyAlignment="1" applyProtection="1">
      <alignment horizontal="left" vertical="center" wrapText="1"/>
      <protection locked="0" hidden="1"/>
    </xf>
    <xf numFmtId="0" fontId="2" fillId="0" borderId="15" xfId="0" applyFont="1" applyBorder="1" applyAlignment="1" applyProtection="1">
      <alignment horizontal="left" vertical="center" wrapText="1"/>
      <protection locked="0" hidden="1"/>
    </xf>
    <xf numFmtId="0" fontId="2" fillId="0" borderId="16" xfId="0" applyFont="1" applyBorder="1" applyAlignment="1" applyProtection="1">
      <alignment horizontal="left" vertical="center" wrapText="1"/>
      <protection locked="0" hidden="1"/>
    </xf>
    <xf numFmtId="0" fontId="2" fillId="0" borderId="19" xfId="0" applyFont="1" applyBorder="1" applyAlignment="1">
      <alignment horizontal="left" vertical="center" wrapText="1"/>
    </xf>
    <xf numFmtId="0" fontId="2" fillId="0" borderId="15" xfId="0" applyFont="1" applyBorder="1" applyAlignment="1">
      <alignment horizontal="left" vertical="center" wrapText="1"/>
    </xf>
    <xf numFmtId="0" fontId="2" fillId="0" borderId="16" xfId="0" applyFont="1" applyBorder="1" applyAlignment="1">
      <alignment horizontal="left" vertical="center" wrapText="1"/>
    </xf>
    <xf numFmtId="0" fontId="22" fillId="0" borderId="18" xfId="0" applyFont="1" applyBorder="1" applyAlignment="1">
      <alignment horizontal="left" vertical="center" wrapText="1"/>
    </xf>
    <xf numFmtId="0" fontId="22" fillId="0" borderId="14" xfId="0" applyFont="1" applyBorder="1" applyAlignment="1">
      <alignment horizontal="left" vertical="center" wrapText="1"/>
    </xf>
    <xf numFmtId="0" fontId="22" fillId="0" borderId="17" xfId="0" applyFont="1" applyBorder="1" applyAlignment="1">
      <alignment horizontal="left" vertical="center" wrapText="1"/>
    </xf>
    <xf numFmtId="0" fontId="2" fillId="0" borderId="4" xfId="0" applyFont="1" applyBorder="1" applyAlignment="1" applyProtection="1">
      <alignment horizontal="left" vertical="center" wrapText="1"/>
      <protection locked="0"/>
    </xf>
    <xf numFmtId="0" fontId="2" fillId="0" borderId="1" xfId="0" applyFont="1" applyBorder="1" applyAlignment="1" applyProtection="1">
      <alignment horizontal="left" vertical="center" wrapText="1"/>
      <protection locked="0"/>
    </xf>
    <xf numFmtId="0" fontId="2" fillId="0" borderId="20" xfId="0" applyFont="1" applyBorder="1" applyAlignment="1">
      <alignment horizontal="left" vertical="center" wrapText="1"/>
    </xf>
    <xf numFmtId="0" fontId="2" fillId="0" borderId="0" xfId="0" applyFont="1" applyAlignment="1">
      <alignment horizontal="left" vertical="center" wrapText="1"/>
    </xf>
    <xf numFmtId="0" fontId="2" fillId="0" borderId="7" xfId="0" applyFont="1" applyBorder="1" applyAlignment="1">
      <alignment horizontal="left" vertical="center" wrapText="1"/>
    </xf>
    <xf numFmtId="0" fontId="2" fillId="0" borderId="8" xfId="0" applyFont="1" applyBorder="1" applyAlignment="1" applyProtection="1">
      <alignment horizontal="left" vertical="center" wrapText="1"/>
      <protection hidden="1"/>
    </xf>
    <xf numFmtId="0" fontId="2" fillId="0" borderId="20" xfId="1" applyFont="1" applyBorder="1" applyAlignment="1" applyProtection="1">
      <alignment horizontal="left" vertical="center" wrapText="1"/>
      <protection hidden="1"/>
    </xf>
    <xf numFmtId="0" fontId="2" fillId="0" borderId="0" xfId="1" applyFont="1" applyAlignment="1" applyProtection="1">
      <alignment horizontal="left" vertical="center" wrapText="1"/>
      <protection hidden="1"/>
    </xf>
    <xf numFmtId="0" fontId="2" fillId="0" borderId="7" xfId="1" applyFont="1" applyBorder="1" applyAlignment="1" applyProtection="1">
      <alignment horizontal="left" vertical="center" wrapText="1"/>
      <protection hidden="1"/>
    </xf>
    <xf numFmtId="0" fontId="22" fillId="0" borderId="20" xfId="1" applyFont="1" applyBorder="1" applyAlignment="1" applyProtection="1">
      <alignment horizontal="left" vertical="center" wrapText="1"/>
      <protection hidden="1"/>
    </xf>
    <xf numFmtId="0" fontId="22" fillId="0" borderId="0" xfId="1" applyFont="1" applyAlignment="1" applyProtection="1">
      <alignment horizontal="left" vertical="center" wrapText="1"/>
      <protection hidden="1"/>
    </xf>
    <xf numFmtId="0" fontId="22" fillId="0" borderId="7" xfId="1" applyFont="1" applyBorder="1" applyAlignment="1" applyProtection="1">
      <alignment horizontal="left" vertical="center" wrapText="1"/>
      <protection hidden="1"/>
    </xf>
    <xf numFmtId="0" fontId="2" fillId="0" borderId="2" xfId="0" applyFont="1" applyBorder="1" applyAlignment="1" applyProtection="1">
      <alignment horizontal="left" vertical="center" wrapText="1"/>
      <protection locked="0" hidden="1"/>
    </xf>
    <xf numFmtId="0" fontId="2" fillId="0" borderId="3" xfId="0" applyFont="1" applyBorder="1" applyAlignment="1" applyProtection="1">
      <alignment horizontal="left" vertical="center" wrapText="1"/>
      <protection locked="0" hidden="1"/>
    </xf>
    <xf numFmtId="0" fontId="2" fillId="0" borderId="4" xfId="0" applyFont="1" applyBorder="1" applyAlignment="1" applyProtection="1">
      <alignment horizontal="left" vertical="center" wrapText="1"/>
      <protection locked="0" hidden="1"/>
    </xf>
    <xf numFmtId="0" fontId="2" fillId="0" borderId="2" xfId="0" applyFont="1" applyBorder="1" applyAlignment="1" applyProtection="1">
      <alignment horizontal="left" vertical="center" wrapText="1"/>
      <protection locked="0"/>
    </xf>
    <xf numFmtId="0" fontId="2" fillId="0" borderId="3" xfId="0" applyFont="1" applyBorder="1" applyAlignment="1" applyProtection="1">
      <alignment horizontal="left" vertical="center" wrapText="1"/>
      <protection locked="0"/>
    </xf>
    <xf numFmtId="0" fontId="2" fillId="0" borderId="19" xfId="1" applyFont="1" applyBorder="1" applyAlignment="1" applyProtection="1">
      <alignment horizontal="left" vertical="center" wrapText="1"/>
      <protection hidden="1"/>
    </xf>
    <xf numFmtId="0" fontId="2" fillId="0" borderId="15" xfId="1" applyFont="1" applyBorder="1" applyAlignment="1" applyProtection="1">
      <alignment horizontal="left" vertical="center" wrapText="1"/>
      <protection hidden="1"/>
    </xf>
    <xf numFmtId="0" fontId="2" fillId="0" borderId="16" xfId="1" applyFont="1" applyBorder="1" applyAlignment="1" applyProtection="1">
      <alignment horizontal="left" vertical="center" wrapText="1"/>
      <protection hidden="1"/>
    </xf>
    <xf numFmtId="0" fontId="22" fillId="0" borderId="18" xfId="1" applyFont="1" applyBorder="1" applyAlignment="1" applyProtection="1">
      <alignment horizontal="left" vertical="center" wrapText="1"/>
      <protection hidden="1"/>
    </xf>
    <xf numFmtId="0" fontId="22" fillId="0" borderId="14" xfId="1" applyFont="1" applyBorder="1" applyAlignment="1" applyProtection="1">
      <alignment horizontal="left" vertical="center" wrapText="1"/>
      <protection hidden="1"/>
    </xf>
    <xf numFmtId="0" fontId="22" fillId="0" borderId="17" xfId="1" applyFont="1" applyBorder="1" applyAlignment="1" applyProtection="1">
      <alignment horizontal="left" vertical="center" wrapText="1"/>
      <protection hidden="1"/>
    </xf>
    <xf numFmtId="0" fontId="2" fillId="0" borderId="18" xfId="1" applyFont="1" applyBorder="1" applyAlignment="1" applyProtection="1">
      <alignment horizontal="left" vertical="center" wrapText="1"/>
      <protection hidden="1"/>
    </xf>
    <xf numFmtId="0" fontId="2" fillId="0" borderId="14" xfId="1" applyFont="1" applyBorder="1" applyAlignment="1" applyProtection="1">
      <alignment horizontal="left" vertical="center" wrapText="1"/>
      <protection hidden="1"/>
    </xf>
    <xf numFmtId="0" fontId="2" fillId="0" borderId="17" xfId="1" applyFont="1" applyBorder="1" applyAlignment="1" applyProtection="1">
      <alignment horizontal="left" vertical="center" wrapText="1"/>
      <protection hidden="1"/>
    </xf>
    <xf numFmtId="0" fontId="2" fillId="13" borderId="1" xfId="0" applyFont="1" applyFill="1" applyBorder="1" applyAlignment="1" applyProtection="1">
      <alignment horizontal="left" vertical="center" wrapText="1"/>
      <protection locked="0"/>
    </xf>
    <xf numFmtId="0" fontId="2" fillId="13" borderId="1" xfId="1" applyFont="1" applyFill="1" applyBorder="1" applyAlignment="1" applyProtection="1">
      <alignment horizontal="left" vertical="center" wrapText="1"/>
      <protection locked="0"/>
    </xf>
    <xf numFmtId="0" fontId="2" fillId="13" borderId="1" xfId="0" applyFont="1" applyFill="1" applyBorder="1" applyAlignment="1" applyProtection="1">
      <alignment horizontal="left" vertical="center" wrapText="1"/>
      <protection locked="0" hidden="1"/>
    </xf>
    <xf numFmtId="0" fontId="2" fillId="13" borderId="1" xfId="0" applyFont="1" applyFill="1" applyBorder="1" applyAlignment="1" applyProtection="1">
      <alignment vertical="center" wrapText="1"/>
      <protection locked="0" hidden="1"/>
    </xf>
    <xf numFmtId="0" fontId="2" fillId="13" borderId="1" xfId="0" applyFont="1" applyFill="1" applyBorder="1" applyAlignment="1">
      <alignment vertical="center" wrapText="1"/>
    </xf>
  </cellXfs>
  <cellStyles count="7">
    <cellStyle name="一般" xfId="0" builtinId="0"/>
    <cellStyle name="一般 2" xfId="2" xr:uid="{00000000-0005-0000-0000-000001000000}"/>
    <cellStyle name="一般 3" xfId="3" xr:uid="{00000000-0005-0000-0000-000002000000}"/>
    <cellStyle name="一般 4" xfId="4" xr:uid="{00000000-0005-0000-0000-000003000000}"/>
    <cellStyle name="一般_Asset &amp; RA彙總表_050822" xfId="1" xr:uid="{00000000-0005-0000-0000-000004000000}"/>
    <cellStyle name="一般_資訊資產清單KHL-W-P-003-001-A0-PWC_I-DC-D006 威脅與弱點評估表_v0.23" xfId="5" xr:uid="{00000000-0005-0000-0000-000005000000}"/>
    <cellStyle name="一般_資訊資產清單KHL-W-P-003-001-A0-PWC_I-DC-D006 威脅與弱點評估表_v0.23_資料類資產_風險評鑑_Jane" xfId="6" xr:uid="{00000000-0005-0000-0000-000006000000}"/>
  </cellStyles>
  <dxfs count="0"/>
  <tableStyles count="0" defaultTableStyle="TableStyleMedium2" defaultPivotStyle="PivotStyleLight16"/>
  <colors>
    <mruColors>
      <color rgb="FFFF614C"/>
      <color rgb="FF99CCFF"/>
      <color rgb="FFFEC636"/>
      <color rgb="FF6BCBC5"/>
      <color rgb="FF6699CC"/>
      <color rgb="FF003366"/>
      <color rgb="FF85509D"/>
      <color rgb="FFE1D4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xdr:col>
      <xdr:colOff>0</xdr:colOff>
      <xdr:row>0</xdr:row>
      <xdr:rowOff>19049</xdr:rowOff>
    </xdr:from>
    <xdr:to>
      <xdr:col>10</xdr:col>
      <xdr:colOff>9525</xdr:colOff>
      <xdr:row>1</xdr:row>
      <xdr:rowOff>28575</xdr:rowOff>
    </xdr:to>
    <xdr:sp macro="" textlink="">
      <xdr:nvSpPr>
        <xdr:cNvPr id="3" name="Text Box 1">
          <a:extLst>
            <a:ext uri="{FF2B5EF4-FFF2-40B4-BE49-F238E27FC236}">
              <a16:creationId xmlns:a16="http://schemas.microsoft.com/office/drawing/2014/main" id="{00000000-0008-0000-0000-000003000000}"/>
            </a:ext>
          </a:extLst>
        </xdr:cNvPr>
        <xdr:cNvSpPr txBox="1">
          <a:spLocks noChangeArrowheads="1"/>
        </xdr:cNvSpPr>
      </xdr:nvSpPr>
      <xdr:spPr bwMode="auto">
        <a:xfrm>
          <a:off x="685800" y="19049"/>
          <a:ext cx="6572250" cy="219076"/>
        </a:xfrm>
        <a:prstGeom prst="rect">
          <a:avLst/>
        </a:prstGeom>
        <a:solidFill>
          <a:srgbClr val="003366"/>
        </a:solidFill>
        <a:ln>
          <a:noFill/>
        </a:ln>
        <a:effectLst/>
      </xdr:spPr>
      <xdr:txBody>
        <a:bodyPr vertOverflow="clip" wrap="square" lIns="219456" tIns="219456" rIns="219456" bIns="219456" anchor="t" upright="1"/>
        <a:lstStyle/>
        <a:p>
          <a:pPr algn="l" rtl="0">
            <a:lnSpc>
              <a:spcPts val="12100"/>
            </a:lnSpc>
            <a:defRPr sz="1000"/>
          </a:pPr>
          <a:endParaRPr lang="zh-TW" altLang="en-US" sz="9000" b="0" i="0" u="none" strike="noStrike" baseline="0">
            <a:solidFill>
              <a:srgbClr val="FFFFFF"/>
            </a:solidFill>
            <a:latin typeface="Microsoft JhengHei UI"/>
            <a:ea typeface="Microsoft JhengHei UI"/>
          </a:endParaRPr>
        </a:p>
        <a:p>
          <a:pPr algn="l" rtl="0">
            <a:lnSpc>
              <a:spcPts val="12100"/>
            </a:lnSpc>
            <a:defRPr sz="1000"/>
          </a:pPr>
          <a:endParaRPr lang="zh-TW" altLang="en-US" sz="9000" b="0" i="0" u="none" strike="noStrike" baseline="0">
            <a:solidFill>
              <a:srgbClr val="FFFFFF"/>
            </a:solidFill>
            <a:latin typeface="Microsoft JhengHei UI"/>
            <a:ea typeface="Microsoft JhengHei UI"/>
          </a:endParaRPr>
        </a:p>
      </xdr:txBody>
    </xdr:sp>
    <xdr:clientData/>
  </xdr:twoCellAnchor>
  <xdr:twoCellAnchor editAs="oneCell">
    <xdr:from>
      <xdr:col>10</xdr:col>
      <xdr:colOff>0</xdr:colOff>
      <xdr:row>0</xdr:row>
      <xdr:rowOff>0</xdr:rowOff>
    </xdr:from>
    <xdr:to>
      <xdr:col>11</xdr:col>
      <xdr:colOff>101169</xdr:colOff>
      <xdr:row>1</xdr:row>
      <xdr:rowOff>98713</xdr:rowOff>
    </xdr:to>
    <xdr:pic>
      <xdr:nvPicPr>
        <xdr:cNvPr id="5" name="圖片 4">
          <a:extLst>
            <a:ext uri="{FF2B5EF4-FFF2-40B4-BE49-F238E27FC236}">
              <a16:creationId xmlns:a16="http://schemas.microsoft.com/office/drawing/2014/main" id="{00000000-0008-0000-0000-000005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91216" y="0"/>
          <a:ext cx="715319" cy="2948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469900</xdr:colOff>
          <xdr:row>14</xdr:row>
          <xdr:rowOff>95250</xdr:rowOff>
        </xdr:from>
        <xdr:to>
          <xdr:col>16</xdr:col>
          <xdr:colOff>469900</xdr:colOff>
          <xdr:row>16</xdr:row>
          <xdr:rowOff>184150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200" b="0" i="0" u="none" strike="noStrike" baseline="0">
                  <a:solidFill>
                    <a:srgbClr val="000000"/>
                  </a:solidFill>
                  <a:latin typeface="新細明體"/>
                  <a:ea typeface="新細明體"/>
                </a:rPr>
                <a:t>完成後請按</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146050</xdr:rowOff>
        </xdr:from>
        <xdr:to>
          <xdr:col>11</xdr:col>
          <xdr:colOff>419100</xdr:colOff>
          <xdr:row>1</xdr:row>
          <xdr:rowOff>304800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200" b="0" i="0" u="none" strike="noStrike" baseline="0">
                  <a:solidFill>
                    <a:srgbClr val="000000"/>
                  </a:solidFill>
                  <a:latin typeface="新細明體"/>
                  <a:ea typeface="新細明體"/>
                </a:rPr>
                <a:t>CIA關聯校驗</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20</xdr:col>
      <xdr:colOff>688881</xdr:colOff>
      <xdr:row>35</xdr:row>
      <xdr:rowOff>177458</xdr:rowOff>
    </xdr:from>
    <xdr:ext cx="65" cy="172227"/>
    <xdr:sp macro="" textlink="">
      <xdr:nvSpPr>
        <xdr:cNvPr id="2" name="文字方塊 1">
          <a:extLst>
            <a:ext uri="{FF2B5EF4-FFF2-40B4-BE49-F238E27FC236}">
              <a16:creationId xmlns:a16="http://schemas.microsoft.com/office/drawing/2014/main" id="{00000000-0008-0000-0300-000002000000}"/>
            </a:ext>
          </a:extLst>
        </xdr:cNvPr>
        <xdr:cNvSpPr txBox="1"/>
      </xdr:nvSpPr>
      <xdr:spPr>
        <a:xfrm>
          <a:off x="7811835" y="341852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zh-TW" altLang="en-US" sz="1100"/>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20</xdr:col>
      <xdr:colOff>688881</xdr:colOff>
      <xdr:row>35</xdr:row>
      <xdr:rowOff>177458</xdr:rowOff>
    </xdr:from>
    <xdr:ext cx="65" cy="172227"/>
    <xdr:sp macro="" textlink="">
      <xdr:nvSpPr>
        <xdr:cNvPr id="2" name="文字方塊 1">
          <a:extLst>
            <a:ext uri="{FF2B5EF4-FFF2-40B4-BE49-F238E27FC236}">
              <a16:creationId xmlns:a16="http://schemas.microsoft.com/office/drawing/2014/main" id="{00000000-0008-0000-0400-000002000000}"/>
            </a:ext>
          </a:extLst>
        </xdr:cNvPr>
        <xdr:cNvSpPr txBox="1"/>
      </xdr:nvSpPr>
      <xdr:spPr>
        <a:xfrm>
          <a:off x="8527956" y="13055258"/>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zh-TW" altLang="en-US" sz="1100"/>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20</xdr:col>
      <xdr:colOff>688881</xdr:colOff>
      <xdr:row>35</xdr:row>
      <xdr:rowOff>177458</xdr:rowOff>
    </xdr:from>
    <xdr:ext cx="65" cy="172227"/>
    <xdr:sp macro="" textlink="">
      <xdr:nvSpPr>
        <xdr:cNvPr id="2" name="文字方塊 1">
          <a:extLst>
            <a:ext uri="{FF2B5EF4-FFF2-40B4-BE49-F238E27FC236}">
              <a16:creationId xmlns:a16="http://schemas.microsoft.com/office/drawing/2014/main" id="{00000000-0008-0000-0500-000002000000}"/>
            </a:ext>
          </a:extLst>
        </xdr:cNvPr>
        <xdr:cNvSpPr txBox="1"/>
      </xdr:nvSpPr>
      <xdr:spPr>
        <a:xfrm>
          <a:off x="8527956" y="13055258"/>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zh-TW" altLang="en-US" sz="1100"/>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20</xdr:col>
      <xdr:colOff>688881</xdr:colOff>
      <xdr:row>35</xdr:row>
      <xdr:rowOff>177458</xdr:rowOff>
    </xdr:from>
    <xdr:ext cx="65" cy="172227"/>
    <xdr:sp macro="" textlink="">
      <xdr:nvSpPr>
        <xdr:cNvPr id="2" name="文字方塊 1">
          <a:extLst>
            <a:ext uri="{FF2B5EF4-FFF2-40B4-BE49-F238E27FC236}">
              <a16:creationId xmlns:a16="http://schemas.microsoft.com/office/drawing/2014/main" id="{00000000-0008-0000-0600-000002000000}"/>
            </a:ext>
          </a:extLst>
        </xdr:cNvPr>
        <xdr:cNvSpPr txBox="1"/>
      </xdr:nvSpPr>
      <xdr:spPr>
        <a:xfrm>
          <a:off x="8527956" y="13055258"/>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zh-TW" altLang="en-US" sz="1100"/>
        </a:p>
      </xdr:txBody>
    </xdr:sp>
    <xdr:clientData/>
  </xdr:oneCellAnchor>
</xdr:wsDr>
</file>

<file path=xl/drawings/drawing8.xml><?xml version="1.0" encoding="utf-8"?>
<xdr:wsDr xmlns:xdr="http://schemas.openxmlformats.org/drawingml/2006/spreadsheetDrawing" xmlns:a="http://schemas.openxmlformats.org/drawingml/2006/main">
  <xdr:oneCellAnchor>
    <xdr:from>
      <xdr:col>20</xdr:col>
      <xdr:colOff>688881</xdr:colOff>
      <xdr:row>35</xdr:row>
      <xdr:rowOff>177458</xdr:rowOff>
    </xdr:from>
    <xdr:ext cx="65" cy="172227"/>
    <xdr:sp macro="" textlink="">
      <xdr:nvSpPr>
        <xdr:cNvPr id="2" name="文字方塊 1">
          <a:extLst>
            <a:ext uri="{FF2B5EF4-FFF2-40B4-BE49-F238E27FC236}">
              <a16:creationId xmlns:a16="http://schemas.microsoft.com/office/drawing/2014/main" id="{00000000-0008-0000-0700-000002000000}"/>
            </a:ext>
          </a:extLst>
        </xdr:cNvPr>
        <xdr:cNvSpPr txBox="1"/>
      </xdr:nvSpPr>
      <xdr:spPr>
        <a:xfrm>
          <a:off x="8527956" y="13055258"/>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zh-TW" altLang="en-US" sz="1100"/>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24037;&#20316;&#38917;&#30446;\FY105\&#39135;&#21697;&#30740;&#31350;&#25152;\&#39135;&#21697;&#30740;&#31350;&#25152;-&#39080;&#38570;&#35413;&#37969;\&#22521;&#33775;&#31684;&#20363;\20150707\20150707\RA\&#39080;&#38570;&#35413;&#37969;_&#20154;&#21729;&#39006;_2015070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38568;&#36523;&#30879;backup(101.7.26)\&#28450;&#27665;&#31185;&#25216;\RA\&#36575;&#39636;&#39006;&#36039;&#29986;.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資產清單資訊"/>
      <sheetName val="人員資產群組清單"/>
      <sheetName val="人員風險_PE_01"/>
      <sheetName val="人員風險_PE_03"/>
      <sheetName val="人員風險_PE_10"/>
      <sheetName val="人員風險_PE_11"/>
      <sheetName val="人員風險_PE_13"/>
      <sheetName val="人員風險_PE_12"/>
      <sheetName val="人員風險_PE_14"/>
      <sheetName val="人員風險_PE_15"/>
      <sheetName val="人員風險_16"/>
      <sheetName val="人員風險_PE_17"/>
      <sheetName val="人員風險_PE_18"/>
      <sheetName val="人員風險_PE_21"/>
      <sheetName val="人員風險_PE_22"/>
      <sheetName val="人員風險_PE_23"/>
      <sheetName val="人員風險_PE_25"/>
      <sheetName val="人員風險_PE_28"/>
      <sheetName val="人員風險_PE_36"/>
      <sheetName val="Ref"/>
      <sheetName val="工作表1"/>
    </sheetNames>
    <sheetDataSet>
      <sheetData sheetId="0">
        <row r="4">
          <cell r="D4" t="str">
            <v>漢民</v>
          </cell>
        </row>
      </sheetData>
      <sheetData sheetId="1">
        <row r="10">
          <cell r="D10" t="str">
            <v>(01) 管理階層</v>
          </cell>
        </row>
        <row r="11">
          <cell r="D11" t="str">
            <v>(06) Service Desk 人員</v>
          </cell>
        </row>
        <row r="12">
          <cell r="D12" t="str">
            <v>(06) Service Desk 人員</v>
          </cell>
        </row>
        <row r="13">
          <cell r="D13" t="str">
            <v>(06) Service Desk 人員</v>
          </cell>
        </row>
        <row r="14">
          <cell r="D14" t="str">
            <v>(06) Service Desk 人員</v>
          </cell>
        </row>
        <row r="15">
          <cell r="D15" t="str">
            <v>(06) Service Desk 人員</v>
          </cell>
        </row>
        <row r="16">
          <cell r="D16" t="str">
            <v>(06) Service Desk 人員</v>
          </cell>
        </row>
        <row r="17">
          <cell r="D17" t="str">
            <v>(06) Service Desk 人員</v>
          </cell>
        </row>
        <row r="18">
          <cell r="D18" t="str">
            <v>(06) Service Desk 人員</v>
          </cell>
        </row>
        <row r="19">
          <cell r="D19" t="str">
            <v>(05) 專案Leader</v>
          </cell>
        </row>
        <row r="20">
          <cell r="D20" t="str">
            <v>(03) MIS人員</v>
          </cell>
        </row>
        <row r="21">
          <cell r="D21" t="str">
            <v>(03) MIS人員</v>
          </cell>
        </row>
        <row r="22">
          <cell r="D22" t="str">
            <v>(05) 專案Leader</v>
          </cell>
        </row>
        <row r="23">
          <cell r="D23" t="str">
            <v>(03) MIS人員</v>
          </cell>
        </row>
        <row r="24">
          <cell r="D24" t="str">
            <v>(03) MIS人員</v>
          </cell>
        </row>
        <row r="25">
          <cell r="D25" t="str">
            <v>(03) MIS人員</v>
          </cell>
        </row>
        <row r="26">
          <cell r="D26" t="str">
            <v>(06) Service Desk 人員</v>
          </cell>
        </row>
        <row r="27">
          <cell r="D27" t="str">
            <v>(03) MIS人員</v>
          </cell>
        </row>
        <row r="28">
          <cell r="D28" t="str">
            <v>(05) 專案Leader</v>
          </cell>
        </row>
        <row r="29">
          <cell r="D29" t="str">
            <v>(03) MIS人員</v>
          </cell>
        </row>
        <row r="30">
          <cell r="D30" t="str">
            <v>(03) MIS人員</v>
          </cell>
        </row>
        <row r="31">
          <cell r="D31" t="str">
            <v>(03) MIS人員</v>
          </cell>
        </row>
        <row r="32">
          <cell r="D32" t="str">
            <v>(03) MIS人員</v>
          </cell>
        </row>
        <row r="33">
          <cell r="D33" t="str">
            <v>(03) MIS人員</v>
          </cell>
        </row>
        <row r="34">
          <cell r="D34" t="str">
            <v>(09) 合作夥伴(供應鏈上下游)</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3">
          <cell r="C3" t="str">
            <v>(01) 管理階層</v>
          </cell>
          <cell r="D3">
            <v>1</v>
          </cell>
          <cell r="M3">
            <v>1</v>
          </cell>
          <cell r="P3">
            <v>1</v>
          </cell>
          <cell r="S3">
            <v>1</v>
          </cell>
          <cell r="V3">
            <v>1</v>
          </cell>
          <cell r="Y3">
            <v>1</v>
          </cell>
          <cell r="AB3">
            <v>1</v>
          </cell>
          <cell r="AE3" t="str">
            <v>Y</v>
          </cell>
        </row>
        <row r="4">
          <cell r="C4" t="str">
            <v>(02) 研發人員</v>
          </cell>
          <cell r="D4">
            <v>0</v>
          </cell>
          <cell r="M4">
            <v>2</v>
          </cell>
          <cell r="P4">
            <v>2</v>
          </cell>
          <cell r="S4">
            <v>2</v>
          </cell>
          <cell r="V4">
            <v>2</v>
          </cell>
          <cell r="Y4">
            <v>2</v>
          </cell>
          <cell r="AB4">
            <v>2</v>
          </cell>
          <cell r="AE4" t="str">
            <v>N</v>
          </cell>
        </row>
        <row r="5">
          <cell r="C5" t="str">
            <v>(03) MIS人員</v>
          </cell>
          <cell r="D5">
            <v>11</v>
          </cell>
          <cell r="M5">
            <v>3</v>
          </cell>
          <cell r="P5">
            <v>3</v>
          </cell>
          <cell r="S5">
            <v>3</v>
          </cell>
          <cell r="V5">
            <v>3</v>
          </cell>
          <cell r="Y5">
            <v>3</v>
          </cell>
          <cell r="AB5">
            <v>3</v>
          </cell>
        </row>
        <row r="6">
          <cell r="C6" t="str">
            <v>(04) 工讀生</v>
          </cell>
          <cell r="D6">
            <v>0</v>
          </cell>
          <cell r="M6">
            <v>4</v>
          </cell>
          <cell r="P6">
            <v>4</v>
          </cell>
          <cell r="S6">
            <v>4</v>
          </cell>
          <cell r="V6">
            <v>4</v>
          </cell>
          <cell r="Y6">
            <v>4</v>
          </cell>
          <cell r="AB6">
            <v>4</v>
          </cell>
        </row>
        <row r="7">
          <cell r="C7" t="str">
            <v>(05) 專案Leader</v>
          </cell>
          <cell r="D7">
            <v>0</v>
          </cell>
        </row>
        <row r="8">
          <cell r="C8" t="str">
            <v>(06) Service Desk 人員</v>
          </cell>
          <cell r="D8">
            <v>1</v>
          </cell>
        </row>
        <row r="9">
          <cell r="C9" t="str">
            <v>(07) 駐點人員</v>
          </cell>
          <cell r="D9">
            <v>0</v>
          </cell>
        </row>
        <row r="10">
          <cell r="C10" t="str">
            <v>(08) 清潔人員</v>
          </cell>
          <cell r="D10">
            <v>0</v>
          </cell>
        </row>
        <row r="11">
          <cell r="C11" t="str">
            <v>(09) 合作夥伴(供應鏈上下游)</v>
          </cell>
          <cell r="D11">
            <v>0</v>
          </cell>
        </row>
        <row r="12">
          <cell r="C12" t="str">
            <v>(05) 聘僱人員</v>
          </cell>
          <cell r="D12">
            <v>0</v>
          </cell>
        </row>
      </sheetData>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資產清單資訊"/>
      <sheetName val="軟體資產群組清單"/>
      <sheetName val="軟體風險_SW_01"/>
      <sheetName val="軟體風險_SW_02"/>
      <sheetName val="Ref"/>
    </sheetNames>
    <sheetDataSet>
      <sheetData sheetId="0"/>
      <sheetData sheetId="1">
        <row r="11">
          <cell r="A11" t="str">
            <v>SW-01</v>
          </cell>
          <cell r="B11" t="str">
            <v>05</v>
          </cell>
          <cell r="C11" t="str">
            <v>01</v>
          </cell>
          <cell r="D11" t="str">
            <v>(05) 套裝軟體</v>
          </cell>
          <cell r="E11" t="str">
            <v>oracle</v>
          </cell>
          <cell r="J11">
            <v>4</v>
          </cell>
          <cell r="L11">
            <v>1</v>
          </cell>
          <cell r="N11">
            <v>2</v>
          </cell>
          <cell r="P11">
            <v>3</v>
          </cell>
          <cell r="R11">
            <v>4</v>
          </cell>
        </row>
        <row r="12">
          <cell r="A12" t="str">
            <v>SW-02</v>
          </cell>
          <cell r="B12" t="str">
            <v>03</v>
          </cell>
          <cell r="C12" t="str">
            <v>02</v>
          </cell>
          <cell r="D12" t="str">
            <v>(03) 資料庫</v>
          </cell>
          <cell r="E12" t="str">
            <v>人員資料庫</v>
          </cell>
          <cell r="G12" t="str">
            <v>機房</v>
          </cell>
          <cell r="J12">
            <v>4</v>
          </cell>
          <cell r="L12">
            <v>4</v>
          </cell>
          <cell r="N12">
            <v>4</v>
          </cell>
          <cell r="P12">
            <v>4</v>
          </cell>
          <cell r="R12">
            <v>4</v>
          </cell>
        </row>
        <row r="13">
          <cell r="A13" t="str">
            <v>SW-03</v>
          </cell>
          <cell r="B13" t="str">
            <v>01</v>
          </cell>
          <cell r="C13" t="str">
            <v>03</v>
          </cell>
          <cell r="D13" t="str">
            <v>(01) 應用系統</v>
          </cell>
          <cell r="E13" t="str">
            <v>官網</v>
          </cell>
          <cell r="F13" t="str">
            <v>自行開發</v>
          </cell>
          <cell r="G13" t="str">
            <v>機房</v>
          </cell>
          <cell r="R13">
            <v>0</v>
          </cell>
        </row>
        <row r="14">
          <cell r="A14" t="str">
            <v>SW-04</v>
          </cell>
          <cell r="B14" t="str">
            <v>01</v>
          </cell>
          <cell r="C14" t="str">
            <v>04</v>
          </cell>
          <cell r="D14" t="str">
            <v>(01) 應用系統</v>
          </cell>
          <cell r="E14" t="str">
            <v>人事系統</v>
          </cell>
          <cell r="F14" t="str">
            <v>委外開發</v>
          </cell>
          <cell r="G14" t="str">
            <v>機房</v>
          </cell>
          <cell r="R14">
            <v>0</v>
          </cell>
        </row>
        <row r="15">
          <cell r="A15" t="str">
            <v>未輸入</v>
          </cell>
          <cell r="B15" t="str">
            <v/>
          </cell>
          <cell r="R15">
            <v>0</v>
          </cell>
        </row>
        <row r="16">
          <cell r="A16" t="str">
            <v>未輸入</v>
          </cell>
          <cell r="B16" t="str">
            <v/>
          </cell>
          <cell r="R16">
            <v>0</v>
          </cell>
        </row>
        <row r="17">
          <cell r="A17" t="str">
            <v>未輸入</v>
          </cell>
          <cell r="B17" t="str">
            <v/>
          </cell>
          <cell r="R17">
            <v>0</v>
          </cell>
        </row>
        <row r="18">
          <cell r="A18" t="str">
            <v>未輸入</v>
          </cell>
          <cell r="B18" t="str">
            <v/>
          </cell>
          <cell r="R18">
            <v>0</v>
          </cell>
        </row>
        <row r="19">
          <cell r="A19" t="str">
            <v>未輸入</v>
          </cell>
          <cell r="B19" t="str">
            <v/>
          </cell>
          <cell r="R19">
            <v>0</v>
          </cell>
        </row>
        <row r="20">
          <cell r="A20" t="str">
            <v>未輸入</v>
          </cell>
          <cell r="B20" t="str">
            <v/>
          </cell>
          <cell r="R20">
            <v>0</v>
          </cell>
        </row>
        <row r="21">
          <cell r="A21" t="str">
            <v>未輸入</v>
          </cell>
          <cell r="B21" t="str">
            <v/>
          </cell>
          <cell r="R21">
            <v>0</v>
          </cell>
        </row>
        <row r="22">
          <cell r="A22" t="str">
            <v>未輸入</v>
          </cell>
          <cell r="B22" t="str">
            <v/>
          </cell>
          <cell r="R22">
            <v>0</v>
          </cell>
        </row>
        <row r="23">
          <cell r="A23" t="str">
            <v>未輸入</v>
          </cell>
          <cell r="B23" t="str">
            <v/>
          </cell>
          <cell r="R23">
            <v>0</v>
          </cell>
        </row>
        <row r="24">
          <cell r="A24" t="str">
            <v>未輸入</v>
          </cell>
          <cell r="B24" t="str">
            <v/>
          </cell>
          <cell r="R24">
            <v>0</v>
          </cell>
        </row>
        <row r="25">
          <cell r="A25" t="str">
            <v>未輸入</v>
          </cell>
          <cell r="B25" t="str">
            <v/>
          </cell>
          <cell r="R25">
            <v>0</v>
          </cell>
        </row>
        <row r="26">
          <cell r="A26" t="str">
            <v>未輸入</v>
          </cell>
          <cell r="R26">
            <v>0</v>
          </cell>
        </row>
        <row r="27">
          <cell r="A27" t="str">
            <v>未輸入</v>
          </cell>
          <cell r="R27">
            <v>0</v>
          </cell>
        </row>
        <row r="28">
          <cell r="A28" t="str">
            <v>未輸入</v>
          </cell>
          <cell r="R28">
            <v>0</v>
          </cell>
        </row>
        <row r="29">
          <cell r="A29" t="str">
            <v>未輸入</v>
          </cell>
          <cell r="R29">
            <v>0</v>
          </cell>
        </row>
        <row r="30">
          <cell r="A30" t="str">
            <v>未輸入</v>
          </cell>
          <cell r="R30">
            <v>0</v>
          </cell>
        </row>
        <row r="31">
          <cell r="A31" t="str">
            <v>未輸入</v>
          </cell>
          <cell r="R31">
            <v>0</v>
          </cell>
        </row>
        <row r="32">
          <cell r="A32" t="str">
            <v>未輸入</v>
          </cell>
          <cell r="R32">
            <v>0</v>
          </cell>
        </row>
        <row r="33">
          <cell r="A33" t="str">
            <v>未輸入</v>
          </cell>
          <cell r="R33">
            <v>0</v>
          </cell>
        </row>
        <row r="34">
          <cell r="A34" t="str">
            <v>未輸入</v>
          </cell>
          <cell r="R34">
            <v>0</v>
          </cell>
        </row>
        <row r="35">
          <cell r="A35" t="str">
            <v>未輸入</v>
          </cell>
          <cell r="R35">
            <v>0</v>
          </cell>
        </row>
        <row r="36">
          <cell r="A36" t="str">
            <v>未輸入</v>
          </cell>
          <cell r="R36">
            <v>0</v>
          </cell>
        </row>
        <row r="37">
          <cell r="A37" t="str">
            <v>未輸入</v>
          </cell>
          <cell r="R37">
            <v>0</v>
          </cell>
        </row>
        <row r="38">
          <cell r="A38" t="str">
            <v>未輸入</v>
          </cell>
          <cell r="R38">
            <v>0</v>
          </cell>
        </row>
        <row r="39">
          <cell r="A39" t="str">
            <v>未輸入</v>
          </cell>
          <cell r="R39">
            <v>0</v>
          </cell>
        </row>
        <row r="40">
          <cell r="A40" t="str">
            <v>未輸入</v>
          </cell>
          <cell r="R40">
            <v>0</v>
          </cell>
        </row>
        <row r="41">
          <cell r="A41" t="str">
            <v>未輸入</v>
          </cell>
          <cell r="R41">
            <v>0</v>
          </cell>
        </row>
        <row r="42">
          <cell r="A42" t="str">
            <v>未輸入</v>
          </cell>
          <cell r="R42">
            <v>0</v>
          </cell>
        </row>
        <row r="43">
          <cell r="A43" t="str">
            <v>未輸入</v>
          </cell>
          <cell r="R43">
            <v>0</v>
          </cell>
        </row>
        <row r="44">
          <cell r="A44" t="str">
            <v>未輸入</v>
          </cell>
          <cell r="R44">
            <v>0</v>
          </cell>
        </row>
        <row r="45">
          <cell r="A45" t="str">
            <v>未輸入</v>
          </cell>
          <cell r="R45">
            <v>0</v>
          </cell>
        </row>
        <row r="46">
          <cell r="A46" t="str">
            <v>未輸入</v>
          </cell>
          <cell r="R46">
            <v>0</v>
          </cell>
        </row>
        <row r="47">
          <cell r="A47" t="str">
            <v>未輸入</v>
          </cell>
          <cell r="R47">
            <v>0</v>
          </cell>
        </row>
        <row r="48">
          <cell r="A48" t="str">
            <v>未輸入</v>
          </cell>
          <cell r="R48">
            <v>0</v>
          </cell>
        </row>
        <row r="49">
          <cell r="A49" t="str">
            <v>未輸入</v>
          </cell>
          <cell r="R49">
            <v>0</v>
          </cell>
        </row>
        <row r="50">
          <cell r="A50" t="str">
            <v>未輸入</v>
          </cell>
          <cell r="R50">
            <v>0</v>
          </cell>
        </row>
      </sheetData>
      <sheetData sheetId="2"/>
      <sheetData sheetId="3"/>
      <sheetData sheetId="4">
        <row r="3">
          <cell r="C3" t="str">
            <v>(01) 應用系統</v>
          </cell>
        </row>
      </sheetData>
    </sheetDataSet>
  </externalBook>
</externalLink>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tabColor theme="4"/>
  </sheetPr>
  <dimension ref="B3:J15"/>
  <sheetViews>
    <sheetView topLeftCell="A7" zoomScale="80" zoomScaleNormal="80" workbookViewId="0">
      <selection activeCell="I18" sqref="H18:I18"/>
    </sheetView>
  </sheetViews>
  <sheetFormatPr defaultColWidth="9" defaultRowHeight="15.5"/>
  <cols>
    <col min="1" max="1" width="9" style="5"/>
    <col min="2" max="2" width="14.08984375" style="5" customWidth="1"/>
    <col min="3" max="16384" width="9" style="5"/>
  </cols>
  <sheetData>
    <row r="3" spans="2:10" ht="63.5" customHeight="1">
      <c r="B3" s="78" t="s">
        <v>174</v>
      </c>
      <c r="C3" s="78"/>
      <c r="D3" s="78"/>
      <c r="E3" s="78"/>
      <c r="F3" s="78"/>
      <c r="G3" s="78"/>
      <c r="H3" s="78"/>
      <c r="I3" s="78"/>
      <c r="J3" s="78"/>
    </row>
    <row r="4" spans="2:10" ht="78.75" customHeight="1">
      <c r="B4" s="79" t="s">
        <v>32</v>
      </c>
      <c r="C4" s="80"/>
      <c r="D4" s="80"/>
      <c r="E4" s="80"/>
      <c r="F4" s="80"/>
      <c r="G4" s="80"/>
      <c r="H4" s="80"/>
      <c r="I4" s="80"/>
      <c r="J4" s="80"/>
    </row>
    <row r="5" spans="2:10" ht="78.75" customHeight="1">
      <c r="B5" s="81" t="s">
        <v>30</v>
      </c>
      <c r="C5" s="81"/>
      <c r="D5" s="81"/>
      <c r="E5" s="81"/>
      <c r="F5" s="81"/>
      <c r="G5" s="81"/>
      <c r="H5" s="81"/>
      <c r="I5" s="81"/>
      <c r="J5" s="81"/>
    </row>
    <row r="7" spans="2:10" ht="98.5" customHeight="1">
      <c r="B7" s="95" t="s">
        <v>76</v>
      </c>
      <c r="C7" s="95"/>
      <c r="D7" s="95"/>
      <c r="E7" s="95"/>
      <c r="F7" s="95"/>
      <c r="G7" s="95"/>
      <c r="H7" s="95"/>
      <c r="I7" s="95"/>
      <c r="J7" s="95"/>
    </row>
    <row r="9" spans="2:10" ht="16.649999999999999" hidden="1" customHeight="1">
      <c r="B9" s="1" t="s">
        <v>43</v>
      </c>
      <c r="C9" s="82"/>
      <c r="D9" s="83"/>
      <c r="E9" s="83"/>
      <c r="F9" s="83"/>
      <c r="G9" s="83"/>
      <c r="H9" s="83"/>
      <c r="I9" s="83"/>
      <c r="J9" s="84"/>
    </row>
    <row r="10" spans="2:10" ht="16">
      <c r="B10" s="1" t="s">
        <v>44</v>
      </c>
      <c r="C10" s="85" t="s">
        <v>175</v>
      </c>
      <c r="D10" s="86"/>
      <c r="E10" s="86"/>
      <c r="F10" s="86"/>
      <c r="G10" s="86"/>
      <c r="H10" s="86"/>
      <c r="I10" s="86"/>
      <c r="J10" s="87"/>
    </row>
    <row r="11" spans="2:10" ht="16">
      <c r="B11" s="1" t="s">
        <v>45</v>
      </c>
      <c r="C11" s="89" t="s">
        <v>230</v>
      </c>
      <c r="D11" s="90"/>
      <c r="E11" s="90"/>
      <c r="F11" s="90"/>
      <c r="G11" s="90"/>
      <c r="H11" s="90"/>
      <c r="I11" s="90"/>
      <c r="J11" s="91"/>
    </row>
    <row r="12" spans="2:10" ht="16">
      <c r="B12" s="1" t="s">
        <v>0</v>
      </c>
      <c r="C12" s="92">
        <v>1</v>
      </c>
      <c r="D12" s="93"/>
      <c r="E12" s="93"/>
      <c r="F12" s="93"/>
      <c r="G12" s="93"/>
      <c r="H12" s="93"/>
      <c r="I12" s="93"/>
      <c r="J12" s="94"/>
    </row>
    <row r="13" spans="2:10" ht="16">
      <c r="B13" s="1" t="s">
        <v>1</v>
      </c>
      <c r="C13" s="82" t="s">
        <v>33</v>
      </c>
      <c r="D13" s="83"/>
      <c r="E13" s="83"/>
      <c r="F13" s="83"/>
      <c r="G13" s="83"/>
      <c r="H13" s="83"/>
      <c r="I13" s="83"/>
      <c r="J13" s="84"/>
    </row>
    <row r="15" spans="2:10">
      <c r="B15" s="88" t="s">
        <v>173</v>
      </c>
      <c r="C15" s="88"/>
      <c r="D15" s="88"/>
      <c r="E15" s="88"/>
      <c r="F15" s="88"/>
      <c r="G15" s="88"/>
      <c r="H15" s="88"/>
      <c r="I15" s="88"/>
      <c r="J15" s="88"/>
    </row>
  </sheetData>
  <mergeCells count="10">
    <mergeCell ref="B15:J15"/>
    <mergeCell ref="C11:J11"/>
    <mergeCell ref="C12:J12"/>
    <mergeCell ref="C13:J13"/>
    <mergeCell ref="B7:J7"/>
    <mergeCell ref="B3:J3"/>
    <mergeCell ref="B4:J4"/>
    <mergeCell ref="B5:J5"/>
    <mergeCell ref="C9:J9"/>
    <mergeCell ref="C10:J10"/>
  </mergeCells>
  <phoneticPr fontId="1" type="noConversion"/>
  <dataValidations count="1">
    <dataValidation type="list" allowBlank="1" showInputMessage="1" showErrorMessage="1" sqref="C13:J13" xr:uid="{00000000-0002-0000-0000-000000000000}">
      <formula1>"一般,限閱級,密級,機密級"</formula1>
    </dataValidation>
  </dataValidations>
  <pageMargins left="1.9685039370078741" right="0.70866141732283472" top="0.74803149606299213" bottom="0.74803149606299213" header="0.31496062992125984" footer="0.31496062992125984"/>
  <pageSetup paperSize="9"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tabColor theme="9" tint="-0.249977111117893"/>
    <pageSetUpPr fitToPage="1"/>
  </sheetPr>
  <dimension ref="A1:Q14"/>
  <sheetViews>
    <sheetView tabSelected="1" zoomScale="85" zoomScaleNormal="85" workbookViewId="0">
      <pane xSplit="2" ySplit="9" topLeftCell="C10" activePane="bottomRight" state="frozen"/>
      <selection pane="topRight" activeCell="C1" sqref="C1"/>
      <selection pane="bottomLeft" activeCell="A10" sqref="A10"/>
      <selection pane="bottomRight" activeCell="F11" sqref="F11"/>
    </sheetView>
  </sheetViews>
  <sheetFormatPr defaultColWidth="9" defaultRowHeight="15.5"/>
  <cols>
    <col min="1" max="1" width="12.7265625" style="23" customWidth="1"/>
    <col min="2" max="2" width="17.08984375" style="23" hidden="1" customWidth="1"/>
    <col min="3" max="3" width="16.7265625" style="23" customWidth="1"/>
    <col min="4" max="4" width="18.90625" style="23" customWidth="1"/>
    <col min="5" max="6" width="12.26953125" style="23" customWidth="1"/>
    <col min="7" max="7" width="8.7265625" style="67" customWidth="1"/>
    <col min="8" max="8" width="6.26953125" style="23" customWidth="1"/>
    <col min="9" max="9" width="13.36328125" style="23" customWidth="1"/>
    <col min="10" max="10" width="6.26953125" style="23" customWidth="1"/>
    <col min="11" max="11" width="13.36328125" style="23" customWidth="1"/>
    <col min="12" max="12" width="6.26953125" style="23" customWidth="1"/>
    <col min="13" max="13" width="13.36328125" style="23" customWidth="1"/>
    <col min="14" max="14" width="6.26953125" style="23" customWidth="1"/>
    <col min="15" max="15" width="13.36328125" style="23" customWidth="1"/>
    <col min="16" max="16" width="6.26953125" style="23" customWidth="1"/>
    <col min="17" max="17" width="8.7265625" style="67" customWidth="1"/>
    <col min="18" max="16384" width="9" style="23"/>
  </cols>
  <sheetData>
    <row r="1" spans="1:17" s="19" customFormat="1">
      <c r="A1" s="96" t="str">
        <f>資訊清單資訊!B3</f>
        <v>石油與天然氣輸儲查核與檢測雲端平台</v>
      </c>
      <c r="B1" s="96"/>
      <c r="C1" s="96"/>
      <c r="D1" s="96"/>
      <c r="E1" s="96"/>
      <c r="F1" s="96"/>
      <c r="G1" s="96"/>
      <c r="H1" s="96"/>
      <c r="I1" s="96"/>
      <c r="J1" s="96"/>
      <c r="K1" s="96"/>
      <c r="L1" s="96"/>
      <c r="M1" s="96"/>
      <c r="N1" s="96"/>
      <c r="O1" s="96"/>
      <c r="P1" s="96"/>
      <c r="Q1" s="96"/>
    </row>
    <row r="2" spans="1:17" s="19" customFormat="1">
      <c r="A2" s="96" t="str">
        <f>資訊清單資訊!B7 &amp;"資訊資產清冊"</f>
        <v>資料類(DA)資訊資產清冊</v>
      </c>
      <c r="B2" s="96"/>
      <c r="C2" s="96"/>
      <c r="D2" s="96"/>
      <c r="E2" s="96"/>
      <c r="F2" s="96"/>
      <c r="G2" s="96"/>
      <c r="H2" s="96"/>
      <c r="I2" s="96"/>
      <c r="J2" s="96"/>
      <c r="K2" s="96"/>
      <c r="L2" s="96"/>
      <c r="M2" s="96"/>
      <c r="N2" s="96"/>
      <c r="O2" s="96"/>
      <c r="P2" s="96"/>
      <c r="Q2" s="96"/>
    </row>
    <row r="3" spans="1:17" s="4" customFormat="1" hidden="1">
      <c r="A3" s="97" t="str">
        <f>資訊清單資訊!B9&amp; " : " &amp;資訊清單資訊!C9</f>
        <v xml:space="preserve">計畫代號 : </v>
      </c>
      <c r="B3" s="97"/>
      <c r="C3" s="97"/>
      <c r="D3" s="97"/>
      <c r="E3" s="97"/>
      <c r="F3" s="97"/>
      <c r="G3" s="97"/>
      <c r="H3" s="97"/>
      <c r="I3" s="97"/>
      <c r="J3" s="97"/>
      <c r="K3" s="97"/>
      <c r="L3" s="97"/>
      <c r="M3" s="97"/>
      <c r="N3" s="97"/>
      <c r="O3" s="97"/>
      <c r="P3" s="97"/>
      <c r="Q3" s="97"/>
    </row>
    <row r="4" spans="1:17" s="20" customFormat="1">
      <c r="A4" s="97" t="str">
        <f>資訊清單資訊!B10&amp; " : " &amp;資訊清單資訊!C10</f>
        <v>編號 : 材1-1</v>
      </c>
      <c r="B4" s="97"/>
      <c r="C4" s="97"/>
      <c r="D4" s="97"/>
      <c r="E4" s="97"/>
      <c r="F4" s="97"/>
      <c r="G4" s="97"/>
      <c r="H4" s="97"/>
      <c r="I4" s="97"/>
      <c r="J4" s="97"/>
      <c r="K4" s="97"/>
      <c r="L4" s="97"/>
      <c r="M4" s="97"/>
      <c r="N4" s="97"/>
      <c r="O4" s="97"/>
      <c r="P4" s="97"/>
      <c r="Q4" s="97"/>
    </row>
    <row r="5" spans="1:17" s="20" customFormat="1">
      <c r="A5" s="97" t="str">
        <f>資訊清單資訊!B11&amp; " : " &amp;資訊清單資訊!C11</f>
        <v>日期 : 1133/19</v>
      </c>
      <c r="B5" s="97"/>
      <c r="C5" s="97"/>
      <c r="D5" s="97"/>
      <c r="E5" s="97"/>
      <c r="F5" s="97"/>
      <c r="G5" s="97"/>
      <c r="H5" s="97"/>
      <c r="I5" s="97"/>
      <c r="J5" s="97"/>
      <c r="K5" s="97"/>
      <c r="L5" s="97"/>
      <c r="M5" s="97"/>
      <c r="N5" s="97"/>
      <c r="O5" s="97"/>
      <c r="P5" s="97"/>
      <c r="Q5" s="97"/>
    </row>
    <row r="6" spans="1:17" s="20" customFormat="1">
      <c r="A6" s="97" t="str">
        <f>資訊清單資訊!B12&amp; " : " &amp;資訊清單資訊!C12</f>
        <v>版本 : 1</v>
      </c>
      <c r="B6" s="97"/>
      <c r="C6" s="97"/>
      <c r="D6" s="97"/>
      <c r="E6" s="97"/>
      <c r="F6" s="97"/>
      <c r="G6" s="97"/>
      <c r="H6" s="97"/>
      <c r="I6" s="97"/>
      <c r="J6" s="97"/>
      <c r="K6" s="97"/>
      <c r="L6" s="97"/>
      <c r="M6" s="97"/>
      <c r="N6" s="97"/>
      <c r="O6" s="97"/>
      <c r="P6" s="97"/>
      <c r="Q6" s="97"/>
    </row>
    <row r="7" spans="1:17" s="20" customFormat="1">
      <c r="A7" s="98" t="str">
        <f>資訊清單資訊!B13&amp; " : " &amp;資訊清單資訊!C13</f>
        <v>機密等級 : 限閱級</v>
      </c>
      <c r="B7" s="97"/>
      <c r="C7" s="97"/>
      <c r="D7" s="97"/>
      <c r="E7" s="97"/>
      <c r="F7" s="97"/>
      <c r="G7" s="97"/>
      <c r="H7" s="97"/>
      <c r="I7" s="97"/>
      <c r="J7" s="97"/>
      <c r="K7" s="97"/>
      <c r="L7" s="97"/>
      <c r="M7" s="97"/>
      <c r="N7" s="97"/>
      <c r="O7" s="97"/>
      <c r="P7" s="97"/>
      <c r="Q7" s="97"/>
    </row>
    <row r="8" spans="1:17" s="66" customFormat="1">
      <c r="A8" s="25"/>
      <c r="B8" s="99" t="s">
        <v>55</v>
      </c>
      <c r="C8" s="99"/>
      <c r="D8" s="99"/>
      <c r="E8" s="99"/>
      <c r="F8" s="99"/>
      <c r="G8" s="100"/>
      <c r="H8" s="101" t="s">
        <v>70</v>
      </c>
      <c r="I8" s="102"/>
      <c r="J8" s="102"/>
      <c r="K8" s="102"/>
      <c r="L8" s="102"/>
      <c r="M8" s="102"/>
      <c r="N8" s="102"/>
      <c r="O8" s="102"/>
      <c r="P8" s="102"/>
      <c r="Q8" s="103"/>
    </row>
    <row r="9" spans="1:17" s="67" customFormat="1" ht="31">
      <c r="A9" s="26" t="s">
        <v>71</v>
      </c>
      <c r="B9" s="24" t="s">
        <v>2</v>
      </c>
      <c r="C9" s="13" t="s">
        <v>56</v>
      </c>
      <c r="D9" s="13" t="s">
        <v>57</v>
      </c>
      <c r="E9" s="13" t="s">
        <v>58</v>
      </c>
      <c r="F9" s="13" t="s">
        <v>59</v>
      </c>
      <c r="G9" s="13" t="s">
        <v>60</v>
      </c>
      <c r="H9" s="12" t="s">
        <v>61</v>
      </c>
      <c r="I9" s="12" t="s">
        <v>62</v>
      </c>
      <c r="J9" s="12" t="s">
        <v>63</v>
      </c>
      <c r="K9" s="12" t="s">
        <v>64</v>
      </c>
      <c r="L9" s="12" t="s">
        <v>65</v>
      </c>
      <c r="M9" s="12" t="s">
        <v>62</v>
      </c>
      <c r="N9" s="12" t="s">
        <v>66</v>
      </c>
      <c r="O9" s="12" t="s">
        <v>67</v>
      </c>
      <c r="P9" s="12" t="s">
        <v>68</v>
      </c>
      <c r="Q9" s="14" t="s">
        <v>69</v>
      </c>
    </row>
    <row r="10" spans="1:17" s="66" customFormat="1" ht="93">
      <c r="A10" s="68" t="s">
        <v>176</v>
      </c>
      <c r="B10" s="63"/>
      <c r="C10" s="63" t="s">
        <v>227</v>
      </c>
      <c r="D10" s="63" t="s">
        <v>181</v>
      </c>
      <c r="E10" s="194" t="s">
        <v>226</v>
      </c>
      <c r="F10" s="70">
        <v>2</v>
      </c>
      <c r="G10" s="71" t="s">
        <v>182</v>
      </c>
      <c r="H10" s="72">
        <v>2</v>
      </c>
      <c r="I10" s="73" t="s">
        <v>219</v>
      </c>
      <c r="J10" s="72">
        <v>1</v>
      </c>
      <c r="K10" s="73" t="s">
        <v>183</v>
      </c>
      <c r="L10" s="72">
        <v>1</v>
      </c>
      <c r="M10" s="195" t="s">
        <v>218</v>
      </c>
      <c r="N10" s="72">
        <v>2</v>
      </c>
      <c r="O10" s="69" t="s">
        <v>184</v>
      </c>
      <c r="P10" s="72">
        <f t="shared" ref="P10:P14" si="0">MAX(H10,J10,L10,N10)</f>
        <v>2</v>
      </c>
      <c r="Q10" s="71" t="s">
        <v>182</v>
      </c>
    </row>
    <row r="11" spans="1:17" s="66" customFormat="1" ht="62">
      <c r="A11" s="68" t="s">
        <v>177</v>
      </c>
      <c r="B11" s="63"/>
      <c r="C11" s="69" t="s">
        <v>185</v>
      </c>
      <c r="D11" s="69" t="s">
        <v>185</v>
      </c>
      <c r="E11" s="194" t="s">
        <v>186</v>
      </c>
      <c r="F11" s="70">
        <v>1</v>
      </c>
      <c r="G11" s="71" t="s">
        <v>182</v>
      </c>
      <c r="H11" s="72">
        <v>3</v>
      </c>
      <c r="I11" s="73" t="s">
        <v>187</v>
      </c>
      <c r="J11" s="72">
        <v>3</v>
      </c>
      <c r="K11" s="73" t="s">
        <v>188</v>
      </c>
      <c r="L11" s="72">
        <v>3</v>
      </c>
      <c r="M11" s="195" t="s">
        <v>189</v>
      </c>
      <c r="N11" s="69" t="s">
        <v>162</v>
      </c>
      <c r="O11" s="69" t="s">
        <v>190</v>
      </c>
      <c r="P11" s="72">
        <f t="shared" si="0"/>
        <v>3</v>
      </c>
      <c r="Q11" s="71" t="s">
        <v>182</v>
      </c>
    </row>
    <row r="12" spans="1:17" s="66" customFormat="1" ht="46.5">
      <c r="A12" s="68" t="s">
        <v>178</v>
      </c>
      <c r="B12" s="63"/>
      <c r="C12" s="69" t="s">
        <v>191</v>
      </c>
      <c r="D12" s="69" t="s">
        <v>191</v>
      </c>
      <c r="E12" s="194" t="s">
        <v>192</v>
      </c>
      <c r="F12" s="70">
        <v>1</v>
      </c>
      <c r="G12" s="71" t="s">
        <v>182</v>
      </c>
      <c r="H12" s="72">
        <v>2</v>
      </c>
      <c r="I12" s="73" t="s">
        <v>193</v>
      </c>
      <c r="J12" s="72">
        <v>2</v>
      </c>
      <c r="K12" s="73" t="s">
        <v>194</v>
      </c>
      <c r="L12" s="72">
        <v>2</v>
      </c>
      <c r="M12" s="195" t="s">
        <v>195</v>
      </c>
      <c r="N12" s="69" t="s">
        <v>162</v>
      </c>
      <c r="O12" s="69" t="s">
        <v>190</v>
      </c>
      <c r="P12" s="72">
        <f t="shared" si="0"/>
        <v>2</v>
      </c>
      <c r="Q12" s="71" t="s">
        <v>182</v>
      </c>
    </row>
    <row r="13" spans="1:17" s="66" customFormat="1" ht="31">
      <c r="A13" s="68" t="s">
        <v>179</v>
      </c>
      <c r="B13" s="63"/>
      <c r="C13" s="69" t="s">
        <v>196</v>
      </c>
      <c r="D13" s="69" t="s">
        <v>197</v>
      </c>
      <c r="E13" s="194" t="s">
        <v>192</v>
      </c>
      <c r="F13" s="70">
        <v>1</v>
      </c>
      <c r="G13" s="71" t="s">
        <v>182</v>
      </c>
      <c r="H13" s="72">
        <v>1</v>
      </c>
      <c r="I13" s="73" t="s">
        <v>198</v>
      </c>
      <c r="J13" s="72">
        <v>1</v>
      </c>
      <c r="K13" s="73" t="s">
        <v>199</v>
      </c>
      <c r="L13" s="72">
        <v>1</v>
      </c>
      <c r="M13" s="195" t="s">
        <v>200</v>
      </c>
      <c r="N13" s="69" t="s">
        <v>162</v>
      </c>
      <c r="O13" s="69" t="s">
        <v>190</v>
      </c>
      <c r="P13" s="72">
        <f t="shared" si="0"/>
        <v>1</v>
      </c>
      <c r="Q13" s="71" t="s">
        <v>182</v>
      </c>
    </row>
    <row r="14" spans="1:17" s="66" customFormat="1" ht="48">
      <c r="A14" s="68" t="s">
        <v>180</v>
      </c>
      <c r="B14" s="63"/>
      <c r="C14" s="74" t="s">
        <v>228</v>
      </c>
      <c r="D14" s="74" t="s">
        <v>201</v>
      </c>
      <c r="E14" s="194" t="s">
        <v>202</v>
      </c>
      <c r="F14" s="75">
        <v>1</v>
      </c>
      <c r="G14" s="69" t="s">
        <v>203</v>
      </c>
      <c r="H14" s="76">
        <v>3</v>
      </c>
      <c r="I14" s="69" t="s">
        <v>164</v>
      </c>
      <c r="J14" s="76">
        <v>3</v>
      </c>
      <c r="K14" s="69" t="s">
        <v>165</v>
      </c>
      <c r="L14" s="76">
        <v>2</v>
      </c>
      <c r="M14" s="194" t="s">
        <v>204</v>
      </c>
      <c r="N14" s="69" t="s">
        <v>162</v>
      </c>
      <c r="O14" s="69" t="s">
        <v>163</v>
      </c>
      <c r="P14" s="72">
        <f t="shared" si="0"/>
        <v>3</v>
      </c>
      <c r="Q14" s="71" t="s">
        <v>182</v>
      </c>
    </row>
  </sheetData>
  <sheetProtection formatCells="0" formatColumns="0" formatRows="0" insertColumns="0" insertRows="0" insertHyperlinks="0" deleteColumns="0" deleteRows="0" sort="0" autoFilter="0" pivotTables="0"/>
  <autoFilter ref="A9:Q9" xr:uid="{00000000-0009-0000-0000-000001000000}"/>
  <mergeCells count="9">
    <mergeCell ref="A1:Q1"/>
    <mergeCell ref="A2:Q2"/>
    <mergeCell ref="A3:Q3"/>
    <mergeCell ref="A7:Q7"/>
    <mergeCell ref="B8:G8"/>
    <mergeCell ref="H8:Q8"/>
    <mergeCell ref="A4:Q4"/>
    <mergeCell ref="A5:Q5"/>
    <mergeCell ref="A6:Q6"/>
  </mergeCells>
  <phoneticPr fontId="1" type="noConversion"/>
  <dataValidations count="3">
    <dataValidation type="list" allowBlank="1" showInputMessage="1" showErrorMessage="1" sqref="H10:H423 L10:L423 J10:J423 N10" xr:uid="{00000000-0002-0000-0100-000000000000}">
      <formula1>"1,2,3,4"</formula1>
    </dataValidation>
    <dataValidation type="list" allowBlank="1" showInputMessage="1" showErrorMessage="1" sqref="N1:N8 N15:N1048576" xr:uid="{00000000-0002-0000-0100-000001000000}">
      <formula1>"2,3,4,NA"</formula1>
    </dataValidation>
    <dataValidation type="list" allowBlank="1" showInputMessage="1" showErrorMessage="1" sqref="B10:B423" xr:uid="{00000000-0002-0000-0100-000002000000}">
      <formula1>PE_SUBLIST</formula1>
    </dataValidation>
  </dataValidations>
  <pageMargins left="0" right="0" top="0.39370078740157483" bottom="0.59055118110236227" header="0.31496062992125984" footer="0.19685039370078741"/>
  <pageSetup paperSize="9" scale="83" fitToHeight="0" orientation="landscape" r:id="rId1"/>
  <headerFooter>
    <oddFooter>第 &amp;P 頁，共 &amp;N 頁</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產生清單">
                <anchor moveWithCells="1" sizeWithCells="1">
                  <from>
                    <xdr:col>14</xdr:col>
                    <xdr:colOff>469900</xdr:colOff>
                    <xdr:row>14</xdr:row>
                    <xdr:rowOff>95250</xdr:rowOff>
                  </from>
                  <to>
                    <xdr:col>16</xdr:col>
                    <xdr:colOff>469900</xdr:colOff>
                    <xdr:row>16</xdr:row>
                    <xdr:rowOff>184150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3">
    <tabColor theme="4"/>
  </sheetPr>
  <dimension ref="A1:I59"/>
  <sheetViews>
    <sheetView topLeftCell="F1" workbookViewId="0">
      <selection activeCell="J1" sqref="J1"/>
    </sheetView>
  </sheetViews>
  <sheetFormatPr defaultColWidth="9" defaultRowHeight="35.25" customHeight="1"/>
  <cols>
    <col min="1" max="1" width="7.36328125" style="2" customWidth="1"/>
    <col min="2" max="2" width="76.7265625" style="48" customWidth="1"/>
    <col min="3" max="3" width="4" style="2" customWidth="1"/>
    <col min="4" max="4" width="7" style="10" customWidth="1"/>
    <col min="5" max="5" width="18.08984375" style="10" customWidth="1"/>
    <col min="6" max="6" width="72.7265625" style="48" customWidth="1"/>
    <col min="7" max="7" width="5.36328125" style="2" customWidth="1"/>
    <col min="8" max="8" width="29.7265625" style="2" customWidth="1"/>
    <col min="9" max="16384" width="9" style="2"/>
  </cols>
  <sheetData>
    <row r="1" spans="1:9" ht="35.25" customHeight="1">
      <c r="A1" s="104" t="s">
        <v>78</v>
      </c>
      <c r="B1" s="104"/>
      <c r="D1" s="105" t="s">
        <v>79</v>
      </c>
      <c r="E1" s="105"/>
      <c r="F1" s="105"/>
      <c r="H1" s="106" t="s">
        <v>80</v>
      </c>
      <c r="I1" s="106"/>
    </row>
    <row r="2" spans="1:9" ht="35.25" customHeight="1">
      <c r="A2" s="41" t="s">
        <v>81</v>
      </c>
      <c r="B2" s="42" t="s">
        <v>82</v>
      </c>
      <c r="D2" s="107" t="s">
        <v>46</v>
      </c>
      <c r="E2" s="107"/>
      <c r="F2" s="108"/>
      <c r="H2" s="43" t="s">
        <v>23</v>
      </c>
      <c r="I2" s="43" t="s">
        <v>83</v>
      </c>
    </row>
    <row r="3" spans="1:9" ht="35.25" customHeight="1">
      <c r="A3" s="44">
        <v>1</v>
      </c>
      <c r="B3" s="45" t="s">
        <v>84</v>
      </c>
      <c r="D3" s="8" t="s">
        <v>48</v>
      </c>
      <c r="E3" s="8" t="s">
        <v>35</v>
      </c>
      <c r="F3" s="8" t="s">
        <v>34</v>
      </c>
      <c r="H3" s="46" t="s">
        <v>114</v>
      </c>
      <c r="I3" s="44" t="s">
        <v>85</v>
      </c>
    </row>
    <row r="4" spans="1:9" ht="35.25" customHeight="1">
      <c r="A4" s="44">
        <v>2</v>
      </c>
      <c r="B4" s="45" t="s">
        <v>86</v>
      </c>
      <c r="D4" s="9">
        <v>1</v>
      </c>
      <c r="E4" s="9" t="s">
        <v>36</v>
      </c>
      <c r="F4" s="45" t="s">
        <v>49</v>
      </c>
      <c r="H4" s="47" t="s">
        <v>119</v>
      </c>
      <c r="I4" s="44" t="s">
        <v>85</v>
      </c>
    </row>
    <row r="5" spans="1:9" ht="44.15" customHeight="1">
      <c r="A5" s="44">
        <v>3</v>
      </c>
      <c r="B5" s="45" t="s">
        <v>87</v>
      </c>
      <c r="D5" s="9">
        <v>2</v>
      </c>
      <c r="E5" s="9" t="s">
        <v>37</v>
      </c>
      <c r="F5" s="45" t="s">
        <v>50</v>
      </c>
      <c r="H5" s="47" t="s">
        <v>149</v>
      </c>
      <c r="I5" s="44" t="s">
        <v>85</v>
      </c>
    </row>
    <row r="6" spans="1:9" ht="35.25" customHeight="1">
      <c r="A6" s="44">
        <v>4</v>
      </c>
      <c r="B6" s="45" t="s">
        <v>89</v>
      </c>
      <c r="D6" s="9">
        <v>3</v>
      </c>
      <c r="E6" s="9" t="s">
        <v>38</v>
      </c>
      <c r="F6" s="45" t="s">
        <v>47</v>
      </c>
      <c r="H6" s="47" t="s">
        <v>150</v>
      </c>
      <c r="I6" s="44" t="s">
        <v>159</v>
      </c>
    </row>
    <row r="7" spans="1:9" ht="35.25" customHeight="1">
      <c r="D7" s="9">
        <v>4</v>
      </c>
      <c r="E7" s="9" t="s">
        <v>39</v>
      </c>
      <c r="F7" s="45" t="s">
        <v>51</v>
      </c>
      <c r="H7" s="49" t="s">
        <v>92</v>
      </c>
      <c r="I7" s="44" t="s">
        <v>93</v>
      </c>
    </row>
    <row r="8" spans="1:9" ht="35.25" customHeight="1">
      <c r="A8" s="41" t="s">
        <v>81</v>
      </c>
      <c r="B8" s="42" t="s">
        <v>90</v>
      </c>
      <c r="H8" s="49" t="s">
        <v>151</v>
      </c>
      <c r="I8" s="44" t="s">
        <v>158</v>
      </c>
    </row>
    <row r="9" spans="1:9" ht="35.25" customHeight="1">
      <c r="A9" s="44">
        <v>1</v>
      </c>
      <c r="B9" s="45" t="s">
        <v>91</v>
      </c>
      <c r="H9" s="21" t="s">
        <v>152</v>
      </c>
      <c r="I9" s="44" t="s">
        <v>88</v>
      </c>
    </row>
    <row r="10" spans="1:9" ht="35.25" customHeight="1">
      <c r="A10" s="44">
        <v>2</v>
      </c>
      <c r="B10" s="45" t="s">
        <v>94</v>
      </c>
      <c r="D10" s="107" t="s">
        <v>52</v>
      </c>
      <c r="E10" s="107"/>
      <c r="F10" s="107"/>
      <c r="H10" s="21" t="s">
        <v>153</v>
      </c>
      <c r="I10" s="44" t="s">
        <v>88</v>
      </c>
    </row>
    <row r="11" spans="1:9" ht="35.25" customHeight="1">
      <c r="A11" s="44">
        <v>3</v>
      </c>
      <c r="B11" s="45" t="s">
        <v>95</v>
      </c>
      <c r="D11" s="8" t="s">
        <v>48</v>
      </c>
      <c r="E11" s="8" t="s">
        <v>35</v>
      </c>
      <c r="F11" s="8" t="s">
        <v>34</v>
      </c>
      <c r="H11" s="21" t="s">
        <v>154</v>
      </c>
      <c r="I11" s="44" t="s">
        <v>85</v>
      </c>
    </row>
    <row r="12" spans="1:9" ht="35.25" customHeight="1">
      <c r="A12" s="44">
        <v>4</v>
      </c>
      <c r="B12" s="45" t="s">
        <v>96</v>
      </c>
      <c r="D12" s="9">
        <v>1</v>
      </c>
      <c r="E12" s="9" t="s">
        <v>53</v>
      </c>
      <c r="F12" s="45" t="s">
        <v>54</v>
      </c>
      <c r="H12" s="21" t="s">
        <v>155</v>
      </c>
      <c r="I12" s="44" t="s">
        <v>85</v>
      </c>
    </row>
    <row r="13" spans="1:9" ht="35.25" customHeight="1">
      <c r="D13" s="9">
        <v>2</v>
      </c>
      <c r="E13" s="9" t="s">
        <v>40</v>
      </c>
      <c r="F13" s="45" t="s">
        <v>97</v>
      </c>
      <c r="H13" s="21" t="s">
        <v>138</v>
      </c>
      <c r="I13" s="44" t="s">
        <v>85</v>
      </c>
    </row>
    <row r="14" spans="1:9" ht="44.15" customHeight="1">
      <c r="A14" s="41" t="s">
        <v>81</v>
      </c>
      <c r="B14" s="42" t="s">
        <v>98</v>
      </c>
      <c r="D14" s="9">
        <v>3</v>
      </c>
      <c r="E14" s="9" t="s">
        <v>41</v>
      </c>
      <c r="F14" s="45" t="s">
        <v>99</v>
      </c>
      <c r="H14" s="62" t="s">
        <v>141</v>
      </c>
      <c r="I14" s="44" t="s">
        <v>157</v>
      </c>
    </row>
    <row r="15" spans="1:9" ht="61.5" customHeight="1">
      <c r="A15" s="44">
        <v>1</v>
      </c>
      <c r="B15" s="45" t="s">
        <v>100</v>
      </c>
      <c r="D15" s="9">
        <v>4</v>
      </c>
      <c r="E15" s="9" t="s">
        <v>42</v>
      </c>
      <c r="F15" s="45" t="s">
        <v>101</v>
      </c>
      <c r="H15" s="62" t="s">
        <v>144</v>
      </c>
      <c r="I15" s="44" t="s">
        <v>157</v>
      </c>
    </row>
    <row r="16" spans="1:9" ht="35.25" customHeight="1">
      <c r="A16" s="44">
        <v>2</v>
      </c>
      <c r="B16" s="45" t="s">
        <v>102</v>
      </c>
      <c r="H16" s="62" t="s">
        <v>156</v>
      </c>
      <c r="I16" s="44" t="s">
        <v>85</v>
      </c>
    </row>
    <row r="17" spans="1:9" ht="35.25" customHeight="1">
      <c r="A17" s="44">
        <v>3</v>
      </c>
      <c r="B17" s="45" t="s">
        <v>103</v>
      </c>
      <c r="H17" s="49" t="s">
        <v>147</v>
      </c>
      <c r="I17" s="44"/>
    </row>
    <row r="18" spans="1:9" ht="35.25" customHeight="1">
      <c r="A18" s="44">
        <v>4</v>
      </c>
      <c r="B18" s="45" t="s">
        <v>104</v>
      </c>
    </row>
    <row r="20" spans="1:9" ht="35.25" customHeight="1">
      <c r="A20" s="41" t="s">
        <v>81</v>
      </c>
      <c r="B20" s="42" t="s">
        <v>105</v>
      </c>
    </row>
    <row r="21" spans="1:9" ht="35.25" customHeight="1">
      <c r="A21" s="44">
        <v>1</v>
      </c>
      <c r="B21" s="45" t="s">
        <v>106</v>
      </c>
    </row>
    <row r="22" spans="1:9" ht="35.25" customHeight="1">
      <c r="A22" s="44">
        <v>2</v>
      </c>
      <c r="B22" s="45" t="s">
        <v>107</v>
      </c>
    </row>
    <row r="23" spans="1:9" ht="35.25" customHeight="1">
      <c r="A23" s="44">
        <v>3</v>
      </c>
      <c r="B23" s="45" t="s">
        <v>108</v>
      </c>
    </row>
    <row r="24" spans="1:9" ht="35.25" customHeight="1">
      <c r="A24" s="44">
        <v>4</v>
      </c>
      <c r="B24" s="45" t="s">
        <v>109</v>
      </c>
    </row>
    <row r="26" spans="1:9" ht="35.25" customHeight="1">
      <c r="A26" s="41" t="s">
        <v>81</v>
      </c>
      <c r="B26" s="42" t="s">
        <v>110</v>
      </c>
    </row>
    <row r="27" spans="1:9" ht="35.25" customHeight="1">
      <c r="A27" s="44">
        <v>3</v>
      </c>
      <c r="B27" s="45" t="s">
        <v>111</v>
      </c>
    </row>
    <row r="28" spans="1:9" ht="35.25" customHeight="1">
      <c r="A28" s="44">
        <v>4</v>
      </c>
      <c r="B28" s="45" t="s">
        <v>112</v>
      </c>
    </row>
    <row r="31" spans="1:9" s="3" customFormat="1" ht="35.25" customHeight="1">
      <c r="A31" s="2"/>
      <c r="B31" s="48"/>
      <c r="D31" s="10"/>
      <c r="E31" s="10"/>
      <c r="F31" s="48"/>
    </row>
    <row r="32" spans="1:9" s="3" customFormat="1" ht="35.25" customHeight="1">
      <c r="A32" s="2"/>
      <c r="B32" s="48"/>
      <c r="D32" s="11"/>
      <c r="E32" s="11"/>
      <c r="F32" s="50"/>
    </row>
    <row r="33" spans="1:6" s="3" customFormat="1" ht="35.25" customHeight="1">
      <c r="A33" s="2"/>
      <c r="B33" s="48"/>
      <c r="D33" s="11"/>
      <c r="E33" s="11"/>
      <c r="F33" s="50"/>
    </row>
    <row r="34" spans="1:6" s="3" customFormat="1" ht="35.25" customHeight="1">
      <c r="B34" s="11"/>
      <c r="D34" s="11"/>
      <c r="E34" s="11"/>
      <c r="F34" s="50"/>
    </row>
    <row r="35" spans="1:6" s="3" customFormat="1" ht="35.25" customHeight="1">
      <c r="B35" s="11"/>
      <c r="D35" s="11"/>
      <c r="E35" s="11"/>
      <c r="F35" s="50"/>
    </row>
    <row r="36" spans="1:6" s="3" customFormat="1" ht="35.25" customHeight="1">
      <c r="B36" s="11"/>
      <c r="D36" s="11"/>
      <c r="E36" s="11"/>
      <c r="F36" s="50"/>
    </row>
    <row r="37" spans="1:6" s="3" customFormat="1" ht="35.25" customHeight="1">
      <c r="B37" s="11"/>
      <c r="D37" s="11"/>
      <c r="E37" s="11"/>
      <c r="F37" s="50"/>
    </row>
    <row r="38" spans="1:6" s="3" customFormat="1" ht="35.25" customHeight="1">
      <c r="B38" s="11"/>
      <c r="D38" s="11"/>
      <c r="E38" s="11"/>
      <c r="F38" s="50"/>
    </row>
    <row r="39" spans="1:6" s="3" customFormat="1" ht="35.25" customHeight="1">
      <c r="B39" s="11"/>
      <c r="D39" s="11"/>
      <c r="E39" s="11"/>
      <c r="F39" s="50"/>
    </row>
    <row r="40" spans="1:6" s="3" customFormat="1" ht="35.25" customHeight="1">
      <c r="B40" s="11"/>
      <c r="D40" s="11"/>
      <c r="E40" s="11"/>
      <c r="F40" s="50"/>
    </row>
    <row r="41" spans="1:6" s="3" customFormat="1" ht="35.25" customHeight="1">
      <c r="B41" s="11"/>
      <c r="D41" s="11"/>
      <c r="E41" s="11"/>
      <c r="F41" s="50"/>
    </row>
    <row r="42" spans="1:6" s="3" customFormat="1" ht="35.25" customHeight="1">
      <c r="B42" s="11"/>
      <c r="D42" s="11"/>
      <c r="E42" s="11"/>
      <c r="F42" s="50"/>
    </row>
    <row r="43" spans="1:6" s="3" customFormat="1" ht="35.25" customHeight="1">
      <c r="B43" s="11"/>
      <c r="D43" s="11"/>
      <c r="E43" s="11"/>
      <c r="F43" s="50"/>
    </row>
    <row r="44" spans="1:6" s="3" customFormat="1" ht="35.25" customHeight="1">
      <c r="B44" s="11"/>
      <c r="D44" s="11"/>
      <c r="E44" s="11"/>
      <c r="F44" s="50"/>
    </row>
    <row r="45" spans="1:6" s="3" customFormat="1" ht="35.25" customHeight="1">
      <c r="B45" s="11"/>
      <c r="D45" s="11"/>
      <c r="E45" s="11"/>
      <c r="F45" s="50"/>
    </row>
    <row r="46" spans="1:6" s="3" customFormat="1" ht="35.25" customHeight="1">
      <c r="B46" s="11"/>
      <c r="D46" s="11"/>
      <c r="E46" s="11"/>
      <c r="F46" s="50"/>
    </row>
    <row r="47" spans="1:6" s="3" customFormat="1" ht="35.25" customHeight="1">
      <c r="A47" s="51"/>
      <c r="B47" s="50"/>
      <c r="D47" s="11"/>
      <c r="E47" s="11"/>
      <c r="F47" s="50"/>
    </row>
    <row r="48" spans="1:6" s="3" customFormat="1" ht="35.25" customHeight="1">
      <c r="A48" s="51"/>
      <c r="B48" s="50"/>
      <c r="D48" s="11"/>
      <c r="E48" s="11"/>
      <c r="F48" s="50"/>
    </row>
    <row r="49" spans="1:6" s="3" customFormat="1" ht="35.25" customHeight="1">
      <c r="A49" s="51"/>
      <c r="B49" s="50"/>
      <c r="D49" s="11"/>
      <c r="E49" s="11"/>
      <c r="F49" s="50"/>
    </row>
    <row r="50" spans="1:6" s="3" customFormat="1" ht="35.25" customHeight="1">
      <c r="A50" s="51"/>
      <c r="B50" s="50"/>
      <c r="D50" s="11"/>
      <c r="E50" s="11"/>
      <c r="F50" s="50"/>
    </row>
    <row r="51" spans="1:6" s="3" customFormat="1" ht="35.25" customHeight="1">
      <c r="B51" s="50"/>
      <c r="D51" s="11"/>
      <c r="E51" s="11"/>
      <c r="F51" s="50"/>
    </row>
    <row r="52" spans="1:6" s="3" customFormat="1" ht="35.25" customHeight="1">
      <c r="B52" s="50"/>
      <c r="D52" s="11"/>
      <c r="E52" s="11"/>
      <c r="F52" s="50"/>
    </row>
    <row r="53" spans="1:6" s="3" customFormat="1" ht="35.25" customHeight="1">
      <c r="B53" s="50"/>
      <c r="D53" s="11"/>
      <c r="E53" s="11"/>
      <c r="F53" s="50"/>
    </row>
    <row r="54" spans="1:6" s="3" customFormat="1" ht="35.25" customHeight="1">
      <c r="B54" s="50"/>
      <c r="D54" s="11"/>
      <c r="E54" s="11"/>
      <c r="F54" s="50"/>
    </row>
    <row r="55" spans="1:6" s="3" customFormat="1" ht="35.25" customHeight="1">
      <c r="B55" s="50"/>
      <c r="D55" s="11"/>
      <c r="E55" s="11"/>
      <c r="F55" s="50"/>
    </row>
    <row r="56" spans="1:6" s="3" customFormat="1" ht="35.25" customHeight="1">
      <c r="B56" s="50"/>
      <c r="D56" s="11"/>
      <c r="E56" s="11"/>
      <c r="F56" s="50"/>
    </row>
    <row r="57" spans="1:6" ht="35.25" customHeight="1">
      <c r="A57" s="3"/>
      <c r="B57" s="50"/>
      <c r="D57" s="11"/>
      <c r="E57" s="11"/>
      <c r="F57" s="50"/>
    </row>
    <row r="58" spans="1:6" ht="35.25" customHeight="1">
      <c r="A58" s="3"/>
      <c r="B58" s="50"/>
    </row>
    <row r="59" spans="1:6" ht="35.25" customHeight="1">
      <c r="A59" s="3"/>
      <c r="B59" s="50"/>
    </row>
  </sheetData>
  <mergeCells count="5">
    <mergeCell ref="A1:B1"/>
    <mergeCell ref="D1:F1"/>
    <mergeCell ref="H1:I1"/>
    <mergeCell ref="D2:F2"/>
    <mergeCell ref="D10:F10"/>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CIA比對">
                <anchor moveWithCells="1" sizeWithCells="1">
                  <from>
                    <xdr:col>9</xdr:col>
                    <xdr:colOff>247650</xdr:colOff>
                    <xdr:row>0</xdr:row>
                    <xdr:rowOff>146050</xdr:rowOff>
                  </from>
                  <to>
                    <xdr:col>11</xdr:col>
                    <xdr:colOff>419100</xdr:colOff>
                    <xdr:row>1</xdr:row>
                    <xdr:rowOff>304800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4">
    <tabColor rgb="FFFF0000"/>
    <pageSetUpPr fitToPage="1"/>
  </sheetPr>
  <dimension ref="A1:Z39"/>
  <sheetViews>
    <sheetView topLeftCell="M1" zoomScale="97" zoomScaleNormal="97" workbookViewId="0">
      <selection activeCell="N7" sqref="N7:P7"/>
    </sheetView>
  </sheetViews>
  <sheetFormatPr defaultRowHeight="15.5"/>
  <cols>
    <col min="1" max="1" width="7.7265625" style="35" hidden="1" customWidth="1"/>
    <col min="2" max="2" width="11.90625" style="35" hidden="1" customWidth="1"/>
    <col min="3" max="4" width="9.7265625" style="35" hidden="1" customWidth="1"/>
    <col min="5" max="5" width="5.7265625" style="35" hidden="1" customWidth="1"/>
    <col min="6" max="6" width="7.7265625" style="35" hidden="1" customWidth="1"/>
    <col min="7" max="7" width="3.08984375" style="35" hidden="1" customWidth="1"/>
    <col min="8" max="8" width="2.26953125" style="35" hidden="1" customWidth="1"/>
    <col min="9" max="9" width="3.08984375" style="35" hidden="1" customWidth="1"/>
    <col min="10" max="10" width="5.26953125" style="35" hidden="1" customWidth="1"/>
    <col min="11" max="11" width="9.7265625" style="35" hidden="1" customWidth="1"/>
    <col min="12" max="12" width="5.7265625" style="35" hidden="1" customWidth="1"/>
    <col min="13" max="13" width="21.08984375" style="6" customWidth="1"/>
    <col min="14" max="14" width="8.90625" style="6" customWidth="1"/>
    <col min="15" max="15" width="11.36328125" style="6" customWidth="1"/>
    <col min="16" max="16" width="8.90625" style="6" customWidth="1"/>
    <col min="17" max="17" width="8.90625" style="36" customWidth="1"/>
    <col min="18" max="18" width="16.90625" style="6" customWidth="1"/>
    <col min="19" max="19" width="16.90625" style="36" customWidth="1"/>
    <col min="20" max="20" width="10" style="6" customWidth="1"/>
    <col min="21" max="21" width="10" style="36" customWidth="1"/>
    <col min="22" max="22" width="17.7265625" style="6" customWidth="1"/>
    <col min="23" max="23" width="10" style="6" customWidth="1"/>
    <col min="24" max="24" width="17.7265625" style="6" customWidth="1"/>
    <col min="25" max="25" width="10" style="6" customWidth="1"/>
    <col min="26" max="26" width="5.90625" style="6" customWidth="1"/>
    <col min="27" max="261" width="9" style="6"/>
    <col min="262" max="262" width="16.26953125" style="6" customWidth="1"/>
    <col min="263" max="263" width="9" style="6"/>
    <col min="264" max="264" width="11.36328125" style="6" customWidth="1"/>
    <col min="265" max="266" width="9" style="6"/>
    <col min="267" max="267" width="23" style="6" bestFit="1" customWidth="1"/>
    <col min="268" max="268" width="10" style="6" customWidth="1"/>
    <col min="269" max="269" width="6.26953125" style="6" bestFit="1" customWidth="1"/>
    <col min="270" max="270" width="7.26953125" style="6" bestFit="1" customWidth="1"/>
    <col min="271" max="271" width="16.7265625" style="6" customWidth="1"/>
    <col min="272" max="272" width="7.26953125" style="6" bestFit="1" customWidth="1"/>
    <col min="273" max="273" width="16.7265625" style="6" customWidth="1"/>
    <col min="274" max="517" width="9" style="6"/>
    <col min="518" max="518" width="16.26953125" style="6" customWidth="1"/>
    <col min="519" max="519" width="9" style="6"/>
    <col min="520" max="520" width="11.36328125" style="6" customWidth="1"/>
    <col min="521" max="522" width="9" style="6"/>
    <col min="523" max="523" width="23" style="6" bestFit="1" customWidth="1"/>
    <col min="524" max="524" width="10" style="6" customWidth="1"/>
    <col min="525" max="525" width="6.26953125" style="6" bestFit="1" customWidth="1"/>
    <col min="526" max="526" width="7.26953125" style="6" bestFit="1" customWidth="1"/>
    <col min="527" max="527" width="16.7265625" style="6" customWidth="1"/>
    <col min="528" max="528" width="7.26953125" style="6" bestFit="1" customWidth="1"/>
    <col min="529" max="529" width="16.7265625" style="6" customWidth="1"/>
    <col min="530" max="773" width="9" style="6"/>
    <col min="774" max="774" width="16.26953125" style="6" customWidth="1"/>
    <col min="775" max="775" width="9" style="6"/>
    <col min="776" max="776" width="11.36328125" style="6" customWidth="1"/>
    <col min="777" max="778" width="9" style="6"/>
    <col min="779" max="779" width="23" style="6" bestFit="1" customWidth="1"/>
    <col min="780" max="780" width="10" style="6" customWidth="1"/>
    <col min="781" max="781" width="6.26953125" style="6" bestFit="1" customWidth="1"/>
    <col min="782" max="782" width="7.26953125" style="6" bestFit="1" customWidth="1"/>
    <col min="783" max="783" width="16.7265625" style="6" customWidth="1"/>
    <col min="784" max="784" width="7.26953125" style="6" bestFit="1" customWidth="1"/>
    <col min="785" max="785" width="16.7265625" style="6" customWidth="1"/>
    <col min="786" max="1029" width="9" style="6"/>
    <col min="1030" max="1030" width="16.26953125" style="6" customWidth="1"/>
    <col min="1031" max="1031" width="9" style="6"/>
    <col min="1032" max="1032" width="11.36328125" style="6" customWidth="1"/>
    <col min="1033" max="1034" width="9" style="6"/>
    <col min="1035" max="1035" width="23" style="6" bestFit="1" customWidth="1"/>
    <col min="1036" max="1036" width="10" style="6" customWidth="1"/>
    <col min="1037" max="1037" width="6.26953125" style="6" bestFit="1" customWidth="1"/>
    <col min="1038" max="1038" width="7.26953125" style="6" bestFit="1" customWidth="1"/>
    <col min="1039" max="1039" width="16.7265625" style="6" customWidth="1"/>
    <col min="1040" max="1040" width="7.26953125" style="6" bestFit="1" customWidth="1"/>
    <col min="1041" max="1041" width="16.7265625" style="6" customWidth="1"/>
    <col min="1042" max="1285" width="9" style="6"/>
    <col min="1286" max="1286" width="16.26953125" style="6" customWidth="1"/>
    <col min="1287" max="1287" width="9" style="6"/>
    <col min="1288" max="1288" width="11.36328125" style="6" customWidth="1"/>
    <col min="1289" max="1290" width="9" style="6"/>
    <col min="1291" max="1291" width="23" style="6" bestFit="1" customWidth="1"/>
    <col min="1292" max="1292" width="10" style="6" customWidth="1"/>
    <col min="1293" max="1293" width="6.26953125" style="6" bestFit="1" customWidth="1"/>
    <col min="1294" max="1294" width="7.26953125" style="6" bestFit="1" customWidth="1"/>
    <col min="1295" max="1295" width="16.7265625" style="6" customWidth="1"/>
    <col min="1296" max="1296" width="7.26953125" style="6" bestFit="1" customWidth="1"/>
    <col min="1297" max="1297" width="16.7265625" style="6" customWidth="1"/>
    <col min="1298" max="1541" width="9" style="6"/>
    <col min="1542" max="1542" width="16.26953125" style="6" customWidth="1"/>
    <col min="1543" max="1543" width="9" style="6"/>
    <col min="1544" max="1544" width="11.36328125" style="6" customWidth="1"/>
    <col min="1545" max="1546" width="9" style="6"/>
    <col min="1547" max="1547" width="23" style="6" bestFit="1" customWidth="1"/>
    <col min="1548" max="1548" width="10" style="6" customWidth="1"/>
    <col min="1549" max="1549" width="6.26953125" style="6" bestFit="1" customWidth="1"/>
    <col min="1550" max="1550" width="7.26953125" style="6" bestFit="1" customWidth="1"/>
    <col min="1551" max="1551" width="16.7265625" style="6" customWidth="1"/>
    <col min="1552" max="1552" width="7.26953125" style="6" bestFit="1" customWidth="1"/>
    <col min="1553" max="1553" width="16.7265625" style="6" customWidth="1"/>
    <col min="1554" max="1797" width="9" style="6"/>
    <col min="1798" max="1798" width="16.26953125" style="6" customWidth="1"/>
    <col min="1799" max="1799" width="9" style="6"/>
    <col min="1800" max="1800" width="11.36328125" style="6" customWidth="1"/>
    <col min="1801" max="1802" width="9" style="6"/>
    <col min="1803" max="1803" width="23" style="6" bestFit="1" customWidth="1"/>
    <col min="1804" max="1804" width="10" style="6" customWidth="1"/>
    <col min="1805" max="1805" width="6.26953125" style="6" bestFit="1" customWidth="1"/>
    <col min="1806" max="1806" width="7.26953125" style="6" bestFit="1" customWidth="1"/>
    <col min="1807" max="1807" width="16.7265625" style="6" customWidth="1"/>
    <col min="1808" max="1808" width="7.26953125" style="6" bestFit="1" customWidth="1"/>
    <col min="1809" max="1809" width="16.7265625" style="6" customWidth="1"/>
    <col min="1810" max="2053" width="9" style="6"/>
    <col min="2054" max="2054" width="16.26953125" style="6" customWidth="1"/>
    <col min="2055" max="2055" width="9" style="6"/>
    <col min="2056" max="2056" width="11.36328125" style="6" customWidth="1"/>
    <col min="2057" max="2058" width="9" style="6"/>
    <col min="2059" max="2059" width="23" style="6" bestFit="1" customWidth="1"/>
    <col min="2060" max="2060" width="10" style="6" customWidth="1"/>
    <col min="2061" max="2061" width="6.26953125" style="6" bestFit="1" customWidth="1"/>
    <col min="2062" max="2062" width="7.26953125" style="6" bestFit="1" customWidth="1"/>
    <col min="2063" max="2063" width="16.7265625" style="6" customWidth="1"/>
    <col min="2064" max="2064" width="7.26953125" style="6" bestFit="1" customWidth="1"/>
    <col min="2065" max="2065" width="16.7265625" style="6" customWidth="1"/>
    <col min="2066" max="2309" width="9" style="6"/>
    <col min="2310" max="2310" width="16.26953125" style="6" customWidth="1"/>
    <col min="2311" max="2311" width="9" style="6"/>
    <col min="2312" max="2312" width="11.36328125" style="6" customWidth="1"/>
    <col min="2313" max="2314" width="9" style="6"/>
    <col min="2315" max="2315" width="23" style="6" bestFit="1" customWidth="1"/>
    <col min="2316" max="2316" width="10" style="6" customWidth="1"/>
    <col min="2317" max="2317" width="6.26953125" style="6" bestFit="1" customWidth="1"/>
    <col min="2318" max="2318" width="7.26953125" style="6" bestFit="1" customWidth="1"/>
    <col min="2319" max="2319" width="16.7265625" style="6" customWidth="1"/>
    <col min="2320" max="2320" width="7.26953125" style="6" bestFit="1" customWidth="1"/>
    <col min="2321" max="2321" width="16.7265625" style="6" customWidth="1"/>
    <col min="2322" max="2565" width="9" style="6"/>
    <col min="2566" max="2566" width="16.26953125" style="6" customWidth="1"/>
    <col min="2567" max="2567" width="9" style="6"/>
    <col min="2568" max="2568" width="11.36328125" style="6" customWidth="1"/>
    <col min="2569" max="2570" width="9" style="6"/>
    <col min="2571" max="2571" width="23" style="6" bestFit="1" customWidth="1"/>
    <col min="2572" max="2572" width="10" style="6" customWidth="1"/>
    <col min="2573" max="2573" width="6.26953125" style="6" bestFit="1" customWidth="1"/>
    <col min="2574" max="2574" width="7.26953125" style="6" bestFit="1" customWidth="1"/>
    <col min="2575" max="2575" width="16.7265625" style="6" customWidth="1"/>
    <col min="2576" max="2576" width="7.26953125" style="6" bestFit="1" customWidth="1"/>
    <col min="2577" max="2577" width="16.7265625" style="6" customWidth="1"/>
    <col min="2578" max="2821" width="9" style="6"/>
    <col min="2822" max="2822" width="16.26953125" style="6" customWidth="1"/>
    <col min="2823" max="2823" width="9" style="6"/>
    <col min="2824" max="2824" width="11.36328125" style="6" customWidth="1"/>
    <col min="2825" max="2826" width="9" style="6"/>
    <col min="2827" max="2827" width="23" style="6" bestFit="1" customWidth="1"/>
    <col min="2828" max="2828" width="10" style="6" customWidth="1"/>
    <col min="2829" max="2829" width="6.26953125" style="6" bestFit="1" customWidth="1"/>
    <col min="2830" max="2830" width="7.26953125" style="6" bestFit="1" customWidth="1"/>
    <col min="2831" max="2831" width="16.7265625" style="6" customWidth="1"/>
    <col min="2832" max="2832" width="7.26953125" style="6" bestFit="1" customWidth="1"/>
    <col min="2833" max="2833" width="16.7265625" style="6" customWidth="1"/>
    <col min="2834" max="3077" width="9" style="6"/>
    <col min="3078" max="3078" width="16.26953125" style="6" customWidth="1"/>
    <col min="3079" max="3079" width="9" style="6"/>
    <col min="3080" max="3080" width="11.36328125" style="6" customWidth="1"/>
    <col min="3081" max="3082" width="9" style="6"/>
    <col min="3083" max="3083" width="23" style="6" bestFit="1" customWidth="1"/>
    <col min="3084" max="3084" width="10" style="6" customWidth="1"/>
    <col min="3085" max="3085" width="6.26953125" style="6" bestFit="1" customWidth="1"/>
    <col min="3086" max="3086" width="7.26953125" style="6" bestFit="1" customWidth="1"/>
    <col min="3087" max="3087" width="16.7265625" style="6" customWidth="1"/>
    <col min="3088" max="3088" width="7.26953125" style="6" bestFit="1" customWidth="1"/>
    <col min="3089" max="3089" width="16.7265625" style="6" customWidth="1"/>
    <col min="3090" max="3333" width="9" style="6"/>
    <col min="3334" max="3334" width="16.26953125" style="6" customWidth="1"/>
    <col min="3335" max="3335" width="9" style="6"/>
    <col min="3336" max="3336" width="11.36328125" style="6" customWidth="1"/>
    <col min="3337" max="3338" width="9" style="6"/>
    <col min="3339" max="3339" width="23" style="6" bestFit="1" customWidth="1"/>
    <col min="3340" max="3340" width="10" style="6" customWidth="1"/>
    <col min="3341" max="3341" width="6.26953125" style="6" bestFit="1" customWidth="1"/>
    <col min="3342" max="3342" width="7.26953125" style="6" bestFit="1" customWidth="1"/>
    <col min="3343" max="3343" width="16.7265625" style="6" customWidth="1"/>
    <col min="3344" max="3344" width="7.26953125" style="6" bestFit="1" customWidth="1"/>
    <col min="3345" max="3345" width="16.7265625" style="6" customWidth="1"/>
    <col min="3346" max="3589" width="9" style="6"/>
    <col min="3590" max="3590" width="16.26953125" style="6" customWidth="1"/>
    <col min="3591" max="3591" width="9" style="6"/>
    <col min="3592" max="3592" width="11.36328125" style="6" customWidth="1"/>
    <col min="3593" max="3594" width="9" style="6"/>
    <col min="3595" max="3595" width="23" style="6" bestFit="1" customWidth="1"/>
    <col min="3596" max="3596" width="10" style="6" customWidth="1"/>
    <col min="3597" max="3597" width="6.26953125" style="6" bestFit="1" customWidth="1"/>
    <col min="3598" max="3598" width="7.26953125" style="6" bestFit="1" customWidth="1"/>
    <col min="3599" max="3599" width="16.7265625" style="6" customWidth="1"/>
    <col min="3600" max="3600" width="7.26953125" style="6" bestFit="1" customWidth="1"/>
    <col min="3601" max="3601" width="16.7265625" style="6" customWidth="1"/>
    <col min="3602" max="3845" width="9" style="6"/>
    <col min="3846" max="3846" width="16.26953125" style="6" customWidth="1"/>
    <col min="3847" max="3847" width="9" style="6"/>
    <col min="3848" max="3848" width="11.36328125" style="6" customWidth="1"/>
    <col min="3849" max="3850" width="9" style="6"/>
    <col min="3851" max="3851" width="23" style="6" bestFit="1" customWidth="1"/>
    <col min="3852" max="3852" width="10" style="6" customWidth="1"/>
    <col min="3853" max="3853" width="6.26953125" style="6" bestFit="1" customWidth="1"/>
    <col min="3854" max="3854" width="7.26953125" style="6" bestFit="1" customWidth="1"/>
    <col min="3855" max="3855" width="16.7265625" style="6" customWidth="1"/>
    <col min="3856" max="3856" width="7.26953125" style="6" bestFit="1" customWidth="1"/>
    <col min="3857" max="3857" width="16.7265625" style="6" customWidth="1"/>
    <col min="3858" max="4101" width="9" style="6"/>
    <col min="4102" max="4102" width="16.26953125" style="6" customWidth="1"/>
    <col min="4103" max="4103" width="9" style="6"/>
    <col min="4104" max="4104" width="11.36328125" style="6" customWidth="1"/>
    <col min="4105" max="4106" width="9" style="6"/>
    <col min="4107" max="4107" width="23" style="6" bestFit="1" customWidth="1"/>
    <col min="4108" max="4108" width="10" style="6" customWidth="1"/>
    <col min="4109" max="4109" width="6.26953125" style="6" bestFit="1" customWidth="1"/>
    <col min="4110" max="4110" width="7.26953125" style="6" bestFit="1" customWidth="1"/>
    <col min="4111" max="4111" width="16.7265625" style="6" customWidth="1"/>
    <col min="4112" max="4112" width="7.26953125" style="6" bestFit="1" customWidth="1"/>
    <col min="4113" max="4113" width="16.7265625" style="6" customWidth="1"/>
    <col min="4114" max="4357" width="9" style="6"/>
    <col min="4358" max="4358" width="16.26953125" style="6" customWidth="1"/>
    <col min="4359" max="4359" width="9" style="6"/>
    <col min="4360" max="4360" width="11.36328125" style="6" customWidth="1"/>
    <col min="4361" max="4362" width="9" style="6"/>
    <col min="4363" max="4363" width="23" style="6" bestFit="1" customWidth="1"/>
    <col min="4364" max="4364" width="10" style="6" customWidth="1"/>
    <col min="4365" max="4365" width="6.26953125" style="6" bestFit="1" customWidth="1"/>
    <col min="4366" max="4366" width="7.26953125" style="6" bestFit="1" customWidth="1"/>
    <col min="4367" max="4367" width="16.7265625" style="6" customWidth="1"/>
    <col min="4368" max="4368" width="7.26953125" style="6" bestFit="1" customWidth="1"/>
    <col min="4369" max="4369" width="16.7265625" style="6" customWidth="1"/>
    <col min="4370" max="4613" width="9" style="6"/>
    <col min="4614" max="4614" width="16.26953125" style="6" customWidth="1"/>
    <col min="4615" max="4615" width="9" style="6"/>
    <col min="4616" max="4616" width="11.36328125" style="6" customWidth="1"/>
    <col min="4617" max="4618" width="9" style="6"/>
    <col min="4619" max="4619" width="23" style="6" bestFit="1" customWidth="1"/>
    <col min="4620" max="4620" width="10" style="6" customWidth="1"/>
    <col min="4621" max="4621" width="6.26953125" style="6" bestFit="1" customWidth="1"/>
    <col min="4622" max="4622" width="7.26953125" style="6" bestFit="1" customWidth="1"/>
    <col min="4623" max="4623" width="16.7265625" style="6" customWidth="1"/>
    <col min="4624" max="4624" width="7.26953125" style="6" bestFit="1" customWidth="1"/>
    <col min="4625" max="4625" width="16.7265625" style="6" customWidth="1"/>
    <col min="4626" max="4869" width="9" style="6"/>
    <col min="4870" max="4870" width="16.26953125" style="6" customWidth="1"/>
    <col min="4871" max="4871" width="9" style="6"/>
    <col min="4872" max="4872" width="11.36328125" style="6" customWidth="1"/>
    <col min="4873" max="4874" width="9" style="6"/>
    <col min="4875" max="4875" width="23" style="6" bestFit="1" customWidth="1"/>
    <col min="4876" max="4876" width="10" style="6" customWidth="1"/>
    <col min="4877" max="4877" width="6.26953125" style="6" bestFit="1" customWidth="1"/>
    <col min="4878" max="4878" width="7.26953125" style="6" bestFit="1" customWidth="1"/>
    <col min="4879" max="4879" width="16.7265625" style="6" customWidth="1"/>
    <col min="4880" max="4880" width="7.26953125" style="6" bestFit="1" customWidth="1"/>
    <col min="4881" max="4881" width="16.7265625" style="6" customWidth="1"/>
    <col min="4882" max="5125" width="9" style="6"/>
    <col min="5126" max="5126" width="16.26953125" style="6" customWidth="1"/>
    <col min="5127" max="5127" width="9" style="6"/>
    <col min="5128" max="5128" width="11.36328125" style="6" customWidth="1"/>
    <col min="5129" max="5130" width="9" style="6"/>
    <col min="5131" max="5131" width="23" style="6" bestFit="1" customWidth="1"/>
    <col min="5132" max="5132" width="10" style="6" customWidth="1"/>
    <col min="5133" max="5133" width="6.26953125" style="6" bestFit="1" customWidth="1"/>
    <col min="5134" max="5134" width="7.26953125" style="6" bestFit="1" customWidth="1"/>
    <col min="5135" max="5135" width="16.7265625" style="6" customWidth="1"/>
    <col min="5136" max="5136" width="7.26953125" style="6" bestFit="1" customWidth="1"/>
    <col min="5137" max="5137" width="16.7265625" style="6" customWidth="1"/>
    <col min="5138" max="5381" width="9" style="6"/>
    <col min="5382" max="5382" width="16.26953125" style="6" customWidth="1"/>
    <col min="5383" max="5383" width="9" style="6"/>
    <col min="5384" max="5384" width="11.36328125" style="6" customWidth="1"/>
    <col min="5385" max="5386" width="9" style="6"/>
    <col min="5387" max="5387" width="23" style="6" bestFit="1" customWidth="1"/>
    <col min="5388" max="5388" width="10" style="6" customWidth="1"/>
    <col min="5389" max="5389" width="6.26953125" style="6" bestFit="1" customWidth="1"/>
    <col min="5390" max="5390" width="7.26953125" style="6" bestFit="1" customWidth="1"/>
    <col min="5391" max="5391" width="16.7265625" style="6" customWidth="1"/>
    <col min="5392" max="5392" width="7.26953125" style="6" bestFit="1" customWidth="1"/>
    <col min="5393" max="5393" width="16.7265625" style="6" customWidth="1"/>
    <col min="5394" max="5637" width="9" style="6"/>
    <col min="5638" max="5638" width="16.26953125" style="6" customWidth="1"/>
    <col min="5639" max="5639" width="9" style="6"/>
    <col min="5640" max="5640" width="11.36328125" style="6" customWidth="1"/>
    <col min="5641" max="5642" width="9" style="6"/>
    <col min="5643" max="5643" width="23" style="6" bestFit="1" customWidth="1"/>
    <col min="5644" max="5644" width="10" style="6" customWidth="1"/>
    <col min="5645" max="5645" width="6.26953125" style="6" bestFit="1" customWidth="1"/>
    <col min="5646" max="5646" width="7.26953125" style="6" bestFit="1" customWidth="1"/>
    <col min="5647" max="5647" width="16.7265625" style="6" customWidth="1"/>
    <col min="5648" max="5648" width="7.26953125" style="6" bestFit="1" customWidth="1"/>
    <col min="5649" max="5649" width="16.7265625" style="6" customWidth="1"/>
    <col min="5650" max="5893" width="9" style="6"/>
    <col min="5894" max="5894" width="16.26953125" style="6" customWidth="1"/>
    <col min="5895" max="5895" width="9" style="6"/>
    <col min="5896" max="5896" width="11.36328125" style="6" customWidth="1"/>
    <col min="5897" max="5898" width="9" style="6"/>
    <col min="5899" max="5899" width="23" style="6" bestFit="1" customWidth="1"/>
    <col min="5900" max="5900" width="10" style="6" customWidth="1"/>
    <col min="5901" max="5901" width="6.26953125" style="6" bestFit="1" customWidth="1"/>
    <col min="5902" max="5902" width="7.26953125" style="6" bestFit="1" customWidth="1"/>
    <col min="5903" max="5903" width="16.7265625" style="6" customWidth="1"/>
    <col min="5904" max="5904" width="7.26953125" style="6" bestFit="1" customWidth="1"/>
    <col min="5905" max="5905" width="16.7265625" style="6" customWidth="1"/>
    <col min="5906" max="6149" width="9" style="6"/>
    <col min="6150" max="6150" width="16.26953125" style="6" customWidth="1"/>
    <col min="6151" max="6151" width="9" style="6"/>
    <col min="6152" max="6152" width="11.36328125" style="6" customWidth="1"/>
    <col min="6153" max="6154" width="9" style="6"/>
    <col min="6155" max="6155" width="23" style="6" bestFit="1" customWidth="1"/>
    <col min="6156" max="6156" width="10" style="6" customWidth="1"/>
    <col min="6157" max="6157" width="6.26953125" style="6" bestFit="1" customWidth="1"/>
    <col min="6158" max="6158" width="7.26953125" style="6" bestFit="1" customWidth="1"/>
    <col min="6159" max="6159" width="16.7265625" style="6" customWidth="1"/>
    <col min="6160" max="6160" width="7.26953125" style="6" bestFit="1" customWidth="1"/>
    <col min="6161" max="6161" width="16.7265625" style="6" customWidth="1"/>
    <col min="6162" max="6405" width="9" style="6"/>
    <col min="6406" max="6406" width="16.26953125" style="6" customWidth="1"/>
    <col min="6407" max="6407" width="9" style="6"/>
    <col min="6408" max="6408" width="11.36328125" style="6" customWidth="1"/>
    <col min="6409" max="6410" width="9" style="6"/>
    <col min="6411" max="6411" width="23" style="6" bestFit="1" customWidth="1"/>
    <col min="6412" max="6412" width="10" style="6" customWidth="1"/>
    <col min="6413" max="6413" width="6.26953125" style="6" bestFit="1" customWidth="1"/>
    <col min="6414" max="6414" width="7.26953125" style="6" bestFit="1" customWidth="1"/>
    <col min="6415" max="6415" width="16.7265625" style="6" customWidth="1"/>
    <col min="6416" max="6416" width="7.26953125" style="6" bestFit="1" customWidth="1"/>
    <col min="6417" max="6417" width="16.7265625" style="6" customWidth="1"/>
    <col min="6418" max="6661" width="9" style="6"/>
    <col min="6662" max="6662" width="16.26953125" style="6" customWidth="1"/>
    <col min="6663" max="6663" width="9" style="6"/>
    <col min="6664" max="6664" width="11.36328125" style="6" customWidth="1"/>
    <col min="6665" max="6666" width="9" style="6"/>
    <col min="6667" max="6667" width="23" style="6" bestFit="1" customWidth="1"/>
    <col min="6668" max="6668" width="10" style="6" customWidth="1"/>
    <col min="6669" max="6669" width="6.26953125" style="6" bestFit="1" customWidth="1"/>
    <col min="6670" max="6670" width="7.26953125" style="6" bestFit="1" customWidth="1"/>
    <col min="6671" max="6671" width="16.7265625" style="6" customWidth="1"/>
    <col min="6672" max="6672" width="7.26953125" style="6" bestFit="1" customWidth="1"/>
    <col min="6673" max="6673" width="16.7265625" style="6" customWidth="1"/>
    <col min="6674" max="6917" width="9" style="6"/>
    <col min="6918" max="6918" width="16.26953125" style="6" customWidth="1"/>
    <col min="6919" max="6919" width="9" style="6"/>
    <col min="6920" max="6920" width="11.36328125" style="6" customWidth="1"/>
    <col min="6921" max="6922" width="9" style="6"/>
    <col min="6923" max="6923" width="23" style="6" bestFit="1" customWidth="1"/>
    <col min="6924" max="6924" width="10" style="6" customWidth="1"/>
    <col min="6925" max="6925" width="6.26953125" style="6" bestFit="1" customWidth="1"/>
    <col min="6926" max="6926" width="7.26953125" style="6" bestFit="1" customWidth="1"/>
    <col min="6927" max="6927" width="16.7265625" style="6" customWidth="1"/>
    <col min="6928" max="6928" width="7.26953125" style="6" bestFit="1" customWidth="1"/>
    <col min="6929" max="6929" width="16.7265625" style="6" customWidth="1"/>
    <col min="6930" max="7173" width="9" style="6"/>
    <col min="7174" max="7174" width="16.26953125" style="6" customWidth="1"/>
    <col min="7175" max="7175" width="9" style="6"/>
    <col min="7176" max="7176" width="11.36328125" style="6" customWidth="1"/>
    <col min="7177" max="7178" width="9" style="6"/>
    <col min="7179" max="7179" width="23" style="6" bestFit="1" customWidth="1"/>
    <col min="7180" max="7180" width="10" style="6" customWidth="1"/>
    <col min="7181" max="7181" width="6.26953125" style="6" bestFit="1" customWidth="1"/>
    <col min="7182" max="7182" width="7.26953125" style="6" bestFit="1" customWidth="1"/>
    <col min="7183" max="7183" width="16.7265625" style="6" customWidth="1"/>
    <col min="7184" max="7184" width="7.26953125" style="6" bestFit="1" customWidth="1"/>
    <col min="7185" max="7185" width="16.7265625" style="6" customWidth="1"/>
    <col min="7186" max="7429" width="9" style="6"/>
    <col min="7430" max="7430" width="16.26953125" style="6" customWidth="1"/>
    <col min="7431" max="7431" width="9" style="6"/>
    <col min="7432" max="7432" width="11.36328125" style="6" customWidth="1"/>
    <col min="7433" max="7434" width="9" style="6"/>
    <col min="7435" max="7435" width="23" style="6" bestFit="1" customWidth="1"/>
    <col min="7436" max="7436" width="10" style="6" customWidth="1"/>
    <col min="7437" max="7437" width="6.26953125" style="6" bestFit="1" customWidth="1"/>
    <col min="7438" max="7438" width="7.26953125" style="6" bestFit="1" customWidth="1"/>
    <col min="7439" max="7439" width="16.7265625" style="6" customWidth="1"/>
    <col min="7440" max="7440" width="7.26953125" style="6" bestFit="1" customWidth="1"/>
    <col min="7441" max="7441" width="16.7265625" style="6" customWidth="1"/>
    <col min="7442" max="7685" width="9" style="6"/>
    <col min="7686" max="7686" width="16.26953125" style="6" customWidth="1"/>
    <col min="7687" max="7687" width="9" style="6"/>
    <col min="7688" max="7688" width="11.36328125" style="6" customWidth="1"/>
    <col min="7689" max="7690" width="9" style="6"/>
    <col min="7691" max="7691" width="23" style="6" bestFit="1" customWidth="1"/>
    <col min="7692" max="7692" width="10" style="6" customWidth="1"/>
    <col min="7693" max="7693" width="6.26953125" style="6" bestFit="1" customWidth="1"/>
    <col min="7694" max="7694" width="7.26953125" style="6" bestFit="1" customWidth="1"/>
    <col min="7695" max="7695" width="16.7265625" style="6" customWidth="1"/>
    <col min="7696" max="7696" width="7.26953125" style="6" bestFit="1" customWidth="1"/>
    <col min="7697" max="7697" width="16.7265625" style="6" customWidth="1"/>
    <col min="7698" max="7941" width="9" style="6"/>
    <col min="7942" max="7942" width="16.26953125" style="6" customWidth="1"/>
    <col min="7943" max="7943" width="9" style="6"/>
    <col min="7944" max="7944" width="11.36328125" style="6" customWidth="1"/>
    <col min="7945" max="7946" width="9" style="6"/>
    <col min="7947" max="7947" width="23" style="6" bestFit="1" customWidth="1"/>
    <col min="7948" max="7948" width="10" style="6" customWidth="1"/>
    <col min="7949" max="7949" width="6.26953125" style="6" bestFit="1" customWidth="1"/>
    <col min="7950" max="7950" width="7.26953125" style="6" bestFit="1" customWidth="1"/>
    <col min="7951" max="7951" width="16.7265625" style="6" customWidth="1"/>
    <col min="7952" max="7952" width="7.26953125" style="6" bestFit="1" customWidth="1"/>
    <col min="7953" max="7953" width="16.7265625" style="6" customWidth="1"/>
    <col min="7954" max="8197" width="9" style="6"/>
    <col min="8198" max="8198" width="16.26953125" style="6" customWidth="1"/>
    <col min="8199" max="8199" width="9" style="6"/>
    <col min="8200" max="8200" width="11.36328125" style="6" customWidth="1"/>
    <col min="8201" max="8202" width="9" style="6"/>
    <col min="8203" max="8203" width="23" style="6" bestFit="1" customWidth="1"/>
    <col min="8204" max="8204" width="10" style="6" customWidth="1"/>
    <col min="8205" max="8205" width="6.26953125" style="6" bestFit="1" customWidth="1"/>
    <col min="8206" max="8206" width="7.26953125" style="6" bestFit="1" customWidth="1"/>
    <col min="8207" max="8207" width="16.7265625" style="6" customWidth="1"/>
    <col min="8208" max="8208" width="7.26953125" style="6" bestFit="1" customWidth="1"/>
    <col min="8209" max="8209" width="16.7265625" style="6" customWidth="1"/>
    <col min="8210" max="8453" width="9" style="6"/>
    <col min="8454" max="8454" width="16.26953125" style="6" customWidth="1"/>
    <col min="8455" max="8455" width="9" style="6"/>
    <col min="8456" max="8456" width="11.36328125" style="6" customWidth="1"/>
    <col min="8457" max="8458" width="9" style="6"/>
    <col min="8459" max="8459" width="23" style="6" bestFit="1" customWidth="1"/>
    <col min="8460" max="8460" width="10" style="6" customWidth="1"/>
    <col min="8461" max="8461" width="6.26953125" style="6" bestFit="1" customWidth="1"/>
    <col min="8462" max="8462" width="7.26953125" style="6" bestFit="1" customWidth="1"/>
    <col min="8463" max="8463" width="16.7265625" style="6" customWidth="1"/>
    <col min="8464" max="8464" width="7.26953125" style="6" bestFit="1" customWidth="1"/>
    <col min="8465" max="8465" width="16.7265625" style="6" customWidth="1"/>
    <col min="8466" max="8709" width="9" style="6"/>
    <col min="8710" max="8710" width="16.26953125" style="6" customWidth="1"/>
    <col min="8711" max="8711" width="9" style="6"/>
    <col min="8712" max="8712" width="11.36328125" style="6" customWidth="1"/>
    <col min="8713" max="8714" width="9" style="6"/>
    <col min="8715" max="8715" width="23" style="6" bestFit="1" customWidth="1"/>
    <col min="8716" max="8716" width="10" style="6" customWidth="1"/>
    <col min="8717" max="8717" width="6.26953125" style="6" bestFit="1" customWidth="1"/>
    <col min="8718" max="8718" width="7.26953125" style="6" bestFit="1" customWidth="1"/>
    <col min="8719" max="8719" width="16.7265625" style="6" customWidth="1"/>
    <col min="8720" max="8720" width="7.26953125" style="6" bestFit="1" customWidth="1"/>
    <col min="8721" max="8721" width="16.7265625" style="6" customWidth="1"/>
    <col min="8722" max="8965" width="9" style="6"/>
    <col min="8966" max="8966" width="16.26953125" style="6" customWidth="1"/>
    <col min="8967" max="8967" width="9" style="6"/>
    <col min="8968" max="8968" width="11.36328125" style="6" customWidth="1"/>
    <col min="8969" max="8970" width="9" style="6"/>
    <col min="8971" max="8971" width="23" style="6" bestFit="1" customWidth="1"/>
    <col min="8972" max="8972" width="10" style="6" customWidth="1"/>
    <col min="8973" max="8973" width="6.26953125" style="6" bestFit="1" customWidth="1"/>
    <col min="8974" max="8974" width="7.26953125" style="6" bestFit="1" customWidth="1"/>
    <col min="8975" max="8975" width="16.7265625" style="6" customWidth="1"/>
    <col min="8976" max="8976" width="7.26953125" style="6" bestFit="1" customWidth="1"/>
    <col min="8977" max="8977" width="16.7265625" style="6" customWidth="1"/>
    <col min="8978" max="9221" width="9" style="6"/>
    <col min="9222" max="9222" width="16.26953125" style="6" customWidth="1"/>
    <col min="9223" max="9223" width="9" style="6"/>
    <col min="9224" max="9224" width="11.36328125" style="6" customWidth="1"/>
    <col min="9225" max="9226" width="9" style="6"/>
    <col min="9227" max="9227" width="23" style="6" bestFit="1" customWidth="1"/>
    <col min="9228" max="9228" width="10" style="6" customWidth="1"/>
    <col min="9229" max="9229" width="6.26953125" style="6" bestFit="1" customWidth="1"/>
    <col min="9230" max="9230" width="7.26953125" style="6" bestFit="1" customWidth="1"/>
    <col min="9231" max="9231" width="16.7265625" style="6" customWidth="1"/>
    <col min="9232" max="9232" width="7.26953125" style="6" bestFit="1" customWidth="1"/>
    <col min="9233" max="9233" width="16.7265625" style="6" customWidth="1"/>
    <col min="9234" max="9477" width="9" style="6"/>
    <col min="9478" max="9478" width="16.26953125" style="6" customWidth="1"/>
    <col min="9479" max="9479" width="9" style="6"/>
    <col min="9480" max="9480" width="11.36328125" style="6" customWidth="1"/>
    <col min="9481" max="9482" width="9" style="6"/>
    <col min="9483" max="9483" width="23" style="6" bestFit="1" customWidth="1"/>
    <col min="9484" max="9484" width="10" style="6" customWidth="1"/>
    <col min="9485" max="9485" width="6.26953125" style="6" bestFit="1" customWidth="1"/>
    <col min="9486" max="9486" width="7.26953125" style="6" bestFit="1" customWidth="1"/>
    <col min="9487" max="9487" width="16.7265625" style="6" customWidth="1"/>
    <col min="9488" max="9488" width="7.26953125" style="6" bestFit="1" customWidth="1"/>
    <col min="9489" max="9489" width="16.7265625" style="6" customWidth="1"/>
    <col min="9490" max="9733" width="9" style="6"/>
    <col min="9734" max="9734" width="16.26953125" style="6" customWidth="1"/>
    <col min="9735" max="9735" width="9" style="6"/>
    <col min="9736" max="9736" width="11.36328125" style="6" customWidth="1"/>
    <col min="9737" max="9738" width="9" style="6"/>
    <col min="9739" max="9739" width="23" style="6" bestFit="1" customWidth="1"/>
    <col min="9740" max="9740" width="10" style="6" customWidth="1"/>
    <col min="9741" max="9741" width="6.26953125" style="6" bestFit="1" customWidth="1"/>
    <col min="9742" max="9742" width="7.26953125" style="6" bestFit="1" customWidth="1"/>
    <col min="9743" max="9743" width="16.7265625" style="6" customWidth="1"/>
    <col min="9744" max="9744" width="7.26953125" style="6" bestFit="1" customWidth="1"/>
    <col min="9745" max="9745" width="16.7265625" style="6" customWidth="1"/>
    <col min="9746" max="9989" width="9" style="6"/>
    <col min="9990" max="9990" width="16.26953125" style="6" customWidth="1"/>
    <col min="9991" max="9991" width="9" style="6"/>
    <col min="9992" max="9992" width="11.36328125" style="6" customWidth="1"/>
    <col min="9993" max="9994" width="9" style="6"/>
    <col min="9995" max="9995" width="23" style="6" bestFit="1" customWidth="1"/>
    <col min="9996" max="9996" width="10" style="6" customWidth="1"/>
    <col min="9997" max="9997" width="6.26953125" style="6" bestFit="1" customWidth="1"/>
    <col min="9998" max="9998" width="7.26953125" style="6" bestFit="1" customWidth="1"/>
    <col min="9999" max="9999" width="16.7265625" style="6" customWidth="1"/>
    <col min="10000" max="10000" width="7.26953125" style="6" bestFit="1" customWidth="1"/>
    <col min="10001" max="10001" width="16.7265625" style="6" customWidth="1"/>
    <col min="10002" max="10245" width="9" style="6"/>
    <col min="10246" max="10246" width="16.26953125" style="6" customWidth="1"/>
    <col min="10247" max="10247" width="9" style="6"/>
    <col min="10248" max="10248" width="11.36328125" style="6" customWidth="1"/>
    <col min="10249" max="10250" width="9" style="6"/>
    <col min="10251" max="10251" width="23" style="6" bestFit="1" customWidth="1"/>
    <col min="10252" max="10252" width="10" style="6" customWidth="1"/>
    <col min="10253" max="10253" width="6.26953125" style="6" bestFit="1" customWidth="1"/>
    <col min="10254" max="10254" width="7.26953125" style="6" bestFit="1" customWidth="1"/>
    <col min="10255" max="10255" width="16.7265625" style="6" customWidth="1"/>
    <col min="10256" max="10256" width="7.26953125" style="6" bestFit="1" customWidth="1"/>
    <col min="10257" max="10257" width="16.7265625" style="6" customWidth="1"/>
    <col min="10258" max="10501" width="9" style="6"/>
    <col min="10502" max="10502" width="16.26953125" style="6" customWidth="1"/>
    <col min="10503" max="10503" width="9" style="6"/>
    <col min="10504" max="10504" width="11.36328125" style="6" customWidth="1"/>
    <col min="10505" max="10506" width="9" style="6"/>
    <col min="10507" max="10507" width="23" style="6" bestFit="1" customWidth="1"/>
    <col min="10508" max="10508" width="10" style="6" customWidth="1"/>
    <col min="10509" max="10509" width="6.26953125" style="6" bestFit="1" customWidth="1"/>
    <col min="10510" max="10510" width="7.26953125" style="6" bestFit="1" customWidth="1"/>
    <col min="10511" max="10511" width="16.7265625" style="6" customWidth="1"/>
    <col min="10512" max="10512" width="7.26953125" style="6" bestFit="1" customWidth="1"/>
    <col min="10513" max="10513" width="16.7265625" style="6" customWidth="1"/>
    <col min="10514" max="10757" width="9" style="6"/>
    <col min="10758" max="10758" width="16.26953125" style="6" customWidth="1"/>
    <col min="10759" max="10759" width="9" style="6"/>
    <col min="10760" max="10760" width="11.36328125" style="6" customWidth="1"/>
    <col min="10761" max="10762" width="9" style="6"/>
    <col min="10763" max="10763" width="23" style="6" bestFit="1" customWidth="1"/>
    <col min="10764" max="10764" width="10" style="6" customWidth="1"/>
    <col min="10765" max="10765" width="6.26953125" style="6" bestFit="1" customWidth="1"/>
    <col min="10766" max="10766" width="7.26953125" style="6" bestFit="1" customWidth="1"/>
    <col min="10767" max="10767" width="16.7265625" style="6" customWidth="1"/>
    <col min="10768" max="10768" width="7.26953125" style="6" bestFit="1" customWidth="1"/>
    <col min="10769" max="10769" width="16.7265625" style="6" customWidth="1"/>
    <col min="10770" max="11013" width="9" style="6"/>
    <col min="11014" max="11014" width="16.26953125" style="6" customWidth="1"/>
    <col min="11015" max="11015" width="9" style="6"/>
    <col min="11016" max="11016" width="11.36328125" style="6" customWidth="1"/>
    <col min="11017" max="11018" width="9" style="6"/>
    <col min="11019" max="11019" width="23" style="6" bestFit="1" customWidth="1"/>
    <col min="11020" max="11020" width="10" style="6" customWidth="1"/>
    <col min="11021" max="11021" width="6.26953125" style="6" bestFit="1" customWidth="1"/>
    <col min="11022" max="11022" width="7.26953125" style="6" bestFit="1" customWidth="1"/>
    <col min="11023" max="11023" width="16.7265625" style="6" customWidth="1"/>
    <col min="11024" max="11024" width="7.26953125" style="6" bestFit="1" customWidth="1"/>
    <col min="11025" max="11025" width="16.7265625" style="6" customWidth="1"/>
    <col min="11026" max="11269" width="9" style="6"/>
    <col min="11270" max="11270" width="16.26953125" style="6" customWidth="1"/>
    <col min="11271" max="11271" width="9" style="6"/>
    <col min="11272" max="11272" width="11.36328125" style="6" customWidth="1"/>
    <col min="11273" max="11274" width="9" style="6"/>
    <col min="11275" max="11275" width="23" style="6" bestFit="1" customWidth="1"/>
    <col min="11276" max="11276" width="10" style="6" customWidth="1"/>
    <col min="11277" max="11277" width="6.26953125" style="6" bestFit="1" customWidth="1"/>
    <col min="11278" max="11278" width="7.26953125" style="6" bestFit="1" customWidth="1"/>
    <col min="11279" max="11279" width="16.7265625" style="6" customWidth="1"/>
    <col min="11280" max="11280" width="7.26953125" style="6" bestFit="1" customWidth="1"/>
    <col min="11281" max="11281" width="16.7265625" style="6" customWidth="1"/>
    <col min="11282" max="11525" width="9" style="6"/>
    <col min="11526" max="11526" width="16.26953125" style="6" customWidth="1"/>
    <col min="11527" max="11527" width="9" style="6"/>
    <col min="11528" max="11528" width="11.36328125" style="6" customWidth="1"/>
    <col min="11529" max="11530" width="9" style="6"/>
    <col min="11531" max="11531" width="23" style="6" bestFit="1" customWidth="1"/>
    <col min="11532" max="11532" width="10" style="6" customWidth="1"/>
    <col min="11533" max="11533" width="6.26953125" style="6" bestFit="1" customWidth="1"/>
    <col min="11534" max="11534" width="7.26953125" style="6" bestFit="1" customWidth="1"/>
    <col min="11535" max="11535" width="16.7265625" style="6" customWidth="1"/>
    <col min="11536" max="11536" width="7.26953125" style="6" bestFit="1" customWidth="1"/>
    <col min="11537" max="11537" width="16.7265625" style="6" customWidth="1"/>
    <col min="11538" max="11781" width="9" style="6"/>
    <col min="11782" max="11782" width="16.26953125" style="6" customWidth="1"/>
    <col min="11783" max="11783" width="9" style="6"/>
    <col min="11784" max="11784" width="11.36328125" style="6" customWidth="1"/>
    <col min="11785" max="11786" width="9" style="6"/>
    <col min="11787" max="11787" width="23" style="6" bestFit="1" customWidth="1"/>
    <col min="11788" max="11788" width="10" style="6" customWidth="1"/>
    <col min="11789" max="11789" width="6.26953125" style="6" bestFit="1" customWidth="1"/>
    <col min="11790" max="11790" width="7.26953125" style="6" bestFit="1" customWidth="1"/>
    <col min="11791" max="11791" width="16.7265625" style="6" customWidth="1"/>
    <col min="11792" max="11792" width="7.26953125" style="6" bestFit="1" customWidth="1"/>
    <col min="11793" max="11793" width="16.7265625" style="6" customWidth="1"/>
    <col min="11794" max="12037" width="9" style="6"/>
    <col min="12038" max="12038" width="16.26953125" style="6" customWidth="1"/>
    <col min="12039" max="12039" width="9" style="6"/>
    <col min="12040" max="12040" width="11.36328125" style="6" customWidth="1"/>
    <col min="12041" max="12042" width="9" style="6"/>
    <col min="12043" max="12043" width="23" style="6" bestFit="1" customWidth="1"/>
    <col min="12044" max="12044" width="10" style="6" customWidth="1"/>
    <col min="12045" max="12045" width="6.26953125" style="6" bestFit="1" customWidth="1"/>
    <col min="12046" max="12046" width="7.26953125" style="6" bestFit="1" customWidth="1"/>
    <col min="12047" max="12047" width="16.7265625" style="6" customWidth="1"/>
    <col min="12048" max="12048" width="7.26953125" style="6" bestFit="1" customWidth="1"/>
    <col min="12049" max="12049" width="16.7265625" style="6" customWidth="1"/>
    <col min="12050" max="12293" width="9" style="6"/>
    <col min="12294" max="12294" width="16.26953125" style="6" customWidth="1"/>
    <col min="12295" max="12295" width="9" style="6"/>
    <col min="12296" max="12296" width="11.36328125" style="6" customWidth="1"/>
    <col min="12297" max="12298" width="9" style="6"/>
    <col min="12299" max="12299" width="23" style="6" bestFit="1" customWidth="1"/>
    <col min="12300" max="12300" width="10" style="6" customWidth="1"/>
    <col min="12301" max="12301" width="6.26953125" style="6" bestFit="1" customWidth="1"/>
    <col min="12302" max="12302" width="7.26953125" style="6" bestFit="1" customWidth="1"/>
    <col min="12303" max="12303" width="16.7265625" style="6" customWidth="1"/>
    <col min="12304" max="12304" width="7.26953125" style="6" bestFit="1" customWidth="1"/>
    <col min="12305" max="12305" width="16.7265625" style="6" customWidth="1"/>
    <col min="12306" max="12549" width="9" style="6"/>
    <col min="12550" max="12550" width="16.26953125" style="6" customWidth="1"/>
    <col min="12551" max="12551" width="9" style="6"/>
    <col min="12552" max="12552" width="11.36328125" style="6" customWidth="1"/>
    <col min="12553" max="12554" width="9" style="6"/>
    <col min="12555" max="12555" width="23" style="6" bestFit="1" customWidth="1"/>
    <col min="12556" max="12556" width="10" style="6" customWidth="1"/>
    <col min="12557" max="12557" width="6.26953125" style="6" bestFit="1" customWidth="1"/>
    <col min="12558" max="12558" width="7.26953125" style="6" bestFit="1" customWidth="1"/>
    <col min="12559" max="12559" width="16.7265625" style="6" customWidth="1"/>
    <col min="12560" max="12560" width="7.26953125" style="6" bestFit="1" customWidth="1"/>
    <col min="12561" max="12561" width="16.7265625" style="6" customWidth="1"/>
    <col min="12562" max="12805" width="9" style="6"/>
    <col min="12806" max="12806" width="16.26953125" style="6" customWidth="1"/>
    <col min="12807" max="12807" width="9" style="6"/>
    <col min="12808" max="12808" width="11.36328125" style="6" customWidth="1"/>
    <col min="12809" max="12810" width="9" style="6"/>
    <col min="12811" max="12811" width="23" style="6" bestFit="1" customWidth="1"/>
    <col min="12812" max="12812" width="10" style="6" customWidth="1"/>
    <col min="12813" max="12813" width="6.26953125" style="6" bestFit="1" customWidth="1"/>
    <col min="12814" max="12814" width="7.26953125" style="6" bestFit="1" customWidth="1"/>
    <col min="12815" max="12815" width="16.7265625" style="6" customWidth="1"/>
    <col min="12816" max="12816" width="7.26953125" style="6" bestFit="1" customWidth="1"/>
    <col min="12817" max="12817" width="16.7265625" style="6" customWidth="1"/>
    <col min="12818" max="13061" width="9" style="6"/>
    <col min="13062" max="13062" width="16.26953125" style="6" customWidth="1"/>
    <col min="13063" max="13063" width="9" style="6"/>
    <col min="13064" max="13064" width="11.36328125" style="6" customWidth="1"/>
    <col min="13065" max="13066" width="9" style="6"/>
    <col min="13067" max="13067" width="23" style="6" bestFit="1" customWidth="1"/>
    <col min="13068" max="13068" width="10" style="6" customWidth="1"/>
    <col min="13069" max="13069" width="6.26953125" style="6" bestFit="1" customWidth="1"/>
    <col min="13070" max="13070" width="7.26953125" style="6" bestFit="1" customWidth="1"/>
    <col min="13071" max="13071" width="16.7265625" style="6" customWidth="1"/>
    <col min="13072" max="13072" width="7.26953125" style="6" bestFit="1" customWidth="1"/>
    <col min="13073" max="13073" width="16.7265625" style="6" customWidth="1"/>
    <col min="13074" max="13317" width="9" style="6"/>
    <col min="13318" max="13318" width="16.26953125" style="6" customWidth="1"/>
    <col min="13319" max="13319" width="9" style="6"/>
    <col min="13320" max="13320" width="11.36328125" style="6" customWidth="1"/>
    <col min="13321" max="13322" width="9" style="6"/>
    <col min="13323" max="13323" width="23" style="6" bestFit="1" customWidth="1"/>
    <col min="13324" max="13324" width="10" style="6" customWidth="1"/>
    <col min="13325" max="13325" width="6.26953125" style="6" bestFit="1" customWidth="1"/>
    <col min="13326" max="13326" width="7.26953125" style="6" bestFit="1" customWidth="1"/>
    <col min="13327" max="13327" width="16.7265625" style="6" customWidth="1"/>
    <col min="13328" max="13328" width="7.26953125" style="6" bestFit="1" customWidth="1"/>
    <col min="13329" max="13329" width="16.7265625" style="6" customWidth="1"/>
    <col min="13330" max="13573" width="9" style="6"/>
    <col min="13574" max="13574" width="16.26953125" style="6" customWidth="1"/>
    <col min="13575" max="13575" width="9" style="6"/>
    <col min="13576" max="13576" width="11.36328125" style="6" customWidth="1"/>
    <col min="13577" max="13578" width="9" style="6"/>
    <col min="13579" max="13579" width="23" style="6" bestFit="1" customWidth="1"/>
    <col min="13580" max="13580" width="10" style="6" customWidth="1"/>
    <col min="13581" max="13581" width="6.26953125" style="6" bestFit="1" customWidth="1"/>
    <col min="13582" max="13582" width="7.26953125" style="6" bestFit="1" customWidth="1"/>
    <col min="13583" max="13583" width="16.7265625" style="6" customWidth="1"/>
    <col min="13584" max="13584" width="7.26953125" style="6" bestFit="1" customWidth="1"/>
    <col min="13585" max="13585" width="16.7265625" style="6" customWidth="1"/>
    <col min="13586" max="13829" width="9" style="6"/>
    <col min="13830" max="13830" width="16.26953125" style="6" customWidth="1"/>
    <col min="13831" max="13831" width="9" style="6"/>
    <col min="13832" max="13832" width="11.36328125" style="6" customWidth="1"/>
    <col min="13833" max="13834" width="9" style="6"/>
    <col min="13835" max="13835" width="23" style="6" bestFit="1" customWidth="1"/>
    <col min="13836" max="13836" width="10" style="6" customWidth="1"/>
    <col min="13837" max="13837" width="6.26953125" style="6" bestFit="1" customWidth="1"/>
    <col min="13838" max="13838" width="7.26953125" style="6" bestFit="1" customWidth="1"/>
    <col min="13839" max="13839" width="16.7265625" style="6" customWidth="1"/>
    <col min="13840" max="13840" width="7.26953125" style="6" bestFit="1" customWidth="1"/>
    <col min="13841" max="13841" width="16.7265625" style="6" customWidth="1"/>
    <col min="13842" max="14085" width="9" style="6"/>
    <col min="14086" max="14086" width="16.26953125" style="6" customWidth="1"/>
    <col min="14087" max="14087" width="9" style="6"/>
    <col min="14088" max="14088" width="11.36328125" style="6" customWidth="1"/>
    <col min="14089" max="14090" width="9" style="6"/>
    <col min="14091" max="14091" width="23" style="6" bestFit="1" customWidth="1"/>
    <col min="14092" max="14092" width="10" style="6" customWidth="1"/>
    <col min="14093" max="14093" width="6.26953125" style="6" bestFit="1" customWidth="1"/>
    <col min="14094" max="14094" width="7.26953125" style="6" bestFit="1" customWidth="1"/>
    <col min="14095" max="14095" width="16.7265625" style="6" customWidth="1"/>
    <col min="14096" max="14096" width="7.26953125" style="6" bestFit="1" customWidth="1"/>
    <col min="14097" max="14097" width="16.7265625" style="6" customWidth="1"/>
    <col min="14098" max="14341" width="9" style="6"/>
    <col min="14342" max="14342" width="16.26953125" style="6" customWidth="1"/>
    <col min="14343" max="14343" width="9" style="6"/>
    <col min="14344" max="14344" width="11.36328125" style="6" customWidth="1"/>
    <col min="14345" max="14346" width="9" style="6"/>
    <col min="14347" max="14347" width="23" style="6" bestFit="1" customWidth="1"/>
    <col min="14348" max="14348" width="10" style="6" customWidth="1"/>
    <col min="14349" max="14349" width="6.26953125" style="6" bestFit="1" customWidth="1"/>
    <col min="14350" max="14350" width="7.26953125" style="6" bestFit="1" customWidth="1"/>
    <col min="14351" max="14351" width="16.7265625" style="6" customWidth="1"/>
    <col min="14352" max="14352" width="7.26953125" style="6" bestFit="1" customWidth="1"/>
    <col min="14353" max="14353" width="16.7265625" style="6" customWidth="1"/>
    <col min="14354" max="14597" width="9" style="6"/>
    <col min="14598" max="14598" width="16.26953125" style="6" customWidth="1"/>
    <col min="14599" max="14599" width="9" style="6"/>
    <col min="14600" max="14600" width="11.36328125" style="6" customWidth="1"/>
    <col min="14601" max="14602" width="9" style="6"/>
    <col min="14603" max="14603" width="23" style="6" bestFit="1" customWidth="1"/>
    <col min="14604" max="14604" width="10" style="6" customWidth="1"/>
    <col min="14605" max="14605" width="6.26953125" style="6" bestFit="1" customWidth="1"/>
    <col min="14606" max="14606" width="7.26953125" style="6" bestFit="1" customWidth="1"/>
    <col min="14607" max="14607" width="16.7265625" style="6" customWidth="1"/>
    <col min="14608" max="14608" width="7.26953125" style="6" bestFit="1" customWidth="1"/>
    <col min="14609" max="14609" width="16.7265625" style="6" customWidth="1"/>
    <col min="14610" max="14853" width="9" style="6"/>
    <col min="14854" max="14854" width="16.26953125" style="6" customWidth="1"/>
    <col min="14855" max="14855" width="9" style="6"/>
    <col min="14856" max="14856" width="11.36328125" style="6" customWidth="1"/>
    <col min="14857" max="14858" width="9" style="6"/>
    <col min="14859" max="14859" width="23" style="6" bestFit="1" customWidth="1"/>
    <col min="14860" max="14860" width="10" style="6" customWidth="1"/>
    <col min="14861" max="14861" width="6.26953125" style="6" bestFit="1" customWidth="1"/>
    <col min="14862" max="14862" width="7.26953125" style="6" bestFit="1" customWidth="1"/>
    <col min="14863" max="14863" width="16.7265625" style="6" customWidth="1"/>
    <col min="14864" max="14864" width="7.26953125" style="6" bestFit="1" customWidth="1"/>
    <col min="14865" max="14865" width="16.7265625" style="6" customWidth="1"/>
    <col min="14866" max="15109" width="9" style="6"/>
    <col min="15110" max="15110" width="16.26953125" style="6" customWidth="1"/>
    <col min="15111" max="15111" width="9" style="6"/>
    <col min="15112" max="15112" width="11.36328125" style="6" customWidth="1"/>
    <col min="15113" max="15114" width="9" style="6"/>
    <col min="15115" max="15115" width="23" style="6" bestFit="1" customWidth="1"/>
    <col min="15116" max="15116" width="10" style="6" customWidth="1"/>
    <col min="15117" max="15117" width="6.26953125" style="6" bestFit="1" customWidth="1"/>
    <col min="15118" max="15118" width="7.26953125" style="6" bestFit="1" customWidth="1"/>
    <col min="15119" max="15119" width="16.7265625" style="6" customWidth="1"/>
    <col min="15120" max="15120" width="7.26953125" style="6" bestFit="1" customWidth="1"/>
    <col min="15121" max="15121" width="16.7265625" style="6" customWidth="1"/>
    <col min="15122" max="15365" width="9" style="6"/>
    <col min="15366" max="15366" width="16.26953125" style="6" customWidth="1"/>
    <col min="15367" max="15367" width="9" style="6"/>
    <col min="15368" max="15368" width="11.36328125" style="6" customWidth="1"/>
    <col min="15369" max="15370" width="9" style="6"/>
    <col min="15371" max="15371" width="23" style="6" bestFit="1" customWidth="1"/>
    <col min="15372" max="15372" width="10" style="6" customWidth="1"/>
    <col min="15373" max="15373" width="6.26953125" style="6" bestFit="1" customWidth="1"/>
    <col min="15374" max="15374" width="7.26953125" style="6" bestFit="1" customWidth="1"/>
    <col min="15375" max="15375" width="16.7265625" style="6" customWidth="1"/>
    <col min="15376" max="15376" width="7.26953125" style="6" bestFit="1" customWidth="1"/>
    <col min="15377" max="15377" width="16.7265625" style="6" customWidth="1"/>
    <col min="15378" max="15621" width="9" style="6"/>
    <col min="15622" max="15622" width="16.26953125" style="6" customWidth="1"/>
    <col min="15623" max="15623" width="9" style="6"/>
    <col min="15624" max="15624" width="11.36328125" style="6" customWidth="1"/>
    <col min="15625" max="15626" width="9" style="6"/>
    <col min="15627" max="15627" width="23" style="6" bestFit="1" customWidth="1"/>
    <col min="15628" max="15628" width="10" style="6" customWidth="1"/>
    <col min="15629" max="15629" width="6.26953125" style="6" bestFit="1" customWidth="1"/>
    <col min="15630" max="15630" width="7.26953125" style="6" bestFit="1" customWidth="1"/>
    <col min="15631" max="15631" width="16.7265625" style="6" customWidth="1"/>
    <col min="15632" max="15632" width="7.26953125" style="6" bestFit="1" customWidth="1"/>
    <col min="15633" max="15633" width="16.7265625" style="6" customWidth="1"/>
    <col min="15634" max="15877" width="9" style="6"/>
    <col min="15878" max="15878" width="16.26953125" style="6" customWidth="1"/>
    <col min="15879" max="15879" width="9" style="6"/>
    <col min="15880" max="15880" width="11.36328125" style="6" customWidth="1"/>
    <col min="15881" max="15882" width="9" style="6"/>
    <col min="15883" max="15883" width="23" style="6" bestFit="1" customWidth="1"/>
    <col min="15884" max="15884" width="10" style="6" customWidth="1"/>
    <col min="15885" max="15885" width="6.26953125" style="6" bestFit="1" customWidth="1"/>
    <col min="15886" max="15886" width="7.26953125" style="6" bestFit="1" customWidth="1"/>
    <col min="15887" max="15887" width="16.7265625" style="6" customWidth="1"/>
    <col min="15888" max="15888" width="7.26953125" style="6" bestFit="1" customWidth="1"/>
    <col min="15889" max="15889" width="16.7265625" style="6" customWidth="1"/>
    <col min="15890" max="16133" width="9" style="6"/>
    <col min="16134" max="16134" width="16.26953125" style="6" customWidth="1"/>
    <col min="16135" max="16135" width="9" style="6"/>
    <col min="16136" max="16136" width="11.36328125" style="6" customWidth="1"/>
    <col min="16137" max="16138" width="9" style="6"/>
    <col min="16139" max="16139" width="23" style="6" bestFit="1" customWidth="1"/>
    <col min="16140" max="16140" width="10" style="6" customWidth="1"/>
    <col min="16141" max="16141" width="6.26953125" style="6" bestFit="1" customWidth="1"/>
    <col min="16142" max="16142" width="7.26953125" style="6" bestFit="1" customWidth="1"/>
    <col min="16143" max="16143" width="16.7265625" style="6" customWidth="1"/>
    <col min="16144" max="16144" width="7.26953125" style="6" bestFit="1" customWidth="1"/>
    <col min="16145" max="16145" width="16.7265625" style="6" customWidth="1"/>
    <col min="16146" max="16384" width="9" style="6"/>
  </cols>
  <sheetData>
    <row r="1" spans="1:26" s="17" customFormat="1" ht="23.5" customHeight="1">
      <c r="A1" s="35"/>
      <c r="B1" s="35"/>
      <c r="C1" s="35"/>
      <c r="D1" s="35"/>
      <c r="E1" s="35"/>
      <c r="F1" s="35"/>
      <c r="G1" s="35"/>
      <c r="H1" s="35"/>
      <c r="I1" s="35"/>
      <c r="J1" s="35"/>
      <c r="K1" s="35"/>
      <c r="L1" s="35"/>
      <c r="M1" s="147" t="str">
        <f>資訊清單資訊!B3 &amp;資訊清單資訊!B7 &amp;資訊清單資訊!B5</f>
        <v>石油與天然氣輸儲查核與檢測雲端平台資料類(DA)資訊資產風險評鑑</v>
      </c>
      <c r="N1" s="147"/>
      <c r="O1" s="147"/>
      <c r="P1" s="147"/>
      <c r="Q1" s="147"/>
      <c r="R1" s="147"/>
      <c r="S1" s="147"/>
      <c r="T1" s="147"/>
      <c r="U1" s="147"/>
      <c r="V1" s="147"/>
      <c r="W1" s="147"/>
      <c r="X1" s="147"/>
      <c r="Y1" s="147"/>
      <c r="Z1" s="147"/>
    </row>
    <row r="2" spans="1:26">
      <c r="M2" s="37" t="s">
        <v>9</v>
      </c>
      <c r="N2" s="109" t="str">
        <f>資訊清單資訊!B7</f>
        <v>資料類(DA)</v>
      </c>
      <c r="O2" s="110"/>
      <c r="P2" s="111"/>
      <c r="Q2" s="61"/>
      <c r="R2" s="29" t="s">
        <v>11</v>
      </c>
      <c r="S2" s="15">
        <f>IF(ISNA(VLOOKUP($N$3,ALL_LIST,16,FALSE)), "",VLOOKUP($N$3,ALL_LIST,16,FALSE))</f>
        <v>2</v>
      </c>
    </row>
    <row r="3" spans="1:26" ht="31.75" customHeight="1">
      <c r="M3" s="40" t="s">
        <v>5</v>
      </c>
      <c r="N3" s="112" t="s">
        <v>206</v>
      </c>
      <c r="O3" s="113"/>
      <c r="P3" s="114"/>
      <c r="R3" s="28" t="s">
        <v>72</v>
      </c>
      <c r="S3" s="16">
        <f>IF(ISNA(VLOOKUP($N$3,ALL_LIST,8,FALSE)), "",VLOOKUP($N$3,ALL_LIST,8,FALSE))</f>
        <v>2</v>
      </c>
    </row>
    <row r="4" spans="1:26" ht="31.75" customHeight="1">
      <c r="M4" s="38" t="s">
        <v>10</v>
      </c>
      <c r="N4" s="115" t="str">
        <f>IF(ISNA(VLOOKUP($N$3,ALL_LIST,3,FALSE)), "",VLOOKUP($N$3,ALL_LIST,3,FALSE))</f>
        <v>資通安全維護計畫</v>
      </c>
      <c r="O4" s="116"/>
      <c r="P4" s="117"/>
      <c r="Q4" s="61"/>
      <c r="R4" s="28" t="s">
        <v>73</v>
      </c>
      <c r="S4" s="16">
        <f>IF(ISNA(VLOOKUP($N$3,ALL_LIST,10,FALSE)), "",VLOOKUP($N$3,ALL_LIST,10,FALSE))</f>
        <v>1</v>
      </c>
    </row>
    <row r="5" spans="1:26">
      <c r="M5" s="37" t="s">
        <v>6</v>
      </c>
      <c r="N5" s="118" t="str">
        <f>IF(ISNA(VLOOKUP($N$3,ALL_LIST,17,FALSE)), "",VLOOKUP($N$3,ALL_LIST,17,FALSE))</f>
        <v>賴斐瓔 </v>
      </c>
      <c r="O5" s="119"/>
      <c r="P5" s="120"/>
      <c r="Q5" s="61"/>
      <c r="R5" s="28" t="s">
        <v>74</v>
      </c>
      <c r="S5" s="16">
        <f>IF(ISNA(VLOOKUP($N$3,ALL_LIST,12,FALSE)), " ",VLOOKUP($N$3,ALL_LIST,12,FALSE))</f>
        <v>1</v>
      </c>
    </row>
    <row r="6" spans="1:26">
      <c r="M6" s="39" t="s">
        <v>7</v>
      </c>
      <c r="N6" s="121" t="s">
        <v>232</v>
      </c>
      <c r="O6" s="122"/>
      <c r="P6" s="123"/>
      <c r="R6" s="28" t="s">
        <v>75</v>
      </c>
      <c r="S6" s="16">
        <f>IF(ISNA(VLOOKUP($N$3,ALL_LIST,14,FALSE)), "",VLOOKUP($N$3,ALL_LIST,14,FALSE))</f>
        <v>2</v>
      </c>
    </row>
    <row r="7" spans="1:26">
      <c r="M7" s="39" t="s">
        <v>8</v>
      </c>
      <c r="N7" s="124" t="s">
        <v>205</v>
      </c>
      <c r="O7" s="125"/>
      <c r="P7" s="126"/>
      <c r="Q7" s="61"/>
      <c r="R7" s="30" t="s">
        <v>12</v>
      </c>
      <c r="S7" s="22">
        <f>MAX(Y11:Y34)</f>
        <v>8</v>
      </c>
    </row>
    <row r="10" spans="1:26" s="18" customFormat="1" ht="16">
      <c r="A10" s="31" t="s">
        <v>13</v>
      </c>
      <c r="B10" s="31" t="s">
        <v>14</v>
      </c>
      <c r="C10" s="31" t="s">
        <v>15</v>
      </c>
      <c r="D10" s="31" t="s">
        <v>16</v>
      </c>
      <c r="E10" s="31" t="s">
        <v>3</v>
      </c>
      <c r="F10" s="31" t="s">
        <v>17</v>
      </c>
      <c r="G10" s="32" t="s">
        <v>18</v>
      </c>
      <c r="H10" s="32" t="s">
        <v>19</v>
      </c>
      <c r="I10" s="32" t="s">
        <v>20</v>
      </c>
      <c r="J10" s="32" t="s">
        <v>21</v>
      </c>
      <c r="K10" s="33" t="s">
        <v>22</v>
      </c>
      <c r="L10" s="34" t="s">
        <v>31</v>
      </c>
      <c r="M10" s="151" t="s">
        <v>23</v>
      </c>
      <c r="N10" s="152"/>
      <c r="O10" s="153"/>
      <c r="P10" s="151" t="s">
        <v>4</v>
      </c>
      <c r="Q10" s="152"/>
      <c r="R10" s="152"/>
      <c r="S10" s="153"/>
      <c r="T10" s="27" t="s">
        <v>24</v>
      </c>
      <c r="U10" s="27" t="s">
        <v>25</v>
      </c>
      <c r="V10" s="27" t="s">
        <v>26</v>
      </c>
      <c r="W10" s="27" t="s">
        <v>27</v>
      </c>
      <c r="X10" s="27" t="s">
        <v>26</v>
      </c>
      <c r="Y10" s="27" t="s">
        <v>28</v>
      </c>
      <c r="Z10" s="27" t="s">
        <v>29</v>
      </c>
    </row>
    <row r="11" spans="1:26" ht="59" customHeight="1">
      <c r="A11" s="52" t="str">
        <f>$N$3</f>
        <v>材1-1-DA-01</v>
      </c>
      <c r="B11" s="52">
        <f t="shared" ref="B11:B34" si="0">VLOOKUP($N$3,ALL_LIST,2,FALSE)</f>
        <v>0</v>
      </c>
      <c r="C11" s="52" t="str">
        <f t="shared" ref="C11:C34" si="1">VLOOKUP($N$3,ALL_LIST,3,FALSE)</f>
        <v>資通安全維護計畫</v>
      </c>
      <c r="D11" s="52" t="str">
        <f t="shared" ref="D11:D34" si="2">VLOOKUP($N$3,ALL_LIST,4,FALSE)</f>
        <v>交付能源局之資通安全維護計畫</v>
      </c>
      <c r="E11" s="52">
        <f t="shared" ref="E11:E34" si="3">VLOOKUP($N$3,ALL_LIST,6,FALSE)</f>
        <v>2</v>
      </c>
      <c r="F11" s="52" t="str">
        <f t="shared" ref="F11:F34" si="4">VLOOKUP($N$3,ALL_LIST,7,FALSE)</f>
        <v>賴斐瓔 </v>
      </c>
      <c r="G11" s="52">
        <f t="shared" ref="G11:G34" si="5">VLOOKUP($N$3,ALL_LIST,8,FALSE)</f>
        <v>2</v>
      </c>
      <c r="H11" s="52">
        <f t="shared" ref="H11:H34" si="6">VLOOKUP($N$3,ALL_LIST,10,FALSE)</f>
        <v>1</v>
      </c>
      <c r="I11" s="52">
        <f t="shared" ref="I11:I34" si="7">VLOOKUP($N$3,ALL_LIST,12,FALSE)</f>
        <v>1</v>
      </c>
      <c r="J11" s="52">
        <f t="shared" ref="J11:J34" si="8">VLOOKUP($N$3,ALL_LIST,14,FALSE)</f>
        <v>2</v>
      </c>
      <c r="K11" s="53">
        <f t="shared" ref="K11:K34" si="9">VLOOKUP($N$3,ALL_LIST,16,FALSE)</f>
        <v>2</v>
      </c>
      <c r="L11" s="53">
        <f>$S$7</f>
        <v>8</v>
      </c>
      <c r="M11" s="127" t="s">
        <v>114</v>
      </c>
      <c r="N11" s="128" t="s">
        <v>77</v>
      </c>
      <c r="O11" s="129" t="s">
        <v>77</v>
      </c>
      <c r="P11" s="130" t="s">
        <v>113</v>
      </c>
      <c r="Q11" s="131"/>
      <c r="R11" s="131"/>
      <c r="S11" s="131"/>
      <c r="T11" s="54" t="s">
        <v>161</v>
      </c>
      <c r="U11" s="54">
        <v>2</v>
      </c>
      <c r="V11" s="196" t="s">
        <v>220</v>
      </c>
      <c r="W11" s="54">
        <v>2</v>
      </c>
      <c r="X11" s="55" t="s">
        <v>211</v>
      </c>
      <c r="Y11" s="56">
        <f>IF((T11="N"),"不適用",IF(COUNTA(U11,W11)&lt;2,"評鑑中",$S$2*U11*W11))</f>
        <v>8</v>
      </c>
      <c r="Z11" s="49"/>
    </row>
    <row r="12" spans="1:26" ht="62">
      <c r="A12" s="52" t="str">
        <f t="shared" ref="A12:A34" si="10">$N$3</f>
        <v>材1-1-DA-01</v>
      </c>
      <c r="B12" s="52">
        <f t="shared" si="0"/>
        <v>0</v>
      </c>
      <c r="C12" s="52" t="str">
        <f t="shared" si="1"/>
        <v>資通安全維護計畫</v>
      </c>
      <c r="D12" s="52" t="str">
        <f t="shared" si="2"/>
        <v>交付能源局之資通安全維護計畫</v>
      </c>
      <c r="E12" s="52">
        <f t="shared" si="3"/>
        <v>2</v>
      </c>
      <c r="F12" s="52" t="str">
        <f t="shared" si="4"/>
        <v>賴斐瓔 </v>
      </c>
      <c r="G12" s="52">
        <f t="shared" si="5"/>
        <v>2</v>
      </c>
      <c r="H12" s="52">
        <f t="shared" si="6"/>
        <v>1</v>
      </c>
      <c r="I12" s="52">
        <f t="shared" si="7"/>
        <v>1</v>
      </c>
      <c r="J12" s="52">
        <f t="shared" si="8"/>
        <v>2</v>
      </c>
      <c r="K12" s="53">
        <f t="shared" si="9"/>
        <v>2</v>
      </c>
      <c r="L12" s="53">
        <f>$S$7</f>
        <v>8</v>
      </c>
      <c r="M12" s="132" t="s">
        <v>114</v>
      </c>
      <c r="N12" s="133"/>
      <c r="O12" s="134"/>
      <c r="P12" s="135" t="s">
        <v>115</v>
      </c>
      <c r="Q12" s="136"/>
      <c r="R12" s="136"/>
      <c r="S12" s="136"/>
      <c r="T12" s="54" t="s">
        <v>161</v>
      </c>
      <c r="U12" s="54">
        <v>2</v>
      </c>
      <c r="V12" s="197" t="s">
        <v>221</v>
      </c>
      <c r="W12" s="54">
        <v>2</v>
      </c>
      <c r="X12" s="55" t="s">
        <v>211</v>
      </c>
      <c r="Y12" s="56">
        <f t="shared" ref="Y12:Y33" si="11">IF((T12="N"),"不適用",IF(COUNTA(U12,W12)&lt;2,"評鑑中",$S$2*U12*W12))</f>
        <v>8</v>
      </c>
      <c r="Z12" s="49"/>
    </row>
    <row r="13" spans="1:26" ht="46.5">
      <c r="A13" s="52" t="str">
        <f t="shared" si="10"/>
        <v>材1-1-DA-01</v>
      </c>
      <c r="B13" s="52">
        <f t="shared" si="0"/>
        <v>0</v>
      </c>
      <c r="C13" s="52" t="str">
        <f t="shared" si="1"/>
        <v>資通安全維護計畫</v>
      </c>
      <c r="D13" s="52" t="str">
        <f t="shared" si="2"/>
        <v>交付能源局之資通安全維護計畫</v>
      </c>
      <c r="E13" s="52">
        <f t="shared" si="3"/>
        <v>2</v>
      </c>
      <c r="F13" s="52" t="str">
        <f t="shared" si="4"/>
        <v>賴斐瓔 </v>
      </c>
      <c r="G13" s="52">
        <f t="shared" si="5"/>
        <v>2</v>
      </c>
      <c r="H13" s="52">
        <f t="shared" si="6"/>
        <v>1</v>
      </c>
      <c r="I13" s="52">
        <f t="shared" si="7"/>
        <v>1</v>
      </c>
      <c r="J13" s="52">
        <f t="shared" si="8"/>
        <v>2</v>
      </c>
      <c r="K13" s="53">
        <f t="shared" si="9"/>
        <v>2</v>
      </c>
      <c r="L13" s="53">
        <f>$S$7</f>
        <v>8</v>
      </c>
      <c r="M13" s="132" t="s">
        <v>114</v>
      </c>
      <c r="N13" s="133"/>
      <c r="O13" s="134"/>
      <c r="P13" s="135" t="s">
        <v>116</v>
      </c>
      <c r="Q13" s="136"/>
      <c r="R13" s="136"/>
      <c r="S13" s="136"/>
      <c r="T13" s="54" t="s">
        <v>166</v>
      </c>
      <c r="U13" s="54">
        <v>2</v>
      </c>
      <c r="V13" s="196" t="s">
        <v>222</v>
      </c>
      <c r="W13" s="54">
        <v>2</v>
      </c>
      <c r="X13" s="55" t="s">
        <v>211</v>
      </c>
      <c r="Y13" s="56">
        <f t="shared" si="11"/>
        <v>8</v>
      </c>
      <c r="Z13" s="49"/>
    </row>
    <row r="14" spans="1:26" ht="33" customHeight="1">
      <c r="A14" s="52" t="str">
        <f t="shared" si="10"/>
        <v>材1-1-DA-01</v>
      </c>
      <c r="B14" s="52">
        <f t="shared" si="0"/>
        <v>0</v>
      </c>
      <c r="C14" s="52" t="str">
        <f t="shared" si="1"/>
        <v>資通安全維護計畫</v>
      </c>
      <c r="D14" s="52" t="str">
        <f t="shared" si="2"/>
        <v>交付能源局之資通安全維護計畫</v>
      </c>
      <c r="E14" s="52">
        <f t="shared" si="3"/>
        <v>2</v>
      </c>
      <c r="F14" s="52" t="str">
        <f t="shared" si="4"/>
        <v>賴斐瓔 </v>
      </c>
      <c r="G14" s="52">
        <f t="shared" si="5"/>
        <v>2</v>
      </c>
      <c r="H14" s="52">
        <f t="shared" si="6"/>
        <v>1</v>
      </c>
      <c r="I14" s="52">
        <f t="shared" si="7"/>
        <v>1</v>
      </c>
      <c r="J14" s="52">
        <f t="shared" si="8"/>
        <v>2</v>
      </c>
      <c r="K14" s="53">
        <f t="shared" si="9"/>
        <v>2</v>
      </c>
      <c r="L14" s="53">
        <f>$S$7</f>
        <v>8</v>
      </c>
      <c r="M14" s="148" t="s">
        <v>119</v>
      </c>
      <c r="N14" s="149" t="s">
        <v>117</v>
      </c>
      <c r="O14" s="150" t="s">
        <v>117</v>
      </c>
      <c r="P14" s="135" t="s">
        <v>118</v>
      </c>
      <c r="Q14" s="136"/>
      <c r="R14" s="136"/>
      <c r="S14" s="136"/>
      <c r="T14" s="54" t="s">
        <v>160</v>
      </c>
      <c r="U14" s="54"/>
      <c r="W14" s="54"/>
      <c r="X14" s="55"/>
      <c r="Y14" s="56" t="str">
        <f t="shared" si="11"/>
        <v>不適用</v>
      </c>
      <c r="Z14" s="49"/>
    </row>
    <row r="15" spans="1:26">
      <c r="A15" s="52" t="str">
        <f t="shared" si="10"/>
        <v>材1-1-DA-01</v>
      </c>
      <c r="B15" s="52">
        <f t="shared" si="0"/>
        <v>0</v>
      </c>
      <c r="C15" s="52" t="str">
        <f t="shared" si="1"/>
        <v>資通安全維護計畫</v>
      </c>
      <c r="D15" s="52" t="str">
        <f t="shared" si="2"/>
        <v>交付能源局之資通安全維護計畫</v>
      </c>
      <c r="E15" s="52">
        <f t="shared" si="3"/>
        <v>2</v>
      </c>
      <c r="F15" s="52" t="str">
        <f t="shared" si="4"/>
        <v>賴斐瓔 </v>
      </c>
      <c r="G15" s="52">
        <f t="shared" si="5"/>
        <v>2</v>
      </c>
      <c r="H15" s="52">
        <f t="shared" si="6"/>
        <v>1</v>
      </c>
      <c r="I15" s="52">
        <f t="shared" si="7"/>
        <v>1</v>
      </c>
      <c r="J15" s="52">
        <f t="shared" si="8"/>
        <v>2</v>
      </c>
      <c r="K15" s="53">
        <f t="shared" si="9"/>
        <v>2</v>
      </c>
      <c r="L15" s="53">
        <f>$S$7</f>
        <v>8</v>
      </c>
      <c r="M15" s="137" t="s">
        <v>119</v>
      </c>
      <c r="N15" s="138" t="s">
        <v>117</v>
      </c>
      <c r="O15" s="139" t="s">
        <v>117</v>
      </c>
      <c r="P15" s="130" t="s">
        <v>120</v>
      </c>
      <c r="Q15" s="131"/>
      <c r="R15" s="131"/>
      <c r="S15" s="131"/>
      <c r="T15" s="54" t="s">
        <v>160</v>
      </c>
      <c r="U15" s="54"/>
      <c r="V15" s="49"/>
      <c r="W15" s="54"/>
      <c r="X15" s="55"/>
      <c r="Y15" s="56" t="str">
        <f t="shared" si="11"/>
        <v>不適用</v>
      </c>
      <c r="Z15" s="49"/>
    </row>
    <row r="16" spans="1:26">
      <c r="A16" s="52"/>
      <c r="B16" s="52"/>
      <c r="C16" s="52"/>
      <c r="D16" s="52"/>
      <c r="E16" s="52"/>
      <c r="F16" s="52"/>
      <c r="G16" s="52"/>
      <c r="H16" s="52"/>
      <c r="I16" s="52"/>
      <c r="J16" s="52"/>
      <c r="K16" s="53"/>
      <c r="L16" s="53"/>
      <c r="M16" s="140" t="s">
        <v>119</v>
      </c>
      <c r="N16" s="141" t="s">
        <v>117</v>
      </c>
      <c r="O16" s="142" t="s">
        <v>117</v>
      </c>
      <c r="P16" s="143" t="s">
        <v>121</v>
      </c>
      <c r="Q16" s="143"/>
      <c r="R16" s="143"/>
      <c r="S16" s="130"/>
      <c r="T16" s="54" t="s">
        <v>161</v>
      </c>
      <c r="U16" s="54">
        <v>2</v>
      </c>
      <c r="V16" s="49" t="s">
        <v>167</v>
      </c>
      <c r="W16" s="54">
        <v>2</v>
      </c>
      <c r="X16" s="55" t="s">
        <v>211</v>
      </c>
      <c r="Y16" s="56">
        <f t="shared" si="11"/>
        <v>8</v>
      </c>
      <c r="Z16" s="49"/>
    </row>
    <row r="17" spans="1:26" ht="34.65" customHeight="1">
      <c r="A17" s="52" t="str">
        <f t="shared" si="10"/>
        <v>材1-1-DA-01</v>
      </c>
      <c r="B17" s="52">
        <f t="shared" si="0"/>
        <v>0</v>
      </c>
      <c r="C17" s="52" t="str">
        <f t="shared" si="1"/>
        <v>資通安全維護計畫</v>
      </c>
      <c r="D17" s="52" t="str">
        <f t="shared" si="2"/>
        <v>交付能源局之資通安全維護計畫</v>
      </c>
      <c r="E17" s="52">
        <f t="shared" si="3"/>
        <v>2</v>
      </c>
      <c r="F17" s="52" t="str">
        <f t="shared" si="4"/>
        <v>賴斐瓔 </v>
      </c>
      <c r="G17" s="52">
        <f t="shared" si="5"/>
        <v>2</v>
      </c>
      <c r="H17" s="52">
        <f t="shared" si="6"/>
        <v>1</v>
      </c>
      <c r="I17" s="52">
        <f t="shared" si="7"/>
        <v>1</v>
      </c>
      <c r="J17" s="52">
        <f t="shared" si="8"/>
        <v>2</v>
      </c>
      <c r="K17" s="53">
        <f t="shared" si="9"/>
        <v>2</v>
      </c>
      <c r="L17" s="53">
        <f t="shared" ref="L17:L28" si="12">$S$7</f>
        <v>8</v>
      </c>
      <c r="M17" s="144" t="s">
        <v>149</v>
      </c>
      <c r="N17" s="145" t="s">
        <v>122</v>
      </c>
      <c r="O17" s="146" t="s">
        <v>122</v>
      </c>
      <c r="P17" s="130" t="s">
        <v>123</v>
      </c>
      <c r="Q17" s="131"/>
      <c r="R17" s="131"/>
      <c r="S17" s="131"/>
      <c r="T17" s="54" t="s">
        <v>166</v>
      </c>
      <c r="U17" s="54">
        <v>2</v>
      </c>
      <c r="V17" s="49" t="s">
        <v>167</v>
      </c>
      <c r="W17" s="54">
        <v>2</v>
      </c>
      <c r="X17" s="55" t="s">
        <v>211</v>
      </c>
      <c r="Y17" s="56">
        <f t="shared" si="11"/>
        <v>8</v>
      </c>
      <c r="Z17" s="49"/>
    </row>
    <row r="18" spans="1:26" ht="37.75" customHeight="1">
      <c r="A18" s="52" t="str">
        <f t="shared" si="10"/>
        <v>材1-1-DA-01</v>
      </c>
      <c r="B18" s="52">
        <f t="shared" si="0"/>
        <v>0</v>
      </c>
      <c r="C18" s="52" t="str">
        <f t="shared" si="1"/>
        <v>資通安全維護計畫</v>
      </c>
      <c r="D18" s="52" t="str">
        <f t="shared" si="2"/>
        <v>交付能源局之資通安全維護計畫</v>
      </c>
      <c r="E18" s="52">
        <f t="shared" si="3"/>
        <v>2</v>
      </c>
      <c r="F18" s="52" t="str">
        <f t="shared" si="4"/>
        <v>賴斐瓔 </v>
      </c>
      <c r="G18" s="52">
        <f t="shared" si="5"/>
        <v>2</v>
      </c>
      <c r="H18" s="52">
        <f t="shared" si="6"/>
        <v>1</v>
      </c>
      <c r="I18" s="52">
        <f t="shared" si="7"/>
        <v>1</v>
      </c>
      <c r="J18" s="52">
        <f t="shared" si="8"/>
        <v>2</v>
      </c>
      <c r="K18" s="53">
        <f t="shared" si="9"/>
        <v>2</v>
      </c>
      <c r="L18" s="53">
        <f t="shared" si="12"/>
        <v>8</v>
      </c>
      <c r="M18" s="148" t="s">
        <v>150</v>
      </c>
      <c r="N18" s="149" t="s">
        <v>124</v>
      </c>
      <c r="O18" s="150" t="s">
        <v>124</v>
      </c>
      <c r="P18" s="154" t="s">
        <v>125</v>
      </c>
      <c r="Q18" s="155"/>
      <c r="R18" s="155"/>
      <c r="S18" s="155"/>
      <c r="T18" s="54" t="s">
        <v>166</v>
      </c>
      <c r="U18" s="54">
        <v>2</v>
      </c>
      <c r="V18" s="197" t="s">
        <v>168</v>
      </c>
      <c r="W18" s="54">
        <v>2</v>
      </c>
      <c r="X18" s="55" t="s">
        <v>211</v>
      </c>
      <c r="Y18" s="56">
        <f t="shared" si="11"/>
        <v>8</v>
      </c>
      <c r="Z18" s="49"/>
    </row>
    <row r="19" spans="1:26">
      <c r="A19" s="52" t="str">
        <f t="shared" si="10"/>
        <v>材1-1-DA-01</v>
      </c>
      <c r="B19" s="52">
        <f t="shared" si="0"/>
        <v>0</v>
      </c>
      <c r="C19" s="52" t="str">
        <f t="shared" si="1"/>
        <v>資通安全維護計畫</v>
      </c>
      <c r="D19" s="52" t="str">
        <f t="shared" si="2"/>
        <v>交付能源局之資通安全維護計畫</v>
      </c>
      <c r="E19" s="52">
        <f t="shared" si="3"/>
        <v>2</v>
      </c>
      <c r="F19" s="52" t="str">
        <f t="shared" si="4"/>
        <v>賴斐瓔 </v>
      </c>
      <c r="G19" s="52">
        <f t="shared" si="5"/>
        <v>2</v>
      </c>
      <c r="H19" s="52">
        <f t="shared" si="6"/>
        <v>1</v>
      </c>
      <c r="I19" s="52">
        <f t="shared" si="7"/>
        <v>1</v>
      </c>
      <c r="J19" s="52">
        <f t="shared" si="8"/>
        <v>2</v>
      </c>
      <c r="K19" s="53">
        <f t="shared" si="9"/>
        <v>2</v>
      </c>
      <c r="L19" s="53">
        <f t="shared" si="12"/>
        <v>8</v>
      </c>
      <c r="M19" s="140" t="s">
        <v>124</v>
      </c>
      <c r="N19" s="141" t="s">
        <v>124</v>
      </c>
      <c r="O19" s="142" t="s">
        <v>124</v>
      </c>
      <c r="P19" s="135" t="s">
        <v>126</v>
      </c>
      <c r="Q19" s="136"/>
      <c r="R19" s="136"/>
      <c r="S19" s="136"/>
      <c r="T19" s="54" t="s">
        <v>212</v>
      </c>
      <c r="U19" s="54"/>
      <c r="V19" s="49"/>
      <c r="W19" s="54"/>
      <c r="X19" s="55"/>
      <c r="Y19" s="56" t="str">
        <f t="shared" si="11"/>
        <v>不適用</v>
      </c>
      <c r="Z19" s="49"/>
    </row>
    <row r="20" spans="1:26">
      <c r="A20" s="52" t="str">
        <f t="shared" si="10"/>
        <v>材1-1-DA-01</v>
      </c>
      <c r="B20" s="52">
        <f t="shared" si="0"/>
        <v>0</v>
      </c>
      <c r="C20" s="52" t="str">
        <f t="shared" si="1"/>
        <v>資通安全維護計畫</v>
      </c>
      <c r="D20" s="52" t="str">
        <f t="shared" si="2"/>
        <v>交付能源局之資通安全維護計畫</v>
      </c>
      <c r="E20" s="52">
        <f t="shared" si="3"/>
        <v>2</v>
      </c>
      <c r="F20" s="52" t="str">
        <f t="shared" si="4"/>
        <v>賴斐瓔 </v>
      </c>
      <c r="G20" s="52">
        <f t="shared" si="5"/>
        <v>2</v>
      </c>
      <c r="H20" s="52">
        <f t="shared" si="6"/>
        <v>1</v>
      </c>
      <c r="I20" s="52">
        <f t="shared" si="7"/>
        <v>1</v>
      </c>
      <c r="J20" s="52">
        <f t="shared" si="8"/>
        <v>2</v>
      </c>
      <c r="K20" s="53">
        <f t="shared" si="9"/>
        <v>2</v>
      </c>
      <c r="L20" s="53">
        <f t="shared" si="12"/>
        <v>8</v>
      </c>
      <c r="M20" s="156" t="s">
        <v>92</v>
      </c>
      <c r="N20" s="157" t="s">
        <v>127</v>
      </c>
      <c r="O20" s="158" t="s">
        <v>127</v>
      </c>
      <c r="P20" s="130" t="s">
        <v>128</v>
      </c>
      <c r="Q20" s="131"/>
      <c r="R20" s="131"/>
      <c r="S20" s="131"/>
      <c r="T20" s="54" t="s">
        <v>166</v>
      </c>
      <c r="U20" s="54">
        <v>2</v>
      </c>
      <c r="V20" s="55" t="s">
        <v>169</v>
      </c>
      <c r="W20" s="54">
        <v>2</v>
      </c>
      <c r="X20" s="55" t="s">
        <v>211</v>
      </c>
      <c r="Y20" s="56">
        <f t="shared" si="11"/>
        <v>8</v>
      </c>
      <c r="Z20" s="49"/>
    </row>
    <row r="21" spans="1:26" ht="31">
      <c r="A21" s="52" t="str">
        <f t="shared" si="10"/>
        <v>材1-1-DA-01</v>
      </c>
      <c r="B21" s="52">
        <f t="shared" si="0"/>
        <v>0</v>
      </c>
      <c r="C21" s="52" t="str">
        <f t="shared" si="1"/>
        <v>資通安全維護計畫</v>
      </c>
      <c r="D21" s="52" t="str">
        <f t="shared" si="2"/>
        <v>交付能源局之資通安全維護計畫</v>
      </c>
      <c r="E21" s="52">
        <f t="shared" si="3"/>
        <v>2</v>
      </c>
      <c r="F21" s="52" t="str">
        <f t="shared" si="4"/>
        <v>賴斐瓔 </v>
      </c>
      <c r="G21" s="52">
        <f t="shared" si="5"/>
        <v>2</v>
      </c>
      <c r="H21" s="52">
        <f t="shared" si="6"/>
        <v>1</v>
      </c>
      <c r="I21" s="52">
        <f t="shared" si="7"/>
        <v>1</v>
      </c>
      <c r="J21" s="52">
        <f t="shared" si="8"/>
        <v>2</v>
      </c>
      <c r="K21" s="53">
        <f t="shared" si="9"/>
        <v>2</v>
      </c>
      <c r="L21" s="53">
        <f t="shared" si="12"/>
        <v>8</v>
      </c>
      <c r="M21" s="159" t="s">
        <v>151</v>
      </c>
      <c r="N21" s="160" t="s">
        <v>129</v>
      </c>
      <c r="O21" s="161" t="s">
        <v>129</v>
      </c>
      <c r="P21" s="130" t="s">
        <v>130</v>
      </c>
      <c r="Q21" s="131"/>
      <c r="R21" s="131"/>
      <c r="S21" s="131"/>
      <c r="T21" s="54" t="s">
        <v>161</v>
      </c>
      <c r="U21" s="54">
        <v>2</v>
      </c>
      <c r="V21" s="196" t="s">
        <v>223</v>
      </c>
      <c r="W21" s="54">
        <v>1</v>
      </c>
      <c r="X21" s="55" t="s">
        <v>211</v>
      </c>
      <c r="Y21" s="56">
        <f t="shared" si="11"/>
        <v>4</v>
      </c>
      <c r="Z21" s="49"/>
    </row>
    <row r="22" spans="1:26">
      <c r="A22" s="52" t="str">
        <f t="shared" si="10"/>
        <v>材1-1-DA-01</v>
      </c>
      <c r="B22" s="52">
        <f t="shared" si="0"/>
        <v>0</v>
      </c>
      <c r="C22" s="52" t="str">
        <f t="shared" si="1"/>
        <v>資通安全維護計畫</v>
      </c>
      <c r="D22" s="52" t="str">
        <f t="shared" si="2"/>
        <v>交付能源局之資通安全維護計畫</v>
      </c>
      <c r="E22" s="52">
        <f t="shared" si="3"/>
        <v>2</v>
      </c>
      <c r="F22" s="52" t="str">
        <f t="shared" si="4"/>
        <v>賴斐瓔 </v>
      </c>
      <c r="G22" s="52">
        <f t="shared" si="5"/>
        <v>2</v>
      </c>
      <c r="H22" s="52">
        <f t="shared" si="6"/>
        <v>1</v>
      </c>
      <c r="I22" s="52">
        <f t="shared" si="7"/>
        <v>1</v>
      </c>
      <c r="J22" s="52">
        <f t="shared" si="8"/>
        <v>2</v>
      </c>
      <c r="K22" s="53">
        <f t="shared" si="9"/>
        <v>2</v>
      </c>
      <c r="L22" s="53">
        <f t="shared" si="12"/>
        <v>8</v>
      </c>
      <c r="M22" s="162" t="s">
        <v>152</v>
      </c>
      <c r="N22" s="163"/>
      <c r="O22" s="164"/>
      <c r="P22" s="154" t="s">
        <v>131</v>
      </c>
      <c r="Q22" s="155"/>
      <c r="R22" s="155"/>
      <c r="S22" s="155"/>
      <c r="T22" s="54" t="s">
        <v>214</v>
      </c>
      <c r="U22" s="54">
        <v>2</v>
      </c>
      <c r="V22" s="21" t="s">
        <v>224</v>
      </c>
      <c r="W22" s="54">
        <v>1</v>
      </c>
      <c r="X22" s="55" t="s">
        <v>211</v>
      </c>
      <c r="Y22" s="56">
        <f t="shared" si="11"/>
        <v>4</v>
      </c>
      <c r="Z22" s="21"/>
    </row>
    <row r="23" spans="1:26" ht="46.5">
      <c r="A23" s="52" t="str">
        <f t="shared" si="10"/>
        <v>材1-1-DA-01</v>
      </c>
      <c r="B23" s="52">
        <f t="shared" si="0"/>
        <v>0</v>
      </c>
      <c r="C23" s="52" t="str">
        <f t="shared" si="1"/>
        <v>資通安全維護計畫</v>
      </c>
      <c r="D23" s="52" t="str">
        <f t="shared" si="2"/>
        <v>交付能源局之資通安全維護計畫</v>
      </c>
      <c r="E23" s="52">
        <f t="shared" si="3"/>
        <v>2</v>
      </c>
      <c r="F23" s="52" t="str">
        <f t="shared" si="4"/>
        <v>賴斐瓔 </v>
      </c>
      <c r="G23" s="52">
        <f t="shared" si="5"/>
        <v>2</v>
      </c>
      <c r="H23" s="52">
        <f t="shared" si="6"/>
        <v>1</v>
      </c>
      <c r="I23" s="52">
        <f t="shared" si="7"/>
        <v>1</v>
      </c>
      <c r="J23" s="52">
        <f t="shared" si="8"/>
        <v>2</v>
      </c>
      <c r="K23" s="53">
        <f t="shared" si="9"/>
        <v>2</v>
      </c>
      <c r="L23" s="53">
        <f t="shared" si="12"/>
        <v>8</v>
      </c>
      <c r="M23" s="162" t="s">
        <v>153</v>
      </c>
      <c r="N23" s="163"/>
      <c r="O23" s="164"/>
      <c r="P23" s="130" t="s">
        <v>132</v>
      </c>
      <c r="Q23" s="131"/>
      <c r="R23" s="131"/>
      <c r="S23" s="131"/>
      <c r="T23" s="54" t="s">
        <v>161</v>
      </c>
      <c r="U23" s="54">
        <v>2</v>
      </c>
      <c r="V23" s="21" t="s">
        <v>170</v>
      </c>
      <c r="W23" s="54">
        <v>1</v>
      </c>
      <c r="X23" s="55" t="s">
        <v>211</v>
      </c>
      <c r="Y23" s="56">
        <f t="shared" si="11"/>
        <v>4</v>
      </c>
      <c r="Z23" s="21"/>
    </row>
    <row r="24" spans="1:26">
      <c r="A24" s="52" t="str">
        <f t="shared" si="10"/>
        <v>材1-1-DA-01</v>
      </c>
      <c r="B24" s="52">
        <f t="shared" si="0"/>
        <v>0</v>
      </c>
      <c r="C24" s="52" t="str">
        <f t="shared" si="1"/>
        <v>資通安全維護計畫</v>
      </c>
      <c r="D24" s="52" t="str">
        <f t="shared" si="2"/>
        <v>交付能源局之資通安全維護計畫</v>
      </c>
      <c r="E24" s="52">
        <f t="shared" si="3"/>
        <v>2</v>
      </c>
      <c r="F24" s="52" t="str">
        <f t="shared" si="4"/>
        <v>賴斐瓔 </v>
      </c>
      <c r="G24" s="52">
        <f t="shared" si="5"/>
        <v>2</v>
      </c>
      <c r="H24" s="52">
        <f t="shared" si="6"/>
        <v>1</v>
      </c>
      <c r="I24" s="52">
        <f t="shared" si="7"/>
        <v>1</v>
      </c>
      <c r="J24" s="52">
        <f t="shared" si="8"/>
        <v>2</v>
      </c>
      <c r="K24" s="53">
        <f t="shared" si="9"/>
        <v>2</v>
      </c>
      <c r="L24" s="53">
        <f t="shared" si="12"/>
        <v>8</v>
      </c>
      <c r="M24" s="162" t="s">
        <v>154</v>
      </c>
      <c r="N24" s="163"/>
      <c r="O24" s="164"/>
      <c r="P24" s="130" t="s">
        <v>133</v>
      </c>
      <c r="Q24" s="131"/>
      <c r="R24" s="131"/>
      <c r="S24" s="131"/>
      <c r="T24" s="54" t="s">
        <v>215</v>
      </c>
      <c r="U24" s="54"/>
      <c r="V24" s="21"/>
      <c r="W24" s="54"/>
      <c r="X24" s="57"/>
      <c r="Y24" s="56" t="str">
        <f t="shared" si="11"/>
        <v>不適用</v>
      </c>
      <c r="Z24" s="21"/>
    </row>
    <row r="25" spans="1:26">
      <c r="A25" s="52" t="str">
        <f t="shared" si="10"/>
        <v>材1-1-DA-01</v>
      </c>
      <c r="B25" s="52">
        <f t="shared" si="0"/>
        <v>0</v>
      </c>
      <c r="C25" s="52" t="str">
        <f t="shared" si="1"/>
        <v>資通安全維護計畫</v>
      </c>
      <c r="D25" s="52" t="str">
        <f t="shared" si="2"/>
        <v>交付能源局之資通安全維護計畫</v>
      </c>
      <c r="E25" s="52">
        <f t="shared" si="3"/>
        <v>2</v>
      </c>
      <c r="F25" s="52" t="str">
        <f t="shared" si="4"/>
        <v>賴斐瓔 </v>
      </c>
      <c r="G25" s="52">
        <f t="shared" si="5"/>
        <v>2</v>
      </c>
      <c r="H25" s="52">
        <f t="shared" si="6"/>
        <v>1</v>
      </c>
      <c r="I25" s="52">
        <f t="shared" si="7"/>
        <v>1</v>
      </c>
      <c r="J25" s="52">
        <f t="shared" si="8"/>
        <v>2</v>
      </c>
      <c r="K25" s="53">
        <f t="shared" si="9"/>
        <v>2</v>
      </c>
      <c r="L25" s="53">
        <f t="shared" si="12"/>
        <v>8</v>
      </c>
      <c r="M25" s="162" t="s">
        <v>155</v>
      </c>
      <c r="N25" s="163"/>
      <c r="O25" s="164"/>
      <c r="P25" s="130" t="s">
        <v>134</v>
      </c>
      <c r="Q25" s="131"/>
      <c r="R25" s="131"/>
      <c r="S25" s="131"/>
      <c r="T25" s="54" t="s">
        <v>161</v>
      </c>
      <c r="U25" s="54">
        <v>2</v>
      </c>
      <c r="V25" s="21" t="s">
        <v>171</v>
      </c>
      <c r="W25" s="54">
        <v>2</v>
      </c>
      <c r="X25" s="55" t="s">
        <v>211</v>
      </c>
      <c r="Y25" s="56">
        <f t="shared" si="11"/>
        <v>8</v>
      </c>
      <c r="Z25" s="21"/>
    </row>
    <row r="26" spans="1:26" ht="31">
      <c r="A26" s="52" t="str">
        <f t="shared" si="10"/>
        <v>材1-1-DA-01</v>
      </c>
      <c r="B26" s="52">
        <f t="shared" si="0"/>
        <v>0</v>
      </c>
      <c r="C26" s="52" t="str">
        <f t="shared" si="1"/>
        <v>資通安全維護計畫</v>
      </c>
      <c r="D26" s="52" t="str">
        <f t="shared" si="2"/>
        <v>交付能源局之資通安全維護計畫</v>
      </c>
      <c r="E26" s="52">
        <f t="shared" si="3"/>
        <v>2</v>
      </c>
      <c r="F26" s="52" t="str">
        <f t="shared" si="4"/>
        <v>賴斐瓔 </v>
      </c>
      <c r="G26" s="52">
        <f t="shared" si="5"/>
        <v>2</v>
      </c>
      <c r="H26" s="52">
        <f t="shared" si="6"/>
        <v>1</v>
      </c>
      <c r="I26" s="52">
        <f t="shared" si="7"/>
        <v>1</v>
      </c>
      <c r="J26" s="52">
        <f t="shared" si="8"/>
        <v>2</v>
      </c>
      <c r="K26" s="53">
        <f t="shared" si="9"/>
        <v>2</v>
      </c>
      <c r="L26" s="53">
        <f t="shared" si="12"/>
        <v>8</v>
      </c>
      <c r="M26" s="165" t="s">
        <v>135</v>
      </c>
      <c r="N26" s="166"/>
      <c r="O26" s="167"/>
      <c r="P26" s="168" t="s">
        <v>136</v>
      </c>
      <c r="Q26" s="169"/>
      <c r="R26" s="169"/>
      <c r="S26" s="169"/>
      <c r="T26" s="54" t="s">
        <v>161</v>
      </c>
      <c r="U26" s="54">
        <v>2</v>
      </c>
      <c r="V26" s="21" t="s">
        <v>172</v>
      </c>
      <c r="W26" s="54">
        <v>2</v>
      </c>
      <c r="X26" s="55" t="s">
        <v>211</v>
      </c>
      <c r="Y26" s="56">
        <f t="shared" si="11"/>
        <v>8</v>
      </c>
      <c r="Z26" s="21"/>
    </row>
    <row r="27" spans="1:26">
      <c r="A27" s="52" t="str">
        <f t="shared" si="10"/>
        <v>材1-1-DA-01</v>
      </c>
      <c r="B27" s="52">
        <f t="shared" si="0"/>
        <v>0</v>
      </c>
      <c r="C27" s="52" t="str">
        <f t="shared" si="1"/>
        <v>資通安全維護計畫</v>
      </c>
      <c r="D27" s="52" t="str">
        <f t="shared" si="2"/>
        <v>交付能源局之資通安全維護計畫</v>
      </c>
      <c r="E27" s="52">
        <f t="shared" si="3"/>
        <v>2</v>
      </c>
      <c r="F27" s="52" t="str">
        <f t="shared" si="4"/>
        <v>賴斐瓔 </v>
      </c>
      <c r="G27" s="52">
        <f t="shared" si="5"/>
        <v>2</v>
      </c>
      <c r="H27" s="52">
        <f t="shared" si="6"/>
        <v>1</v>
      </c>
      <c r="I27" s="52">
        <f t="shared" si="7"/>
        <v>1</v>
      </c>
      <c r="J27" s="52">
        <f t="shared" si="8"/>
        <v>2</v>
      </c>
      <c r="K27" s="53">
        <f t="shared" si="9"/>
        <v>2</v>
      </c>
      <c r="L27" s="53">
        <f t="shared" si="12"/>
        <v>8</v>
      </c>
      <c r="M27" s="170" t="s">
        <v>138</v>
      </c>
      <c r="N27" s="171"/>
      <c r="O27" s="172"/>
      <c r="P27" s="150" t="s">
        <v>137</v>
      </c>
      <c r="Q27" s="173"/>
      <c r="R27" s="173"/>
      <c r="S27" s="173"/>
      <c r="T27" s="64" t="s">
        <v>160</v>
      </c>
      <c r="U27" s="64"/>
      <c r="V27" s="58"/>
      <c r="W27" s="64"/>
      <c r="X27" s="65"/>
      <c r="Y27" s="59" t="str">
        <f t="shared" si="11"/>
        <v>不適用</v>
      </c>
      <c r="Z27" s="58"/>
    </row>
    <row r="28" spans="1:26">
      <c r="A28" s="52" t="str">
        <f t="shared" si="10"/>
        <v>材1-1-DA-01</v>
      </c>
      <c r="B28" s="52">
        <f t="shared" si="0"/>
        <v>0</v>
      </c>
      <c r="C28" s="52" t="str">
        <f t="shared" si="1"/>
        <v>資通安全維護計畫</v>
      </c>
      <c r="D28" s="52" t="str">
        <f t="shared" si="2"/>
        <v>交付能源局之資通安全維護計畫</v>
      </c>
      <c r="E28" s="52">
        <f t="shared" si="3"/>
        <v>2</v>
      </c>
      <c r="F28" s="52" t="str">
        <f t="shared" si="4"/>
        <v>賴斐瓔 </v>
      </c>
      <c r="G28" s="52">
        <f t="shared" si="5"/>
        <v>2</v>
      </c>
      <c r="H28" s="52">
        <f t="shared" si="6"/>
        <v>1</v>
      </c>
      <c r="I28" s="52">
        <f t="shared" si="7"/>
        <v>1</v>
      </c>
      <c r="J28" s="52">
        <f t="shared" si="8"/>
        <v>2</v>
      </c>
      <c r="K28" s="53">
        <f t="shared" si="9"/>
        <v>2</v>
      </c>
      <c r="L28" s="53">
        <f t="shared" si="12"/>
        <v>8</v>
      </c>
      <c r="M28" s="165" t="s">
        <v>138</v>
      </c>
      <c r="N28" s="166"/>
      <c r="O28" s="167"/>
      <c r="P28" s="130" t="s">
        <v>139</v>
      </c>
      <c r="Q28" s="131"/>
      <c r="R28" s="131"/>
      <c r="S28" s="131"/>
      <c r="T28" s="54" t="s">
        <v>160</v>
      </c>
      <c r="U28" s="54"/>
      <c r="V28" s="21"/>
      <c r="W28" s="54"/>
      <c r="X28" s="57"/>
      <c r="Y28" s="56" t="str">
        <f t="shared" si="11"/>
        <v>不適用</v>
      </c>
      <c r="Z28" s="21"/>
    </row>
    <row r="29" spans="1:26" ht="40.5" customHeight="1">
      <c r="A29" s="52"/>
      <c r="B29" s="52"/>
      <c r="C29" s="52"/>
      <c r="D29" s="52"/>
      <c r="E29" s="52"/>
      <c r="F29" s="52"/>
      <c r="G29" s="52"/>
      <c r="H29" s="52"/>
      <c r="I29" s="52"/>
      <c r="J29" s="52"/>
      <c r="K29" s="53"/>
      <c r="L29" s="53"/>
      <c r="M29" s="174" t="s">
        <v>141</v>
      </c>
      <c r="N29" s="175"/>
      <c r="O29" s="176"/>
      <c r="P29" s="130" t="s">
        <v>140</v>
      </c>
      <c r="Q29" s="131"/>
      <c r="R29" s="131"/>
      <c r="S29" s="131"/>
      <c r="T29" s="54" t="s">
        <v>160</v>
      </c>
      <c r="U29" s="64"/>
      <c r="V29" s="58"/>
      <c r="W29" s="64"/>
      <c r="X29" s="65"/>
      <c r="Y29" s="56" t="str">
        <f t="shared" si="11"/>
        <v>不適用</v>
      </c>
      <c r="Z29" s="58"/>
    </row>
    <row r="30" spans="1:26">
      <c r="A30" s="52"/>
      <c r="B30" s="52"/>
      <c r="C30" s="52"/>
      <c r="D30" s="52"/>
      <c r="E30" s="52"/>
      <c r="F30" s="52"/>
      <c r="G30" s="52"/>
      <c r="H30" s="52"/>
      <c r="I30" s="52"/>
      <c r="J30" s="52"/>
      <c r="K30" s="53"/>
      <c r="L30" s="53"/>
      <c r="M30" s="177" t="s">
        <v>141</v>
      </c>
      <c r="N30" s="178"/>
      <c r="O30" s="179"/>
      <c r="P30" s="130" t="s">
        <v>142</v>
      </c>
      <c r="Q30" s="131"/>
      <c r="R30" s="131"/>
      <c r="S30" s="131"/>
      <c r="T30" s="54" t="s">
        <v>160</v>
      </c>
      <c r="U30" s="64"/>
      <c r="V30" s="58"/>
      <c r="W30" s="64"/>
      <c r="X30" s="65"/>
      <c r="Y30" s="56" t="str">
        <f t="shared" si="11"/>
        <v>不適用</v>
      </c>
      <c r="Z30" s="58"/>
    </row>
    <row r="31" spans="1:26" ht="37.75" customHeight="1">
      <c r="A31" s="52"/>
      <c r="B31" s="52"/>
      <c r="C31" s="52"/>
      <c r="D31" s="52"/>
      <c r="E31" s="52"/>
      <c r="F31" s="52"/>
      <c r="G31" s="52"/>
      <c r="H31" s="52"/>
      <c r="I31" s="52"/>
      <c r="J31" s="52"/>
      <c r="K31" s="53"/>
      <c r="L31" s="53"/>
      <c r="M31" s="185" t="s">
        <v>144</v>
      </c>
      <c r="N31" s="186"/>
      <c r="O31" s="187"/>
      <c r="P31" s="130" t="s">
        <v>143</v>
      </c>
      <c r="Q31" s="131"/>
      <c r="R31" s="131"/>
      <c r="S31" s="131"/>
      <c r="T31" s="54" t="s">
        <v>160</v>
      </c>
      <c r="U31" s="64"/>
      <c r="V31" s="58"/>
      <c r="W31" s="64"/>
      <c r="X31" s="65"/>
      <c r="Y31" s="56" t="str">
        <f t="shared" si="11"/>
        <v>不適用</v>
      </c>
      <c r="Z31" s="58"/>
    </row>
    <row r="32" spans="1:26">
      <c r="A32" s="52"/>
      <c r="B32" s="52"/>
      <c r="C32" s="52"/>
      <c r="D32" s="52"/>
      <c r="E32" s="52"/>
      <c r="F32" s="52"/>
      <c r="G32" s="52"/>
      <c r="H32" s="52"/>
      <c r="I32" s="52"/>
      <c r="J32" s="52"/>
      <c r="K32" s="53"/>
      <c r="L32" s="53"/>
      <c r="M32" s="188" t="s">
        <v>144</v>
      </c>
      <c r="N32" s="189"/>
      <c r="O32" s="190"/>
      <c r="P32" s="130" t="s">
        <v>145</v>
      </c>
      <c r="Q32" s="131"/>
      <c r="R32" s="131"/>
      <c r="S32" s="131"/>
      <c r="T32" s="54" t="s">
        <v>160</v>
      </c>
      <c r="U32" s="64"/>
      <c r="V32" s="58"/>
      <c r="W32" s="64"/>
      <c r="X32" s="65"/>
      <c r="Y32" s="56" t="str">
        <f t="shared" si="11"/>
        <v>不適用</v>
      </c>
      <c r="Z32" s="58"/>
    </row>
    <row r="33" spans="1:26">
      <c r="A33" s="52"/>
      <c r="B33" s="52"/>
      <c r="C33" s="52"/>
      <c r="D33" s="52"/>
      <c r="E33" s="52"/>
      <c r="F33" s="52"/>
      <c r="G33" s="52"/>
      <c r="H33" s="52"/>
      <c r="I33" s="52"/>
      <c r="J33" s="52"/>
      <c r="K33" s="53"/>
      <c r="L33" s="53"/>
      <c r="M33" s="191" t="s">
        <v>156</v>
      </c>
      <c r="N33" s="192"/>
      <c r="O33" s="193"/>
      <c r="P33" s="130" t="s">
        <v>146</v>
      </c>
      <c r="Q33" s="131"/>
      <c r="R33" s="131"/>
      <c r="S33" s="131"/>
      <c r="T33" s="54" t="s">
        <v>160</v>
      </c>
      <c r="U33" s="64"/>
      <c r="V33" s="58"/>
      <c r="W33" s="64"/>
      <c r="X33" s="65"/>
      <c r="Y33" s="56" t="str">
        <f t="shared" si="11"/>
        <v>不適用</v>
      </c>
      <c r="Z33" s="58"/>
    </row>
    <row r="34" spans="1:26">
      <c r="A34" s="52" t="str">
        <f t="shared" si="10"/>
        <v>材1-1-DA-01</v>
      </c>
      <c r="B34" s="52">
        <f t="shared" si="0"/>
        <v>0</v>
      </c>
      <c r="C34" s="52" t="str">
        <f t="shared" si="1"/>
        <v>資通安全維護計畫</v>
      </c>
      <c r="D34" s="52" t="str">
        <f t="shared" si="2"/>
        <v>交付能源局之資通安全維護計畫</v>
      </c>
      <c r="E34" s="52">
        <f t="shared" si="3"/>
        <v>2</v>
      </c>
      <c r="F34" s="52" t="str">
        <f t="shared" si="4"/>
        <v>賴斐瓔 </v>
      </c>
      <c r="G34" s="52">
        <f t="shared" si="5"/>
        <v>2</v>
      </c>
      <c r="H34" s="52">
        <f t="shared" si="6"/>
        <v>1</v>
      </c>
      <c r="I34" s="52">
        <f t="shared" si="7"/>
        <v>1</v>
      </c>
      <c r="J34" s="52">
        <f t="shared" si="8"/>
        <v>2</v>
      </c>
      <c r="K34" s="53">
        <f t="shared" si="9"/>
        <v>2</v>
      </c>
      <c r="L34" s="53">
        <f>$S$7</f>
        <v>8</v>
      </c>
      <c r="M34" s="180" t="s">
        <v>147</v>
      </c>
      <c r="N34" s="181"/>
      <c r="O34" s="182"/>
      <c r="P34" s="183" t="s">
        <v>148</v>
      </c>
      <c r="Q34" s="184"/>
      <c r="R34" s="184"/>
      <c r="S34" s="168"/>
      <c r="T34" s="54" t="s">
        <v>160</v>
      </c>
      <c r="U34" s="54"/>
      <c r="V34" s="54"/>
      <c r="W34" s="54"/>
      <c r="X34" s="55"/>
      <c r="Y34" s="60" t="str">
        <f t="shared" ref="Y34" si="13">IF((T34="N"),"不適用",IF(COUNTA(U34,W34)&lt;2,"評鑑中",$S$2*U34*W34))</f>
        <v>不適用</v>
      </c>
      <c r="Z34" s="54"/>
    </row>
    <row r="39" spans="1:26">
      <c r="M39" s="7"/>
    </row>
  </sheetData>
  <sheetProtection formatCells="0" formatColumns="0" formatRows="0" insertColumns="0" insertRows="0" insertHyperlinks="0" deleteColumns="0" deleteRows="0" sort="0" autoFilter="0" pivotTables="0"/>
  <autoFilter ref="M10:Z10" xr:uid="{00000000-0009-0000-0000-000003000000}">
    <filterColumn colId="0" showButton="0"/>
    <filterColumn colId="1" showButton="0"/>
    <filterColumn colId="3" showButton="0"/>
    <filterColumn colId="4" showButton="0"/>
    <filterColumn colId="5" showButton="0"/>
  </autoFilter>
  <mergeCells count="57">
    <mergeCell ref="M30:O30"/>
    <mergeCell ref="P30:S30"/>
    <mergeCell ref="M34:O34"/>
    <mergeCell ref="P34:S34"/>
    <mergeCell ref="M31:O31"/>
    <mergeCell ref="P31:S31"/>
    <mergeCell ref="M32:O32"/>
    <mergeCell ref="P32:S32"/>
    <mergeCell ref="M33:O33"/>
    <mergeCell ref="P33:S33"/>
    <mergeCell ref="M27:O27"/>
    <mergeCell ref="P27:S27"/>
    <mergeCell ref="M28:O28"/>
    <mergeCell ref="P28:S28"/>
    <mergeCell ref="M29:O29"/>
    <mergeCell ref="P29:S29"/>
    <mergeCell ref="M24:O24"/>
    <mergeCell ref="P24:S24"/>
    <mergeCell ref="M25:O25"/>
    <mergeCell ref="P25:S25"/>
    <mergeCell ref="M26:O26"/>
    <mergeCell ref="P26:S26"/>
    <mergeCell ref="M21:O21"/>
    <mergeCell ref="P21:S21"/>
    <mergeCell ref="M22:O22"/>
    <mergeCell ref="P22:S22"/>
    <mergeCell ref="M23:O23"/>
    <mergeCell ref="P23:S23"/>
    <mergeCell ref="M18:O18"/>
    <mergeCell ref="P18:S18"/>
    <mergeCell ref="M19:O19"/>
    <mergeCell ref="P19:S19"/>
    <mergeCell ref="M20:O20"/>
    <mergeCell ref="P20:S20"/>
    <mergeCell ref="M1:Z1"/>
    <mergeCell ref="M13:O13"/>
    <mergeCell ref="P13:S13"/>
    <mergeCell ref="M14:O14"/>
    <mergeCell ref="P14:S14"/>
    <mergeCell ref="M10:O10"/>
    <mergeCell ref="P10:S10"/>
    <mergeCell ref="M15:O15"/>
    <mergeCell ref="P15:S15"/>
    <mergeCell ref="M16:O16"/>
    <mergeCell ref="P16:S16"/>
    <mergeCell ref="M17:O17"/>
    <mergeCell ref="P17:S17"/>
    <mergeCell ref="N7:P7"/>
    <mergeCell ref="M11:O11"/>
    <mergeCell ref="P11:S11"/>
    <mergeCell ref="M12:O12"/>
    <mergeCell ref="P12:S12"/>
    <mergeCell ref="N2:P2"/>
    <mergeCell ref="N3:P3"/>
    <mergeCell ref="N4:P4"/>
    <mergeCell ref="N5:P5"/>
    <mergeCell ref="N6:P6"/>
  </mergeCells>
  <phoneticPr fontId="1" type="noConversion"/>
  <dataValidations count="2">
    <dataValidation type="list" allowBlank="1" showInputMessage="1" showErrorMessage="1" sqref="WVX983050:WVX983073 JH5:JH7 TD5:TD7 ACZ5:ACZ7 AMV5:AMV7 AWR5:AWR7 BGN5:BGN7 BQJ5:BQJ7 CAF5:CAF7 CKB5:CKB7 CTX5:CTX7 DDT5:DDT7 DNP5:DNP7 DXL5:DXL7 EHH5:EHH7 ERD5:ERD7 FAZ5:FAZ7 FKV5:FKV7 FUR5:FUR7 GEN5:GEN7 GOJ5:GOJ7 GYF5:GYF7 HIB5:HIB7 HRX5:HRX7 IBT5:IBT7 ILP5:ILP7 IVL5:IVL7 JFH5:JFH7 JPD5:JPD7 JYZ5:JYZ7 KIV5:KIV7 KSR5:KSR7 LCN5:LCN7 LMJ5:LMJ7 LWF5:LWF7 MGB5:MGB7 MPX5:MPX7 MZT5:MZT7 NJP5:NJP7 NTL5:NTL7 ODH5:ODH7 OND5:OND7 OWZ5:OWZ7 PGV5:PGV7 PQR5:PQR7 QAN5:QAN7 QKJ5:QKJ7 QUF5:QUF7 REB5:REB7 RNX5:RNX7 RXT5:RXT7 SHP5:SHP7 SRL5:SRL7 TBH5:TBH7 TLD5:TLD7 TUZ5:TUZ7 UEV5:UEV7 UOR5:UOR7 UYN5:UYN7 VIJ5:VIJ7 VSF5:VSF7 WCB5:WCB7 WLX5:WLX7 WVT5:WVT7 S65540:S65542 JH65540:JH65542 TD65540:TD65542 ACZ65540:ACZ65542 AMV65540:AMV65542 AWR65540:AWR65542 BGN65540:BGN65542 BQJ65540:BQJ65542 CAF65540:CAF65542 CKB65540:CKB65542 CTX65540:CTX65542 DDT65540:DDT65542 DNP65540:DNP65542 DXL65540:DXL65542 EHH65540:EHH65542 ERD65540:ERD65542 FAZ65540:FAZ65542 FKV65540:FKV65542 FUR65540:FUR65542 GEN65540:GEN65542 GOJ65540:GOJ65542 GYF65540:GYF65542 HIB65540:HIB65542 HRX65540:HRX65542 IBT65540:IBT65542 ILP65540:ILP65542 IVL65540:IVL65542 JFH65540:JFH65542 JPD65540:JPD65542 JYZ65540:JYZ65542 KIV65540:KIV65542 KSR65540:KSR65542 LCN65540:LCN65542 LMJ65540:LMJ65542 LWF65540:LWF65542 MGB65540:MGB65542 MPX65540:MPX65542 MZT65540:MZT65542 NJP65540:NJP65542 NTL65540:NTL65542 ODH65540:ODH65542 OND65540:OND65542 OWZ65540:OWZ65542 PGV65540:PGV65542 PQR65540:PQR65542 QAN65540:QAN65542 QKJ65540:QKJ65542 QUF65540:QUF65542 REB65540:REB65542 RNX65540:RNX65542 RXT65540:RXT65542 SHP65540:SHP65542 SRL65540:SRL65542 TBH65540:TBH65542 TLD65540:TLD65542 TUZ65540:TUZ65542 UEV65540:UEV65542 UOR65540:UOR65542 UYN65540:UYN65542 VIJ65540:VIJ65542 VSF65540:VSF65542 WCB65540:WCB65542 WLX65540:WLX65542 WVT65540:WVT65542 S131076:S131078 JH131076:JH131078 TD131076:TD131078 ACZ131076:ACZ131078 AMV131076:AMV131078 AWR131076:AWR131078 BGN131076:BGN131078 BQJ131076:BQJ131078 CAF131076:CAF131078 CKB131076:CKB131078 CTX131076:CTX131078 DDT131076:DDT131078 DNP131076:DNP131078 DXL131076:DXL131078 EHH131076:EHH131078 ERD131076:ERD131078 FAZ131076:FAZ131078 FKV131076:FKV131078 FUR131076:FUR131078 GEN131076:GEN131078 GOJ131076:GOJ131078 GYF131076:GYF131078 HIB131076:HIB131078 HRX131076:HRX131078 IBT131076:IBT131078 ILP131076:ILP131078 IVL131076:IVL131078 JFH131076:JFH131078 JPD131076:JPD131078 JYZ131076:JYZ131078 KIV131076:KIV131078 KSR131076:KSR131078 LCN131076:LCN131078 LMJ131076:LMJ131078 LWF131076:LWF131078 MGB131076:MGB131078 MPX131076:MPX131078 MZT131076:MZT131078 NJP131076:NJP131078 NTL131076:NTL131078 ODH131076:ODH131078 OND131076:OND131078 OWZ131076:OWZ131078 PGV131076:PGV131078 PQR131076:PQR131078 QAN131076:QAN131078 QKJ131076:QKJ131078 QUF131076:QUF131078 REB131076:REB131078 RNX131076:RNX131078 RXT131076:RXT131078 SHP131076:SHP131078 SRL131076:SRL131078 TBH131076:TBH131078 TLD131076:TLD131078 TUZ131076:TUZ131078 UEV131076:UEV131078 UOR131076:UOR131078 UYN131076:UYN131078 VIJ131076:VIJ131078 VSF131076:VSF131078 WCB131076:WCB131078 WLX131076:WLX131078 WVT131076:WVT131078 S196612:S196614 JH196612:JH196614 TD196612:TD196614 ACZ196612:ACZ196614 AMV196612:AMV196614 AWR196612:AWR196614 BGN196612:BGN196614 BQJ196612:BQJ196614 CAF196612:CAF196614 CKB196612:CKB196614 CTX196612:CTX196614 DDT196612:DDT196614 DNP196612:DNP196614 DXL196612:DXL196614 EHH196612:EHH196614 ERD196612:ERD196614 FAZ196612:FAZ196614 FKV196612:FKV196614 FUR196612:FUR196614 GEN196612:GEN196614 GOJ196612:GOJ196614 GYF196612:GYF196614 HIB196612:HIB196614 HRX196612:HRX196614 IBT196612:IBT196614 ILP196612:ILP196614 IVL196612:IVL196614 JFH196612:JFH196614 JPD196612:JPD196614 JYZ196612:JYZ196614 KIV196612:KIV196614 KSR196612:KSR196614 LCN196612:LCN196614 LMJ196612:LMJ196614 LWF196612:LWF196614 MGB196612:MGB196614 MPX196612:MPX196614 MZT196612:MZT196614 NJP196612:NJP196614 NTL196612:NTL196614 ODH196612:ODH196614 OND196612:OND196614 OWZ196612:OWZ196614 PGV196612:PGV196614 PQR196612:PQR196614 QAN196612:QAN196614 QKJ196612:QKJ196614 QUF196612:QUF196614 REB196612:REB196614 RNX196612:RNX196614 RXT196612:RXT196614 SHP196612:SHP196614 SRL196612:SRL196614 TBH196612:TBH196614 TLD196612:TLD196614 TUZ196612:TUZ196614 UEV196612:UEV196614 UOR196612:UOR196614 UYN196612:UYN196614 VIJ196612:VIJ196614 VSF196612:VSF196614 WCB196612:WCB196614 WLX196612:WLX196614 WVT196612:WVT196614 S262148:S262150 JH262148:JH262150 TD262148:TD262150 ACZ262148:ACZ262150 AMV262148:AMV262150 AWR262148:AWR262150 BGN262148:BGN262150 BQJ262148:BQJ262150 CAF262148:CAF262150 CKB262148:CKB262150 CTX262148:CTX262150 DDT262148:DDT262150 DNP262148:DNP262150 DXL262148:DXL262150 EHH262148:EHH262150 ERD262148:ERD262150 FAZ262148:FAZ262150 FKV262148:FKV262150 FUR262148:FUR262150 GEN262148:GEN262150 GOJ262148:GOJ262150 GYF262148:GYF262150 HIB262148:HIB262150 HRX262148:HRX262150 IBT262148:IBT262150 ILP262148:ILP262150 IVL262148:IVL262150 JFH262148:JFH262150 JPD262148:JPD262150 JYZ262148:JYZ262150 KIV262148:KIV262150 KSR262148:KSR262150 LCN262148:LCN262150 LMJ262148:LMJ262150 LWF262148:LWF262150 MGB262148:MGB262150 MPX262148:MPX262150 MZT262148:MZT262150 NJP262148:NJP262150 NTL262148:NTL262150 ODH262148:ODH262150 OND262148:OND262150 OWZ262148:OWZ262150 PGV262148:PGV262150 PQR262148:PQR262150 QAN262148:QAN262150 QKJ262148:QKJ262150 QUF262148:QUF262150 REB262148:REB262150 RNX262148:RNX262150 RXT262148:RXT262150 SHP262148:SHP262150 SRL262148:SRL262150 TBH262148:TBH262150 TLD262148:TLD262150 TUZ262148:TUZ262150 UEV262148:UEV262150 UOR262148:UOR262150 UYN262148:UYN262150 VIJ262148:VIJ262150 VSF262148:VSF262150 WCB262148:WCB262150 WLX262148:WLX262150 WVT262148:WVT262150 S327684:S327686 JH327684:JH327686 TD327684:TD327686 ACZ327684:ACZ327686 AMV327684:AMV327686 AWR327684:AWR327686 BGN327684:BGN327686 BQJ327684:BQJ327686 CAF327684:CAF327686 CKB327684:CKB327686 CTX327684:CTX327686 DDT327684:DDT327686 DNP327684:DNP327686 DXL327684:DXL327686 EHH327684:EHH327686 ERD327684:ERD327686 FAZ327684:FAZ327686 FKV327684:FKV327686 FUR327684:FUR327686 GEN327684:GEN327686 GOJ327684:GOJ327686 GYF327684:GYF327686 HIB327684:HIB327686 HRX327684:HRX327686 IBT327684:IBT327686 ILP327684:ILP327686 IVL327684:IVL327686 JFH327684:JFH327686 JPD327684:JPD327686 JYZ327684:JYZ327686 KIV327684:KIV327686 KSR327684:KSR327686 LCN327684:LCN327686 LMJ327684:LMJ327686 LWF327684:LWF327686 MGB327684:MGB327686 MPX327684:MPX327686 MZT327684:MZT327686 NJP327684:NJP327686 NTL327684:NTL327686 ODH327684:ODH327686 OND327684:OND327686 OWZ327684:OWZ327686 PGV327684:PGV327686 PQR327684:PQR327686 QAN327684:QAN327686 QKJ327684:QKJ327686 QUF327684:QUF327686 REB327684:REB327686 RNX327684:RNX327686 RXT327684:RXT327686 SHP327684:SHP327686 SRL327684:SRL327686 TBH327684:TBH327686 TLD327684:TLD327686 TUZ327684:TUZ327686 UEV327684:UEV327686 UOR327684:UOR327686 UYN327684:UYN327686 VIJ327684:VIJ327686 VSF327684:VSF327686 WCB327684:WCB327686 WLX327684:WLX327686 WVT327684:WVT327686 S393220:S393222 JH393220:JH393222 TD393220:TD393222 ACZ393220:ACZ393222 AMV393220:AMV393222 AWR393220:AWR393222 BGN393220:BGN393222 BQJ393220:BQJ393222 CAF393220:CAF393222 CKB393220:CKB393222 CTX393220:CTX393222 DDT393220:DDT393222 DNP393220:DNP393222 DXL393220:DXL393222 EHH393220:EHH393222 ERD393220:ERD393222 FAZ393220:FAZ393222 FKV393220:FKV393222 FUR393220:FUR393222 GEN393220:GEN393222 GOJ393220:GOJ393222 GYF393220:GYF393222 HIB393220:HIB393222 HRX393220:HRX393222 IBT393220:IBT393222 ILP393220:ILP393222 IVL393220:IVL393222 JFH393220:JFH393222 JPD393220:JPD393222 JYZ393220:JYZ393222 KIV393220:KIV393222 KSR393220:KSR393222 LCN393220:LCN393222 LMJ393220:LMJ393222 LWF393220:LWF393222 MGB393220:MGB393222 MPX393220:MPX393222 MZT393220:MZT393222 NJP393220:NJP393222 NTL393220:NTL393222 ODH393220:ODH393222 OND393220:OND393222 OWZ393220:OWZ393222 PGV393220:PGV393222 PQR393220:PQR393222 QAN393220:QAN393222 QKJ393220:QKJ393222 QUF393220:QUF393222 REB393220:REB393222 RNX393220:RNX393222 RXT393220:RXT393222 SHP393220:SHP393222 SRL393220:SRL393222 TBH393220:TBH393222 TLD393220:TLD393222 TUZ393220:TUZ393222 UEV393220:UEV393222 UOR393220:UOR393222 UYN393220:UYN393222 VIJ393220:VIJ393222 VSF393220:VSF393222 WCB393220:WCB393222 WLX393220:WLX393222 WVT393220:WVT393222 S458756:S458758 JH458756:JH458758 TD458756:TD458758 ACZ458756:ACZ458758 AMV458756:AMV458758 AWR458756:AWR458758 BGN458756:BGN458758 BQJ458756:BQJ458758 CAF458756:CAF458758 CKB458756:CKB458758 CTX458756:CTX458758 DDT458756:DDT458758 DNP458756:DNP458758 DXL458756:DXL458758 EHH458756:EHH458758 ERD458756:ERD458758 FAZ458756:FAZ458758 FKV458756:FKV458758 FUR458756:FUR458758 GEN458756:GEN458758 GOJ458756:GOJ458758 GYF458756:GYF458758 HIB458756:HIB458758 HRX458756:HRX458758 IBT458756:IBT458758 ILP458756:ILP458758 IVL458756:IVL458758 JFH458756:JFH458758 JPD458756:JPD458758 JYZ458756:JYZ458758 KIV458756:KIV458758 KSR458756:KSR458758 LCN458756:LCN458758 LMJ458756:LMJ458758 LWF458756:LWF458758 MGB458756:MGB458758 MPX458756:MPX458758 MZT458756:MZT458758 NJP458756:NJP458758 NTL458756:NTL458758 ODH458756:ODH458758 OND458756:OND458758 OWZ458756:OWZ458758 PGV458756:PGV458758 PQR458756:PQR458758 QAN458756:QAN458758 QKJ458756:QKJ458758 QUF458756:QUF458758 REB458756:REB458758 RNX458756:RNX458758 RXT458756:RXT458758 SHP458756:SHP458758 SRL458756:SRL458758 TBH458756:TBH458758 TLD458756:TLD458758 TUZ458756:TUZ458758 UEV458756:UEV458758 UOR458756:UOR458758 UYN458756:UYN458758 VIJ458756:VIJ458758 VSF458756:VSF458758 WCB458756:WCB458758 WLX458756:WLX458758 WVT458756:WVT458758 S524292:S524294 JH524292:JH524294 TD524292:TD524294 ACZ524292:ACZ524294 AMV524292:AMV524294 AWR524292:AWR524294 BGN524292:BGN524294 BQJ524292:BQJ524294 CAF524292:CAF524294 CKB524292:CKB524294 CTX524292:CTX524294 DDT524292:DDT524294 DNP524292:DNP524294 DXL524292:DXL524294 EHH524292:EHH524294 ERD524292:ERD524294 FAZ524292:FAZ524294 FKV524292:FKV524294 FUR524292:FUR524294 GEN524292:GEN524294 GOJ524292:GOJ524294 GYF524292:GYF524294 HIB524292:HIB524294 HRX524292:HRX524294 IBT524292:IBT524294 ILP524292:ILP524294 IVL524292:IVL524294 JFH524292:JFH524294 JPD524292:JPD524294 JYZ524292:JYZ524294 KIV524292:KIV524294 KSR524292:KSR524294 LCN524292:LCN524294 LMJ524292:LMJ524294 LWF524292:LWF524294 MGB524292:MGB524294 MPX524292:MPX524294 MZT524292:MZT524294 NJP524292:NJP524294 NTL524292:NTL524294 ODH524292:ODH524294 OND524292:OND524294 OWZ524292:OWZ524294 PGV524292:PGV524294 PQR524292:PQR524294 QAN524292:QAN524294 QKJ524292:QKJ524294 QUF524292:QUF524294 REB524292:REB524294 RNX524292:RNX524294 RXT524292:RXT524294 SHP524292:SHP524294 SRL524292:SRL524294 TBH524292:TBH524294 TLD524292:TLD524294 TUZ524292:TUZ524294 UEV524292:UEV524294 UOR524292:UOR524294 UYN524292:UYN524294 VIJ524292:VIJ524294 VSF524292:VSF524294 WCB524292:WCB524294 WLX524292:WLX524294 WVT524292:WVT524294 S589828:S589830 JH589828:JH589830 TD589828:TD589830 ACZ589828:ACZ589830 AMV589828:AMV589830 AWR589828:AWR589830 BGN589828:BGN589830 BQJ589828:BQJ589830 CAF589828:CAF589830 CKB589828:CKB589830 CTX589828:CTX589830 DDT589828:DDT589830 DNP589828:DNP589830 DXL589828:DXL589830 EHH589828:EHH589830 ERD589828:ERD589830 FAZ589828:FAZ589830 FKV589828:FKV589830 FUR589828:FUR589830 GEN589828:GEN589830 GOJ589828:GOJ589830 GYF589828:GYF589830 HIB589828:HIB589830 HRX589828:HRX589830 IBT589828:IBT589830 ILP589828:ILP589830 IVL589828:IVL589830 JFH589828:JFH589830 JPD589828:JPD589830 JYZ589828:JYZ589830 KIV589828:KIV589830 KSR589828:KSR589830 LCN589828:LCN589830 LMJ589828:LMJ589830 LWF589828:LWF589830 MGB589828:MGB589830 MPX589828:MPX589830 MZT589828:MZT589830 NJP589828:NJP589830 NTL589828:NTL589830 ODH589828:ODH589830 OND589828:OND589830 OWZ589828:OWZ589830 PGV589828:PGV589830 PQR589828:PQR589830 QAN589828:QAN589830 QKJ589828:QKJ589830 QUF589828:QUF589830 REB589828:REB589830 RNX589828:RNX589830 RXT589828:RXT589830 SHP589828:SHP589830 SRL589828:SRL589830 TBH589828:TBH589830 TLD589828:TLD589830 TUZ589828:TUZ589830 UEV589828:UEV589830 UOR589828:UOR589830 UYN589828:UYN589830 VIJ589828:VIJ589830 VSF589828:VSF589830 WCB589828:WCB589830 WLX589828:WLX589830 WVT589828:WVT589830 S655364:S655366 JH655364:JH655366 TD655364:TD655366 ACZ655364:ACZ655366 AMV655364:AMV655366 AWR655364:AWR655366 BGN655364:BGN655366 BQJ655364:BQJ655366 CAF655364:CAF655366 CKB655364:CKB655366 CTX655364:CTX655366 DDT655364:DDT655366 DNP655364:DNP655366 DXL655364:DXL655366 EHH655364:EHH655366 ERD655364:ERD655366 FAZ655364:FAZ655366 FKV655364:FKV655366 FUR655364:FUR655366 GEN655364:GEN655366 GOJ655364:GOJ655366 GYF655364:GYF655366 HIB655364:HIB655366 HRX655364:HRX655366 IBT655364:IBT655366 ILP655364:ILP655366 IVL655364:IVL655366 JFH655364:JFH655366 JPD655364:JPD655366 JYZ655364:JYZ655366 KIV655364:KIV655366 KSR655364:KSR655366 LCN655364:LCN655366 LMJ655364:LMJ655366 LWF655364:LWF655366 MGB655364:MGB655366 MPX655364:MPX655366 MZT655364:MZT655366 NJP655364:NJP655366 NTL655364:NTL655366 ODH655364:ODH655366 OND655364:OND655366 OWZ655364:OWZ655366 PGV655364:PGV655366 PQR655364:PQR655366 QAN655364:QAN655366 QKJ655364:QKJ655366 QUF655364:QUF655366 REB655364:REB655366 RNX655364:RNX655366 RXT655364:RXT655366 SHP655364:SHP655366 SRL655364:SRL655366 TBH655364:TBH655366 TLD655364:TLD655366 TUZ655364:TUZ655366 UEV655364:UEV655366 UOR655364:UOR655366 UYN655364:UYN655366 VIJ655364:VIJ655366 VSF655364:VSF655366 WCB655364:WCB655366 WLX655364:WLX655366 WVT655364:WVT655366 S720900:S720902 JH720900:JH720902 TD720900:TD720902 ACZ720900:ACZ720902 AMV720900:AMV720902 AWR720900:AWR720902 BGN720900:BGN720902 BQJ720900:BQJ720902 CAF720900:CAF720902 CKB720900:CKB720902 CTX720900:CTX720902 DDT720900:DDT720902 DNP720900:DNP720902 DXL720900:DXL720902 EHH720900:EHH720902 ERD720900:ERD720902 FAZ720900:FAZ720902 FKV720900:FKV720902 FUR720900:FUR720902 GEN720900:GEN720902 GOJ720900:GOJ720902 GYF720900:GYF720902 HIB720900:HIB720902 HRX720900:HRX720902 IBT720900:IBT720902 ILP720900:ILP720902 IVL720900:IVL720902 JFH720900:JFH720902 JPD720900:JPD720902 JYZ720900:JYZ720902 KIV720900:KIV720902 KSR720900:KSR720902 LCN720900:LCN720902 LMJ720900:LMJ720902 LWF720900:LWF720902 MGB720900:MGB720902 MPX720900:MPX720902 MZT720900:MZT720902 NJP720900:NJP720902 NTL720900:NTL720902 ODH720900:ODH720902 OND720900:OND720902 OWZ720900:OWZ720902 PGV720900:PGV720902 PQR720900:PQR720902 QAN720900:QAN720902 QKJ720900:QKJ720902 QUF720900:QUF720902 REB720900:REB720902 RNX720900:RNX720902 RXT720900:RXT720902 SHP720900:SHP720902 SRL720900:SRL720902 TBH720900:TBH720902 TLD720900:TLD720902 TUZ720900:TUZ720902 UEV720900:UEV720902 UOR720900:UOR720902 UYN720900:UYN720902 VIJ720900:VIJ720902 VSF720900:VSF720902 WCB720900:WCB720902 WLX720900:WLX720902 WVT720900:WVT720902 S786436:S786438 JH786436:JH786438 TD786436:TD786438 ACZ786436:ACZ786438 AMV786436:AMV786438 AWR786436:AWR786438 BGN786436:BGN786438 BQJ786436:BQJ786438 CAF786436:CAF786438 CKB786436:CKB786438 CTX786436:CTX786438 DDT786436:DDT786438 DNP786436:DNP786438 DXL786436:DXL786438 EHH786436:EHH786438 ERD786436:ERD786438 FAZ786436:FAZ786438 FKV786436:FKV786438 FUR786436:FUR786438 GEN786436:GEN786438 GOJ786436:GOJ786438 GYF786436:GYF786438 HIB786436:HIB786438 HRX786436:HRX786438 IBT786436:IBT786438 ILP786436:ILP786438 IVL786436:IVL786438 JFH786436:JFH786438 JPD786436:JPD786438 JYZ786436:JYZ786438 KIV786436:KIV786438 KSR786436:KSR786438 LCN786436:LCN786438 LMJ786436:LMJ786438 LWF786436:LWF786438 MGB786436:MGB786438 MPX786436:MPX786438 MZT786436:MZT786438 NJP786436:NJP786438 NTL786436:NTL786438 ODH786436:ODH786438 OND786436:OND786438 OWZ786436:OWZ786438 PGV786436:PGV786438 PQR786436:PQR786438 QAN786436:QAN786438 QKJ786436:QKJ786438 QUF786436:QUF786438 REB786436:REB786438 RNX786436:RNX786438 RXT786436:RXT786438 SHP786436:SHP786438 SRL786436:SRL786438 TBH786436:TBH786438 TLD786436:TLD786438 TUZ786436:TUZ786438 UEV786436:UEV786438 UOR786436:UOR786438 UYN786436:UYN786438 VIJ786436:VIJ786438 VSF786436:VSF786438 WCB786436:WCB786438 WLX786436:WLX786438 WVT786436:WVT786438 S851972:S851974 JH851972:JH851974 TD851972:TD851974 ACZ851972:ACZ851974 AMV851972:AMV851974 AWR851972:AWR851974 BGN851972:BGN851974 BQJ851972:BQJ851974 CAF851972:CAF851974 CKB851972:CKB851974 CTX851972:CTX851974 DDT851972:DDT851974 DNP851972:DNP851974 DXL851972:DXL851974 EHH851972:EHH851974 ERD851972:ERD851974 FAZ851972:FAZ851974 FKV851972:FKV851974 FUR851972:FUR851974 GEN851972:GEN851974 GOJ851972:GOJ851974 GYF851972:GYF851974 HIB851972:HIB851974 HRX851972:HRX851974 IBT851972:IBT851974 ILP851972:ILP851974 IVL851972:IVL851974 JFH851972:JFH851974 JPD851972:JPD851974 JYZ851972:JYZ851974 KIV851972:KIV851974 KSR851972:KSR851974 LCN851972:LCN851974 LMJ851972:LMJ851974 LWF851972:LWF851974 MGB851972:MGB851974 MPX851972:MPX851974 MZT851972:MZT851974 NJP851972:NJP851974 NTL851972:NTL851974 ODH851972:ODH851974 OND851972:OND851974 OWZ851972:OWZ851974 PGV851972:PGV851974 PQR851972:PQR851974 QAN851972:QAN851974 QKJ851972:QKJ851974 QUF851972:QUF851974 REB851972:REB851974 RNX851972:RNX851974 RXT851972:RXT851974 SHP851972:SHP851974 SRL851972:SRL851974 TBH851972:TBH851974 TLD851972:TLD851974 TUZ851972:TUZ851974 UEV851972:UEV851974 UOR851972:UOR851974 UYN851972:UYN851974 VIJ851972:VIJ851974 VSF851972:VSF851974 WCB851972:WCB851974 WLX851972:WLX851974 WVT851972:WVT851974 S917508:S917510 JH917508:JH917510 TD917508:TD917510 ACZ917508:ACZ917510 AMV917508:AMV917510 AWR917508:AWR917510 BGN917508:BGN917510 BQJ917508:BQJ917510 CAF917508:CAF917510 CKB917508:CKB917510 CTX917508:CTX917510 DDT917508:DDT917510 DNP917508:DNP917510 DXL917508:DXL917510 EHH917508:EHH917510 ERD917508:ERD917510 FAZ917508:FAZ917510 FKV917508:FKV917510 FUR917508:FUR917510 GEN917508:GEN917510 GOJ917508:GOJ917510 GYF917508:GYF917510 HIB917508:HIB917510 HRX917508:HRX917510 IBT917508:IBT917510 ILP917508:ILP917510 IVL917508:IVL917510 JFH917508:JFH917510 JPD917508:JPD917510 JYZ917508:JYZ917510 KIV917508:KIV917510 KSR917508:KSR917510 LCN917508:LCN917510 LMJ917508:LMJ917510 LWF917508:LWF917510 MGB917508:MGB917510 MPX917508:MPX917510 MZT917508:MZT917510 NJP917508:NJP917510 NTL917508:NTL917510 ODH917508:ODH917510 OND917508:OND917510 OWZ917508:OWZ917510 PGV917508:PGV917510 PQR917508:PQR917510 QAN917508:QAN917510 QKJ917508:QKJ917510 QUF917508:QUF917510 REB917508:REB917510 RNX917508:RNX917510 RXT917508:RXT917510 SHP917508:SHP917510 SRL917508:SRL917510 TBH917508:TBH917510 TLD917508:TLD917510 TUZ917508:TUZ917510 UEV917508:UEV917510 UOR917508:UOR917510 UYN917508:UYN917510 VIJ917508:VIJ917510 VSF917508:VSF917510 WCB917508:WCB917510 WLX917508:WLX917510 WVT917508:WVT917510 S983044:S983046 JH983044:JH983046 TD983044:TD983046 ACZ983044:ACZ983046 AMV983044:AMV983046 AWR983044:AWR983046 BGN983044:BGN983046 BQJ983044:BQJ983046 CAF983044:CAF983046 CKB983044:CKB983046 CTX983044:CTX983046 DDT983044:DDT983046 DNP983044:DNP983046 DXL983044:DXL983046 EHH983044:EHH983046 ERD983044:ERD983046 FAZ983044:FAZ983046 FKV983044:FKV983046 FUR983044:FUR983046 GEN983044:GEN983046 GOJ983044:GOJ983046 GYF983044:GYF983046 HIB983044:HIB983046 HRX983044:HRX983046 IBT983044:IBT983046 ILP983044:ILP983046 IVL983044:IVL983046 JFH983044:JFH983046 JPD983044:JPD983046 JYZ983044:JYZ983046 KIV983044:KIV983046 KSR983044:KSR983046 LCN983044:LCN983046 LMJ983044:LMJ983046 LWF983044:LWF983046 MGB983044:MGB983046 MPX983044:MPX983046 MZT983044:MZT983046 NJP983044:NJP983046 NTL983044:NTL983046 ODH983044:ODH983046 OND983044:OND983046 OWZ983044:OWZ983046 PGV983044:PGV983046 PQR983044:PQR983046 QAN983044:QAN983046 QKJ983044:QKJ983046 QUF983044:QUF983046 REB983044:REB983046 RNX983044:RNX983046 RXT983044:RXT983046 SHP983044:SHP983046 SRL983044:SRL983046 TBH983044:TBH983046 TLD983044:TLD983046 TUZ983044:TUZ983046 UEV983044:UEV983046 UOR983044:UOR983046 UYN983044:UYN983046 VIJ983044:VIJ983046 VSF983044:VSF983046 WCB983044:WCB983046 WLX983044:WLX983046 WVT983044:WVT983046 U65546:U65569 JJ65546:JJ65569 TF65546:TF65569 ADB65546:ADB65569 AMX65546:AMX65569 AWT65546:AWT65569 BGP65546:BGP65569 BQL65546:BQL65569 CAH65546:CAH65569 CKD65546:CKD65569 CTZ65546:CTZ65569 DDV65546:DDV65569 DNR65546:DNR65569 DXN65546:DXN65569 EHJ65546:EHJ65569 ERF65546:ERF65569 FBB65546:FBB65569 FKX65546:FKX65569 FUT65546:FUT65569 GEP65546:GEP65569 GOL65546:GOL65569 GYH65546:GYH65569 HID65546:HID65569 HRZ65546:HRZ65569 IBV65546:IBV65569 ILR65546:ILR65569 IVN65546:IVN65569 JFJ65546:JFJ65569 JPF65546:JPF65569 JZB65546:JZB65569 KIX65546:KIX65569 KST65546:KST65569 LCP65546:LCP65569 LML65546:LML65569 LWH65546:LWH65569 MGD65546:MGD65569 MPZ65546:MPZ65569 MZV65546:MZV65569 NJR65546:NJR65569 NTN65546:NTN65569 ODJ65546:ODJ65569 ONF65546:ONF65569 OXB65546:OXB65569 PGX65546:PGX65569 PQT65546:PQT65569 QAP65546:QAP65569 QKL65546:QKL65569 QUH65546:QUH65569 RED65546:RED65569 RNZ65546:RNZ65569 RXV65546:RXV65569 SHR65546:SHR65569 SRN65546:SRN65569 TBJ65546:TBJ65569 TLF65546:TLF65569 TVB65546:TVB65569 UEX65546:UEX65569 UOT65546:UOT65569 UYP65546:UYP65569 VIL65546:VIL65569 VSH65546:VSH65569 WCD65546:WCD65569 WLZ65546:WLZ65569 WVV65546:WVV65569 U131082:U131105 JJ131082:JJ131105 TF131082:TF131105 ADB131082:ADB131105 AMX131082:AMX131105 AWT131082:AWT131105 BGP131082:BGP131105 BQL131082:BQL131105 CAH131082:CAH131105 CKD131082:CKD131105 CTZ131082:CTZ131105 DDV131082:DDV131105 DNR131082:DNR131105 DXN131082:DXN131105 EHJ131082:EHJ131105 ERF131082:ERF131105 FBB131082:FBB131105 FKX131082:FKX131105 FUT131082:FUT131105 GEP131082:GEP131105 GOL131082:GOL131105 GYH131082:GYH131105 HID131082:HID131105 HRZ131082:HRZ131105 IBV131082:IBV131105 ILR131082:ILR131105 IVN131082:IVN131105 JFJ131082:JFJ131105 JPF131082:JPF131105 JZB131082:JZB131105 KIX131082:KIX131105 KST131082:KST131105 LCP131082:LCP131105 LML131082:LML131105 LWH131082:LWH131105 MGD131082:MGD131105 MPZ131082:MPZ131105 MZV131082:MZV131105 NJR131082:NJR131105 NTN131082:NTN131105 ODJ131082:ODJ131105 ONF131082:ONF131105 OXB131082:OXB131105 PGX131082:PGX131105 PQT131082:PQT131105 QAP131082:QAP131105 QKL131082:QKL131105 QUH131082:QUH131105 RED131082:RED131105 RNZ131082:RNZ131105 RXV131082:RXV131105 SHR131082:SHR131105 SRN131082:SRN131105 TBJ131082:TBJ131105 TLF131082:TLF131105 TVB131082:TVB131105 UEX131082:UEX131105 UOT131082:UOT131105 UYP131082:UYP131105 VIL131082:VIL131105 VSH131082:VSH131105 WCD131082:WCD131105 WLZ131082:WLZ131105 WVV131082:WVV131105 U196618:U196641 JJ196618:JJ196641 TF196618:TF196641 ADB196618:ADB196641 AMX196618:AMX196641 AWT196618:AWT196641 BGP196618:BGP196641 BQL196618:BQL196641 CAH196618:CAH196641 CKD196618:CKD196641 CTZ196618:CTZ196641 DDV196618:DDV196641 DNR196618:DNR196641 DXN196618:DXN196641 EHJ196618:EHJ196641 ERF196618:ERF196641 FBB196618:FBB196641 FKX196618:FKX196641 FUT196618:FUT196641 GEP196618:GEP196641 GOL196618:GOL196641 GYH196618:GYH196641 HID196618:HID196641 HRZ196618:HRZ196641 IBV196618:IBV196641 ILR196618:ILR196641 IVN196618:IVN196641 JFJ196618:JFJ196641 JPF196618:JPF196641 JZB196618:JZB196641 KIX196618:KIX196641 KST196618:KST196641 LCP196618:LCP196641 LML196618:LML196641 LWH196618:LWH196641 MGD196618:MGD196641 MPZ196618:MPZ196641 MZV196618:MZV196641 NJR196618:NJR196641 NTN196618:NTN196641 ODJ196618:ODJ196641 ONF196618:ONF196641 OXB196618:OXB196641 PGX196618:PGX196641 PQT196618:PQT196641 QAP196618:QAP196641 QKL196618:QKL196641 QUH196618:QUH196641 RED196618:RED196641 RNZ196618:RNZ196641 RXV196618:RXV196641 SHR196618:SHR196641 SRN196618:SRN196641 TBJ196618:TBJ196641 TLF196618:TLF196641 TVB196618:TVB196641 UEX196618:UEX196641 UOT196618:UOT196641 UYP196618:UYP196641 VIL196618:VIL196641 VSH196618:VSH196641 WCD196618:WCD196641 WLZ196618:WLZ196641 WVV196618:WVV196641 U262154:U262177 JJ262154:JJ262177 TF262154:TF262177 ADB262154:ADB262177 AMX262154:AMX262177 AWT262154:AWT262177 BGP262154:BGP262177 BQL262154:BQL262177 CAH262154:CAH262177 CKD262154:CKD262177 CTZ262154:CTZ262177 DDV262154:DDV262177 DNR262154:DNR262177 DXN262154:DXN262177 EHJ262154:EHJ262177 ERF262154:ERF262177 FBB262154:FBB262177 FKX262154:FKX262177 FUT262154:FUT262177 GEP262154:GEP262177 GOL262154:GOL262177 GYH262154:GYH262177 HID262154:HID262177 HRZ262154:HRZ262177 IBV262154:IBV262177 ILR262154:ILR262177 IVN262154:IVN262177 JFJ262154:JFJ262177 JPF262154:JPF262177 JZB262154:JZB262177 KIX262154:KIX262177 KST262154:KST262177 LCP262154:LCP262177 LML262154:LML262177 LWH262154:LWH262177 MGD262154:MGD262177 MPZ262154:MPZ262177 MZV262154:MZV262177 NJR262154:NJR262177 NTN262154:NTN262177 ODJ262154:ODJ262177 ONF262154:ONF262177 OXB262154:OXB262177 PGX262154:PGX262177 PQT262154:PQT262177 QAP262154:QAP262177 QKL262154:QKL262177 QUH262154:QUH262177 RED262154:RED262177 RNZ262154:RNZ262177 RXV262154:RXV262177 SHR262154:SHR262177 SRN262154:SRN262177 TBJ262154:TBJ262177 TLF262154:TLF262177 TVB262154:TVB262177 UEX262154:UEX262177 UOT262154:UOT262177 UYP262154:UYP262177 VIL262154:VIL262177 VSH262154:VSH262177 WCD262154:WCD262177 WLZ262154:WLZ262177 WVV262154:WVV262177 U327690:U327713 JJ327690:JJ327713 TF327690:TF327713 ADB327690:ADB327713 AMX327690:AMX327713 AWT327690:AWT327713 BGP327690:BGP327713 BQL327690:BQL327713 CAH327690:CAH327713 CKD327690:CKD327713 CTZ327690:CTZ327713 DDV327690:DDV327713 DNR327690:DNR327713 DXN327690:DXN327713 EHJ327690:EHJ327713 ERF327690:ERF327713 FBB327690:FBB327713 FKX327690:FKX327713 FUT327690:FUT327713 GEP327690:GEP327713 GOL327690:GOL327713 GYH327690:GYH327713 HID327690:HID327713 HRZ327690:HRZ327713 IBV327690:IBV327713 ILR327690:ILR327713 IVN327690:IVN327713 JFJ327690:JFJ327713 JPF327690:JPF327713 JZB327690:JZB327713 KIX327690:KIX327713 KST327690:KST327713 LCP327690:LCP327713 LML327690:LML327713 LWH327690:LWH327713 MGD327690:MGD327713 MPZ327690:MPZ327713 MZV327690:MZV327713 NJR327690:NJR327713 NTN327690:NTN327713 ODJ327690:ODJ327713 ONF327690:ONF327713 OXB327690:OXB327713 PGX327690:PGX327713 PQT327690:PQT327713 QAP327690:QAP327713 QKL327690:QKL327713 QUH327690:QUH327713 RED327690:RED327713 RNZ327690:RNZ327713 RXV327690:RXV327713 SHR327690:SHR327713 SRN327690:SRN327713 TBJ327690:TBJ327713 TLF327690:TLF327713 TVB327690:TVB327713 UEX327690:UEX327713 UOT327690:UOT327713 UYP327690:UYP327713 VIL327690:VIL327713 VSH327690:VSH327713 WCD327690:WCD327713 WLZ327690:WLZ327713 WVV327690:WVV327713 U393226:U393249 JJ393226:JJ393249 TF393226:TF393249 ADB393226:ADB393249 AMX393226:AMX393249 AWT393226:AWT393249 BGP393226:BGP393249 BQL393226:BQL393249 CAH393226:CAH393249 CKD393226:CKD393249 CTZ393226:CTZ393249 DDV393226:DDV393249 DNR393226:DNR393249 DXN393226:DXN393249 EHJ393226:EHJ393249 ERF393226:ERF393249 FBB393226:FBB393249 FKX393226:FKX393249 FUT393226:FUT393249 GEP393226:GEP393249 GOL393226:GOL393249 GYH393226:GYH393249 HID393226:HID393249 HRZ393226:HRZ393249 IBV393226:IBV393249 ILR393226:ILR393249 IVN393226:IVN393249 JFJ393226:JFJ393249 JPF393226:JPF393249 JZB393226:JZB393249 KIX393226:KIX393249 KST393226:KST393249 LCP393226:LCP393249 LML393226:LML393249 LWH393226:LWH393249 MGD393226:MGD393249 MPZ393226:MPZ393249 MZV393226:MZV393249 NJR393226:NJR393249 NTN393226:NTN393249 ODJ393226:ODJ393249 ONF393226:ONF393249 OXB393226:OXB393249 PGX393226:PGX393249 PQT393226:PQT393249 QAP393226:QAP393249 QKL393226:QKL393249 QUH393226:QUH393249 RED393226:RED393249 RNZ393226:RNZ393249 RXV393226:RXV393249 SHR393226:SHR393249 SRN393226:SRN393249 TBJ393226:TBJ393249 TLF393226:TLF393249 TVB393226:TVB393249 UEX393226:UEX393249 UOT393226:UOT393249 UYP393226:UYP393249 VIL393226:VIL393249 VSH393226:VSH393249 WCD393226:WCD393249 WLZ393226:WLZ393249 WVV393226:WVV393249 U458762:U458785 JJ458762:JJ458785 TF458762:TF458785 ADB458762:ADB458785 AMX458762:AMX458785 AWT458762:AWT458785 BGP458762:BGP458785 BQL458762:BQL458785 CAH458762:CAH458785 CKD458762:CKD458785 CTZ458762:CTZ458785 DDV458762:DDV458785 DNR458762:DNR458785 DXN458762:DXN458785 EHJ458762:EHJ458785 ERF458762:ERF458785 FBB458762:FBB458785 FKX458762:FKX458785 FUT458762:FUT458785 GEP458762:GEP458785 GOL458762:GOL458785 GYH458762:GYH458785 HID458762:HID458785 HRZ458762:HRZ458785 IBV458762:IBV458785 ILR458762:ILR458785 IVN458762:IVN458785 JFJ458762:JFJ458785 JPF458762:JPF458785 JZB458762:JZB458785 KIX458762:KIX458785 KST458762:KST458785 LCP458762:LCP458785 LML458762:LML458785 LWH458762:LWH458785 MGD458762:MGD458785 MPZ458762:MPZ458785 MZV458762:MZV458785 NJR458762:NJR458785 NTN458762:NTN458785 ODJ458762:ODJ458785 ONF458762:ONF458785 OXB458762:OXB458785 PGX458762:PGX458785 PQT458762:PQT458785 QAP458762:QAP458785 QKL458762:QKL458785 QUH458762:QUH458785 RED458762:RED458785 RNZ458762:RNZ458785 RXV458762:RXV458785 SHR458762:SHR458785 SRN458762:SRN458785 TBJ458762:TBJ458785 TLF458762:TLF458785 TVB458762:TVB458785 UEX458762:UEX458785 UOT458762:UOT458785 UYP458762:UYP458785 VIL458762:VIL458785 VSH458762:VSH458785 WCD458762:WCD458785 WLZ458762:WLZ458785 WVV458762:WVV458785 U524298:U524321 JJ524298:JJ524321 TF524298:TF524321 ADB524298:ADB524321 AMX524298:AMX524321 AWT524298:AWT524321 BGP524298:BGP524321 BQL524298:BQL524321 CAH524298:CAH524321 CKD524298:CKD524321 CTZ524298:CTZ524321 DDV524298:DDV524321 DNR524298:DNR524321 DXN524298:DXN524321 EHJ524298:EHJ524321 ERF524298:ERF524321 FBB524298:FBB524321 FKX524298:FKX524321 FUT524298:FUT524321 GEP524298:GEP524321 GOL524298:GOL524321 GYH524298:GYH524321 HID524298:HID524321 HRZ524298:HRZ524321 IBV524298:IBV524321 ILR524298:ILR524321 IVN524298:IVN524321 JFJ524298:JFJ524321 JPF524298:JPF524321 JZB524298:JZB524321 KIX524298:KIX524321 KST524298:KST524321 LCP524298:LCP524321 LML524298:LML524321 LWH524298:LWH524321 MGD524298:MGD524321 MPZ524298:MPZ524321 MZV524298:MZV524321 NJR524298:NJR524321 NTN524298:NTN524321 ODJ524298:ODJ524321 ONF524298:ONF524321 OXB524298:OXB524321 PGX524298:PGX524321 PQT524298:PQT524321 QAP524298:QAP524321 QKL524298:QKL524321 QUH524298:QUH524321 RED524298:RED524321 RNZ524298:RNZ524321 RXV524298:RXV524321 SHR524298:SHR524321 SRN524298:SRN524321 TBJ524298:TBJ524321 TLF524298:TLF524321 TVB524298:TVB524321 UEX524298:UEX524321 UOT524298:UOT524321 UYP524298:UYP524321 VIL524298:VIL524321 VSH524298:VSH524321 WCD524298:WCD524321 WLZ524298:WLZ524321 WVV524298:WVV524321 U589834:U589857 JJ589834:JJ589857 TF589834:TF589857 ADB589834:ADB589857 AMX589834:AMX589857 AWT589834:AWT589857 BGP589834:BGP589857 BQL589834:BQL589857 CAH589834:CAH589857 CKD589834:CKD589857 CTZ589834:CTZ589857 DDV589834:DDV589857 DNR589834:DNR589857 DXN589834:DXN589857 EHJ589834:EHJ589857 ERF589834:ERF589857 FBB589834:FBB589857 FKX589834:FKX589857 FUT589834:FUT589857 GEP589834:GEP589857 GOL589834:GOL589857 GYH589834:GYH589857 HID589834:HID589857 HRZ589834:HRZ589857 IBV589834:IBV589857 ILR589834:ILR589857 IVN589834:IVN589857 JFJ589834:JFJ589857 JPF589834:JPF589857 JZB589834:JZB589857 KIX589834:KIX589857 KST589834:KST589857 LCP589834:LCP589857 LML589834:LML589857 LWH589834:LWH589857 MGD589834:MGD589857 MPZ589834:MPZ589857 MZV589834:MZV589857 NJR589834:NJR589857 NTN589834:NTN589857 ODJ589834:ODJ589857 ONF589834:ONF589857 OXB589834:OXB589857 PGX589834:PGX589857 PQT589834:PQT589857 QAP589834:QAP589857 QKL589834:QKL589857 QUH589834:QUH589857 RED589834:RED589857 RNZ589834:RNZ589857 RXV589834:RXV589857 SHR589834:SHR589857 SRN589834:SRN589857 TBJ589834:TBJ589857 TLF589834:TLF589857 TVB589834:TVB589857 UEX589834:UEX589857 UOT589834:UOT589857 UYP589834:UYP589857 VIL589834:VIL589857 VSH589834:VSH589857 WCD589834:WCD589857 WLZ589834:WLZ589857 WVV589834:WVV589857 U655370:U655393 JJ655370:JJ655393 TF655370:TF655393 ADB655370:ADB655393 AMX655370:AMX655393 AWT655370:AWT655393 BGP655370:BGP655393 BQL655370:BQL655393 CAH655370:CAH655393 CKD655370:CKD655393 CTZ655370:CTZ655393 DDV655370:DDV655393 DNR655370:DNR655393 DXN655370:DXN655393 EHJ655370:EHJ655393 ERF655370:ERF655393 FBB655370:FBB655393 FKX655370:FKX655393 FUT655370:FUT655393 GEP655370:GEP655393 GOL655370:GOL655393 GYH655370:GYH655393 HID655370:HID655393 HRZ655370:HRZ655393 IBV655370:IBV655393 ILR655370:ILR655393 IVN655370:IVN655393 JFJ655370:JFJ655393 JPF655370:JPF655393 JZB655370:JZB655393 KIX655370:KIX655393 KST655370:KST655393 LCP655370:LCP655393 LML655370:LML655393 LWH655370:LWH655393 MGD655370:MGD655393 MPZ655370:MPZ655393 MZV655370:MZV655393 NJR655370:NJR655393 NTN655370:NTN655393 ODJ655370:ODJ655393 ONF655370:ONF655393 OXB655370:OXB655393 PGX655370:PGX655393 PQT655370:PQT655393 QAP655370:QAP655393 QKL655370:QKL655393 QUH655370:QUH655393 RED655370:RED655393 RNZ655370:RNZ655393 RXV655370:RXV655393 SHR655370:SHR655393 SRN655370:SRN655393 TBJ655370:TBJ655393 TLF655370:TLF655393 TVB655370:TVB655393 UEX655370:UEX655393 UOT655370:UOT655393 UYP655370:UYP655393 VIL655370:VIL655393 VSH655370:VSH655393 WCD655370:WCD655393 WLZ655370:WLZ655393 WVV655370:WVV655393 U720906:U720929 JJ720906:JJ720929 TF720906:TF720929 ADB720906:ADB720929 AMX720906:AMX720929 AWT720906:AWT720929 BGP720906:BGP720929 BQL720906:BQL720929 CAH720906:CAH720929 CKD720906:CKD720929 CTZ720906:CTZ720929 DDV720906:DDV720929 DNR720906:DNR720929 DXN720906:DXN720929 EHJ720906:EHJ720929 ERF720906:ERF720929 FBB720906:FBB720929 FKX720906:FKX720929 FUT720906:FUT720929 GEP720906:GEP720929 GOL720906:GOL720929 GYH720906:GYH720929 HID720906:HID720929 HRZ720906:HRZ720929 IBV720906:IBV720929 ILR720906:ILR720929 IVN720906:IVN720929 JFJ720906:JFJ720929 JPF720906:JPF720929 JZB720906:JZB720929 KIX720906:KIX720929 KST720906:KST720929 LCP720906:LCP720929 LML720906:LML720929 LWH720906:LWH720929 MGD720906:MGD720929 MPZ720906:MPZ720929 MZV720906:MZV720929 NJR720906:NJR720929 NTN720906:NTN720929 ODJ720906:ODJ720929 ONF720906:ONF720929 OXB720906:OXB720929 PGX720906:PGX720929 PQT720906:PQT720929 QAP720906:QAP720929 QKL720906:QKL720929 QUH720906:QUH720929 RED720906:RED720929 RNZ720906:RNZ720929 RXV720906:RXV720929 SHR720906:SHR720929 SRN720906:SRN720929 TBJ720906:TBJ720929 TLF720906:TLF720929 TVB720906:TVB720929 UEX720906:UEX720929 UOT720906:UOT720929 UYP720906:UYP720929 VIL720906:VIL720929 VSH720906:VSH720929 WCD720906:WCD720929 WLZ720906:WLZ720929 WVV720906:WVV720929 U786442:U786465 JJ786442:JJ786465 TF786442:TF786465 ADB786442:ADB786465 AMX786442:AMX786465 AWT786442:AWT786465 BGP786442:BGP786465 BQL786442:BQL786465 CAH786442:CAH786465 CKD786442:CKD786465 CTZ786442:CTZ786465 DDV786442:DDV786465 DNR786442:DNR786465 DXN786442:DXN786465 EHJ786442:EHJ786465 ERF786442:ERF786465 FBB786442:FBB786465 FKX786442:FKX786465 FUT786442:FUT786465 GEP786442:GEP786465 GOL786442:GOL786465 GYH786442:GYH786465 HID786442:HID786465 HRZ786442:HRZ786465 IBV786442:IBV786465 ILR786442:ILR786465 IVN786442:IVN786465 JFJ786442:JFJ786465 JPF786442:JPF786465 JZB786442:JZB786465 KIX786442:KIX786465 KST786442:KST786465 LCP786442:LCP786465 LML786442:LML786465 LWH786442:LWH786465 MGD786442:MGD786465 MPZ786442:MPZ786465 MZV786442:MZV786465 NJR786442:NJR786465 NTN786442:NTN786465 ODJ786442:ODJ786465 ONF786442:ONF786465 OXB786442:OXB786465 PGX786442:PGX786465 PQT786442:PQT786465 QAP786442:QAP786465 QKL786442:QKL786465 QUH786442:QUH786465 RED786442:RED786465 RNZ786442:RNZ786465 RXV786442:RXV786465 SHR786442:SHR786465 SRN786442:SRN786465 TBJ786442:TBJ786465 TLF786442:TLF786465 TVB786442:TVB786465 UEX786442:UEX786465 UOT786442:UOT786465 UYP786442:UYP786465 VIL786442:VIL786465 VSH786442:VSH786465 WCD786442:WCD786465 WLZ786442:WLZ786465 WVV786442:WVV786465 U851978:U852001 JJ851978:JJ852001 TF851978:TF852001 ADB851978:ADB852001 AMX851978:AMX852001 AWT851978:AWT852001 BGP851978:BGP852001 BQL851978:BQL852001 CAH851978:CAH852001 CKD851978:CKD852001 CTZ851978:CTZ852001 DDV851978:DDV852001 DNR851978:DNR852001 DXN851978:DXN852001 EHJ851978:EHJ852001 ERF851978:ERF852001 FBB851978:FBB852001 FKX851978:FKX852001 FUT851978:FUT852001 GEP851978:GEP852001 GOL851978:GOL852001 GYH851978:GYH852001 HID851978:HID852001 HRZ851978:HRZ852001 IBV851978:IBV852001 ILR851978:ILR852001 IVN851978:IVN852001 JFJ851978:JFJ852001 JPF851978:JPF852001 JZB851978:JZB852001 KIX851978:KIX852001 KST851978:KST852001 LCP851978:LCP852001 LML851978:LML852001 LWH851978:LWH852001 MGD851978:MGD852001 MPZ851978:MPZ852001 MZV851978:MZV852001 NJR851978:NJR852001 NTN851978:NTN852001 ODJ851978:ODJ852001 ONF851978:ONF852001 OXB851978:OXB852001 PGX851978:PGX852001 PQT851978:PQT852001 QAP851978:QAP852001 QKL851978:QKL852001 QUH851978:QUH852001 RED851978:RED852001 RNZ851978:RNZ852001 RXV851978:RXV852001 SHR851978:SHR852001 SRN851978:SRN852001 TBJ851978:TBJ852001 TLF851978:TLF852001 TVB851978:TVB852001 UEX851978:UEX852001 UOT851978:UOT852001 UYP851978:UYP852001 VIL851978:VIL852001 VSH851978:VSH852001 WCD851978:WCD852001 WLZ851978:WLZ852001 WVV851978:WVV852001 U917514:U917537 JJ917514:JJ917537 TF917514:TF917537 ADB917514:ADB917537 AMX917514:AMX917537 AWT917514:AWT917537 BGP917514:BGP917537 BQL917514:BQL917537 CAH917514:CAH917537 CKD917514:CKD917537 CTZ917514:CTZ917537 DDV917514:DDV917537 DNR917514:DNR917537 DXN917514:DXN917537 EHJ917514:EHJ917537 ERF917514:ERF917537 FBB917514:FBB917537 FKX917514:FKX917537 FUT917514:FUT917537 GEP917514:GEP917537 GOL917514:GOL917537 GYH917514:GYH917537 HID917514:HID917537 HRZ917514:HRZ917537 IBV917514:IBV917537 ILR917514:ILR917537 IVN917514:IVN917537 JFJ917514:JFJ917537 JPF917514:JPF917537 JZB917514:JZB917537 KIX917514:KIX917537 KST917514:KST917537 LCP917514:LCP917537 LML917514:LML917537 LWH917514:LWH917537 MGD917514:MGD917537 MPZ917514:MPZ917537 MZV917514:MZV917537 NJR917514:NJR917537 NTN917514:NTN917537 ODJ917514:ODJ917537 ONF917514:ONF917537 OXB917514:OXB917537 PGX917514:PGX917537 PQT917514:PQT917537 QAP917514:QAP917537 QKL917514:QKL917537 QUH917514:QUH917537 RED917514:RED917537 RNZ917514:RNZ917537 RXV917514:RXV917537 SHR917514:SHR917537 SRN917514:SRN917537 TBJ917514:TBJ917537 TLF917514:TLF917537 TVB917514:TVB917537 UEX917514:UEX917537 UOT917514:UOT917537 UYP917514:UYP917537 VIL917514:VIL917537 VSH917514:VSH917537 WCD917514:WCD917537 WLZ917514:WLZ917537 WVV917514:WVV917537 U983050:U983073 JJ983050:JJ983073 TF983050:TF983073 ADB983050:ADB983073 AMX983050:AMX983073 AWT983050:AWT983073 BGP983050:BGP983073 BQL983050:BQL983073 CAH983050:CAH983073 CKD983050:CKD983073 CTZ983050:CTZ983073 DDV983050:DDV983073 DNR983050:DNR983073 DXN983050:DXN983073 EHJ983050:EHJ983073 ERF983050:ERF983073 FBB983050:FBB983073 FKX983050:FKX983073 FUT983050:FUT983073 GEP983050:GEP983073 GOL983050:GOL983073 GYH983050:GYH983073 HID983050:HID983073 HRZ983050:HRZ983073 IBV983050:IBV983073 ILR983050:ILR983073 IVN983050:IVN983073 JFJ983050:JFJ983073 JPF983050:JPF983073 JZB983050:JZB983073 KIX983050:KIX983073 KST983050:KST983073 LCP983050:LCP983073 LML983050:LML983073 LWH983050:LWH983073 MGD983050:MGD983073 MPZ983050:MPZ983073 MZV983050:MZV983073 NJR983050:NJR983073 NTN983050:NTN983073 ODJ983050:ODJ983073 ONF983050:ONF983073 OXB983050:OXB983073 PGX983050:PGX983073 PQT983050:PQT983073 QAP983050:QAP983073 QKL983050:QKL983073 QUH983050:QUH983073 RED983050:RED983073 RNZ983050:RNZ983073 RXV983050:RXV983073 SHR983050:SHR983073 SRN983050:SRN983073 TBJ983050:TBJ983073 TLF983050:TLF983073 TVB983050:TVB983073 UEX983050:UEX983073 UOT983050:UOT983073 UYP983050:UYP983073 VIL983050:VIL983073 VSH983050:VSH983073 WCD983050:WCD983073 WLZ983050:WLZ983073 WVV983050:WVV983073 JL65546:JL65569 TH65546:TH65569 ADD65546:ADD65569 AMZ65546:AMZ65569 AWV65546:AWV65569 BGR65546:BGR65569 BQN65546:BQN65569 CAJ65546:CAJ65569 CKF65546:CKF65569 CUB65546:CUB65569 DDX65546:DDX65569 DNT65546:DNT65569 DXP65546:DXP65569 EHL65546:EHL65569 ERH65546:ERH65569 FBD65546:FBD65569 FKZ65546:FKZ65569 FUV65546:FUV65569 GER65546:GER65569 GON65546:GON65569 GYJ65546:GYJ65569 HIF65546:HIF65569 HSB65546:HSB65569 IBX65546:IBX65569 ILT65546:ILT65569 IVP65546:IVP65569 JFL65546:JFL65569 JPH65546:JPH65569 JZD65546:JZD65569 KIZ65546:KIZ65569 KSV65546:KSV65569 LCR65546:LCR65569 LMN65546:LMN65569 LWJ65546:LWJ65569 MGF65546:MGF65569 MQB65546:MQB65569 MZX65546:MZX65569 NJT65546:NJT65569 NTP65546:NTP65569 ODL65546:ODL65569 ONH65546:ONH65569 OXD65546:OXD65569 PGZ65546:PGZ65569 PQV65546:PQV65569 QAR65546:QAR65569 QKN65546:QKN65569 QUJ65546:QUJ65569 REF65546:REF65569 ROB65546:ROB65569 RXX65546:RXX65569 SHT65546:SHT65569 SRP65546:SRP65569 TBL65546:TBL65569 TLH65546:TLH65569 TVD65546:TVD65569 UEZ65546:UEZ65569 UOV65546:UOV65569 UYR65546:UYR65569 VIN65546:VIN65569 VSJ65546:VSJ65569 WCF65546:WCF65569 WMB65546:WMB65569 WVX65546:WVX65569 JL131082:JL131105 TH131082:TH131105 ADD131082:ADD131105 AMZ131082:AMZ131105 AWV131082:AWV131105 BGR131082:BGR131105 BQN131082:BQN131105 CAJ131082:CAJ131105 CKF131082:CKF131105 CUB131082:CUB131105 DDX131082:DDX131105 DNT131082:DNT131105 DXP131082:DXP131105 EHL131082:EHL131105 ERH131082:ERH131105 FBD131082:FBD131105 FKZ131082:FKZ131105 FUV131082:FUV131105 GER131082:GER131105 GON131082:GON131105 GYJ131082:GYJ131105 HIF131082:HIF131105 HSB131082:HSB131105 IBX131082:IBX131105 ILT131082:ILT131105 IVP131082:IVP131105 JFL131082:JFL131105 JPH131082:JPH131105 JZD131082:JZD131105 KIZ131082:KIZ131105 KSV131082:KSV131105 LCR131082:LCR131105 LMN131082:LMN131105 LWJ131082:LWJ131105 MGF131082:MGF131105 MQB131082:MQB131105 MZX131082:MZX131105 NJT131082:NJT131105 NTP131082:NTP131105 ODL131082:ODL131105 ONH131082:ONH131105 OXD131082:OXD131105 PGZ131082:PGZ131105 PQV131082:PQV131105 QAR131082:QAR131105 QKN131082:QKN131105 QUJ131082:QUJ131105 REF131082:REF131105 ROB131082:ROB131105 RXX131082:RXX131105 SHT131082:SHT131105 SRP131082:SRP131105 TBL131082:TBL131105 TLH131082:TLH131105 TVD131082:TVD131105 UEZ131082:UEZ131105 UOV131082:UOV131105 UYR131082:UYR131105 VIN131082:VIN131105 VSJ131082:VSJ131105 WCF131082:WCF131105 WMB131082:WMB131105 WVX131082:WVX131105 JL196618:JL196641 TH196618:TH196641 ADD196618:ADD196641 AMZ196618:AMZ196641 AWV196618:AWV196641 BGR196618:BGR196641 BQN196618:BQN196641 CAJ196618:CAJ196641 CKF196618:CKF196641 CUB196618:CUB196641 DDX196618:DDX196641 DNT196618:DNT196641 DXP196618:DXP196641 EHL196618:EHL196641 ERH196618:ERH196641 FBD196618:FBD196641 FKZ196618:FKZ196641 FUV196618:FUV196641 GER196618:GER196641 GON196618:GON196641 GYJ196618:GYJ196641 HIF196618:HIF196641 HSB196618:HSB196641 IBX196618:IBX196641 ILT196618:ILT196641 IVP196618:IVP196641 JFL196618:JFL196641 JPH196618:JPH196641 JZD196618:JZD196641 KIZ196618:KIZ196641 KSV196618:KSV196641 LCR196618:LCR196641 LMN196618:LMN196641 LWJ196618:LWJ196641 MGF196618:MGF196641 MQB196618:MQB196641 MZX196618:MZX196641 NJT196618:NJT196641 NTP196618:NTP196641 ODL196618:ODL196641 ONH196618:ONH196641 OXD196618:OXD196641 PGZ196618:PGZ196641 PQV196618:PQV196641 QAR196618:QAR196641 QKN196618:QKN196641 QUJ196618:QUJ196641 REF196618:REF196641 ROB196618:ROB196641 RXX196618:RXX196641 SHT196618:SHT196641 SRP196618:SRP196641 TBL196618:TBL196641 TLH196618:TLH196641 TVD196618:TVD196641 UEZ196618:UEZ196641 UOV196618:UOV196641 UYR196618:UYR196641 VIN196618:VIN196641 VSJ196618:VSJ196641 WCF196618:WCF196641 WMB196618:WMB196641 WVX196618:WVX196641 JL262154:JL262177 TH262154:TH262177 ADD262154:ADD262177 AMZ262154:AMZ262177 AWV262154:AWV262177 BGR262154:BGR262177 BQN262154:BQN262177 CAJ262154:CAJ262177 CKF262154:CKF262177 CUB262154:CUB262177 DDX262154:DDX262177 DNT262154:DNT262177 DXP262154:DXP262177 EHL262154:EHL262177 ERH262154:ERH262177 FBD262154:FBD262177 FKZ262154:FKZ262177 FUV262154:FUV262177 GER262154:GER262177 GON262154:GON262177 GYJ262154:GYJ262177 HIF262154:HIF262177 HSB262154:HSB262177 IBX262154:IBX262177 ILT262154:ILT262177 IVP262154:IVP262177 JFL262154:JFL262177 JPH262154:JPH262177 JZD262154:JZD262177 KIZ262154:KIZ262177 KSV262154:KSV262177 LCR262154:LCR262177 LMN262154:LMN262177 LWJ262154:LWJ262177 MGF262154:MGF262177 MQB262154:MQB262177 MZX262154:MZX262177 NJT262154:NJT262177 NTP262154:NTP262177 ODL262154:ODL262177 ONH262154:ONH262177 OXD262154:OXD262177 PGZ262154:PGZ262177 PQV262154:PQV262177 QAR262154:QAR262177 QKN262154:QKN262177 QUJ262154:QUJ262177 REF262154:REF262177 ROB262154:ROB262177 RXX262154:RXX262177 SHT262154:SHT262177 SRP262154:SRP262177 TBL262154:TBL262177 TLH262154:TLH262177 TVD262154:TVD262177 UEZ262154:UEZ262177 UOV262154:UOV262177 UYR262154:UYR262177 VIN262154:VIN262177 VSJ262154:VSJ262177 WCF262154:WCF262177 WMB262154:WMB262177 WVX262154:WVX262177 JL327690:JL327713 TH327690:TH327713 ADD327690:ADD327713 AMZ327690:AMZ327713 AWV327690:AWV327713 BGR327690:BGR327713 BQN327690:BQN327713 CAJ327690:CAJ327713 CKF327690:CKF327713 CUB327690:CUB327713 DDX327690:DDX327713 DNT327690:DNT327713 DXP327690:DXP327713 EHL327690:EHL327713 ERH327690:ERH327713 FBD327690:FBD327713 FKZ327690:FKZ327713 FUV327690:FUV327713 GER327690:GER327713 GON327690:GON327713 GYJ327690:GYJ327713 HIF327690:HIF327713 HSB327690:HSB327713 IBX327690:IBX327713 ILT327690:ILT327713 IVP327690:IVP327713 JFL327690:JFL327713 JPH327690:JPH327713 JZD327690:JZD327713 KIZ327690:KIZ327713 KSV327690:KSV327713 LCR327690:LCR327713 LMN327690:LMN327713 LWJ327690:LWJ327713 MGF327690:MGF327713 MQB327690:MQB327713 MZX327690:MZX327713 NJT327690:NJT327713 NTP327690:NTP327713 ODL327690:ODL327713 ONH327690:ONH327713 OXD327690:OXD327713 PGZ327690:PGZ327713 PQV327690:PQV327713 QAR327690:QAR327713 QKN327690:QKN327713 QUJ327690:QUJ327713 REF327690:REF327713 ROB327690:ROB327713 RXX327690:RXX327713 SHT327690:SHT327713 SRP327690:SRP327713 TBL327690:TBL327713 TLH327690:TLH327713 TVD327690:TVD327713 UEZ327690:UEZ327713 UOV327690:UOV327713 UYR327690:UYR327713 VIN327690:VIN327713 VSJ327690:VSJ327713 WCF327690:WCF327713 WMB327690:WMB327713 WVX327690:WVX327713 JL393226:JL393249 TH393226:TH393249 ADD393226:ADD393249 AMZ393226:AMZ393249 AWV393226:AWV393249 BGR393226:BGR393249 BQN393226:BQN393249 CAJ393226:CAJ393249 CKF393226:CKF393249 CUB393226:CUB393249 DDX393226:DDX393249 DNT393226:DNT393249 DXP393226:DXP393249 EHL393226:EHL393249 ERH393226:ERH393249 FBD393226:FBD393249 FKZ393226:FKZ393249 FUV393226:FUV393249 GER393226:GER393249 GON393226:GON393249 GYJ393226:GYJ393249 HIF393226:HIF393249 HSB393226:HSB393249 IBX393226:IBX393249 ILT393226:ILT393249 IVP393226:IVP393249 JFL393226:JFL393249 JPH393226:JPH393249 JZD393226:JZD393249 KIZ393226:KIZ393249 KSV393226:KSV393249 LCR393226:LCR393249 LMN393226:LMN393249 LWJ393226:LWJ393249 MGF393226:MGF393249 MQB393226:MQB393249 MZX393226:MZX393249 NJT393226:NJT393249 NTP393226:NTP393249 ODL393226:ODL393249 ONH393226:ONH393249 OXD393226:OXD393249 PGZ393226:PGZ393249 PQV393226:PQV393249 QAR393226:QAR393249 QKN393226:QKN393249 QUJ393226:QUJ393249 REF393226:REF393249 ROB393226:ROB393249 RXX393226:RXX393249 SHT393226:SHT393249 SRP393226:SRP393249 TBL393226:TBL393249 TLH393226:TLH393249 TVD393226:TVD393249 UEZ393226:UEZ393249 UOV393226:UOV393249 UYR393226:UYR393249 VIN393226:VIN393249 VSJ393226:VSJ393249 WCF393226:WCF393249 WMB393226:WMB393249 WVX393226:WVX393249 JL458762:JL458785 TH458762:TH458785 ADD458762:ADD458785 AMZ458762:AMZ458785 AWV458762:AWV458785 BGR458762:BGR458785 BQN458762:BQN458785 CAJ458762:CAJ458785 CKF458762:CKF458785 CUB458762:CUB458785 DDX458762:DDX458785 DNT458762:DNT458785 DXP458762:DXP458785 EHL458762:EHL458785 ERH458762:ERH458785 FBD458762:FBD458785 FKZ458762:FKZ458785 FUV458762:FUV458785 GER458762:GER458785 GON458762:GON458785 GYJ458762:GYJ458785 HIF458762:HIF458785 HSB458762:HSB458785 IBX458762:IBX458785 ILT458762:ILT458785 IVP458762:IVP458785 JFL458762:JFL458785 JPH458762:JPH458785 JZD458762:JZD458785 KIZ458762:KIZ458785 KSV458762:KSV458785 LCR458762:LCR458785 LMN458762:LMN458785 LWJ458762:LWJ458785 MGF458762:MGF458785 MQB458762:MQB458785 MZX458762:MZX458785 NJT458762:NJT458785 NTP458762:NTP458785 ODL458762:ODL458785 ONH458762:ONH458785 OXD458762:OXD458785 PGZ458762:PGZ458785 PQV458762:PQV458785 QAR458762:QAR458785 QKN458762:QKN458785 QUJ458762:QUJ458785 REF458762:REF458785 ROB458762:ROB458785 RXX458762:RXX458785 SHT458762:SHT458785 SRP458762:SRP458785 TBL458762:TBL458785 TLH458762:TLH458785 TVD458762:TVD458785 UEZ458762:UEZ458785 UOV458762:UOV458785 UYR458762:UYR458785 VIN458762:VIN458785 VSJ458762:VSJ458785 WCF458762:WCF458785 WMB458762:WMB458785 WVX458762:WVX458785 JL524298:JL524321 TH524298:TH524321 ADD524298:ADD524321 AMZ524298:AMZ524321 AWV524298:AWV524321 BGR524298:BGR524321 BQN524298:BQN524321 CAJ524298:CAJ524321 CKF524298:CKF524321 CUB524298:CUB524321 DDX524298:DDX524321 DNT524298:DNT524321 DXP524298:DXP524321 EHL524298:EHL524321 ERH524298:ERH524321 FBD524298:FBD524321 FKZ524298:FKZ524321 FUV524298:FUV524321 GER524298:GER524321 GON524298:GON524321 GYJ524298:GYJ524321 HIF524298:HIF524321 HSB524298:HSB524321 IBX524298:IBX524321 ILT524298:ILT524321 IVP524298:IVP524321 JFL524298:JFL524321 JPH524298:JPH524321 JZD524298:JZD524321 KIZ524298:KIZ524321 KSV524298:KSV524321 LCR524298:LCR524321 LMN524298:LMN524321 LWJ524298:LWJ524321 MGF524298:MGF524321 MQB524298:MQB524321 MZX524298:MZX524321 NJT524298:NJT524321 NTP524298:NTP524321 ODL524298:ODL524321 ONH524298:ONH524321 OXD524298:OXD524321 PGZ524298:PGZ524321 PQV524298:PQV524321 QAR524298:QAR524321 QKN524298:QKN524321 QUJ524298:QUJ524321 REF524298:REF524321 ROB524298:ROB524321 RXX524298:RXX524321 SHT524298:SHT524321 SRP524298:SRP524321 TBL524298:TBL524321 TLH524298:TLH524321 TVD524298:TVD524321 UEZ524298:UEZ524321 UOV524298:UOV524321 UYR524298:UYR524321 VIN524298:VIN524321 VSJ524298:VSJ524321 WCF524298:WCF524321 WMB524298:WMB524321 WVX524298:WVX524321 JL589834:JL589857 TH589834:TH589857 ADD589834:ADD589857 AMZ589834:AMZ589857 AWV589834:AWV589857 BGR589834:BGR589857 BQN589834:BQN589857 CAJ589834:CAJ589857 CKF589834:CKF589857 CUB589834:CUB589857 DDX589834:DDX589857 DNT589834:DNT589857 DXP589834:DXP589857 EHL589834:EHL589857 ERH589834:ERH589857 FBD589834:FBD589857 FKZ589834:FKZ589857 FUV589834:FUV589857 GER589834:GER589857 GON589834:GON589857 GYJ589834:GYJ589857 HIF589834:HIF589857 HSB589834:HSB589857 IBX589834:IBX589857 ILT589834:ILT589857 IVP589834:IVP589857 JFL589834:JFL589857 JPH589834:JPH589857 JZD589834:JZD589857 KIZ589834:KIZ589857 KSV589834:KSV589857 LCR589834:LCR589857 LMN589834:LMN589857 LWJ589834:LWJ589857 MGF589834:MGF589857 MQB589834:MQB589857 MZX589834:MZX589857 NJT589834:NJT589857 NTP589834:NTP589857 ODL589834:ODL589857 ONH589834:ONH589857 OXD589834:OXD589857 PGZ589834:PGZ589857 PQV589834:PQV589857 QAR589834:QAR589857 QKN589834:QKN589857 QUJ589834:QUJ589857 REF589834:REF589857 ROB589834:ROB589857 RXX589834:RXX589857 SHT589834:SHT589857 SRP589834:SRP589857 TBL589834:TBL589857 TLH589834:TLH589857 TVD589834:TVD589857 UEZ589834:UEZ589857 UOV589834:UOV589857 UYR589834:UYR589857 VIN589834:VIN589857 VSJ589834:VSJ589857 WCF589834:WCF589857 WMB589834:WMB589857 WVX589834:WVX589857 JL655370:JL655393 TH655370:TH655393 ADD655370:ADD655393 AMZ655370:AMZ655393 AWV655370:AWV655393 BGR655370:BGR655393 BQN655370:BQN655393 CAJ655370:CAJ655393 CKF655370:CKF655393 CUB655370:CUB655393 DDX655370:DDX655393 DNT655370:DNT655393 DXP655370:DXP655393 EHL655370:EHL655393 ERH655370:ERH655393 FBD655370:FBD655393 FKZ655370:FKZ655393 FUV655370:FUV655393 GER655370:GER655393 GON655370:GON655393 GYJ655370:GYJ655393 HIF655370:HIF655393 HSB655370:HSB655393 IBX655370:IBX655393 ILT655370:ILT655393 IVP655370:IVP655393 JFL655370:JFL655393 JPH655370:JPH655393 JZD655370:JZD655393 KIZ655370:KIZ655393 KSV655370:KSV655393 LCR655370:LCR655393 LMN655370:LMN655393 LWJ655370:LWJ655393 MGF655370:MGF655393 MQB655370:MQB655393 MZX655370:MZX655393 NJT655370:NJT655393 NTP655370:NTP655393 ODL655370:ODL655393 ONH655370:ONH655393 OXD655370:OXD655393 PGZ655370:PGZ655393 PQV655370:PQV655393 QAR655370:QAR655393 QKN655370:QKN655393 QUJ655370:QUJ655393 REF655370:REF655393 ROB655370:ROB655393 RXX655370:RXX655393 SHT655370:SHT655393 SRP655370:SRP655393 TBL655370:TBL655393 TLH655370:TLH655393 TVD655370:TVD655393 UEZ655370:UEZ655393 UOV655370:UOV655393 UYR655370:UYR655393 VIN655370:VIN655393 VSJ655370:VSJ655393 WCF655370:WCF655393 WMB655370:WMB655393 WVX655370:WVX655393 JL720906:JL720929 TH720906:TH720929 ADD720906:ADD720929 AMZ720906:AMZ720929 AWV720906:AWV720929 BGR720906:BGR720929 BQN720906:BQN720929 CAJ720906:CAJ720929 CKF720906:CKF720929 CUB720906:CUB720929 DDX720906:DDX720929 DNT720906:DNT720929 DXP720906:DXP720929 EHL720906:EHL720929 ERH720906:ERH720929 FBD720906:FBD720929 FKZ720906:FKZ720929 FUV720906:FUV720929 GER720906:GER720929 GON720906:GON720929 GYJ720906:GYJ720929 HIF720906:HIF720929 HSB720906:HSB720929 IBX720906:IBX720929 ILT720906:ILT720929 IVP720906:IVP720929 JFL720906:JFL720929 JPH720906:JPH720929 JZD720906:JZD720929 KIZ720906:KIZ720929 KSV720906:KSV720929 LCR720906:LCR720929 LMN720906:LMN720929 LWJ720906:LWJ720929 MGF720906:MGF720929 MQB720906:MQB720929 MZX720906:MZX720929 NJT720906:NJT720929 NTP720906:NTP720929 ODL720906:ODL720929 ONH720906:ONH720929 OXD720906:OXD720929 PGZ720906:PGZ720929 PQV720906:PQV720929 QAR720906:QAR720929 QKN720906:QKN720929 QUJ720906:QUJ720929 REF720906:REF720929 ROB720906:ROB720929 RXX720906:RXX720929 SHT720906:SHT720929 SRP720906:SRP720929 TBL720906:TBL720929 TLH720906:TLH720929 TVD720906:TVD720929 UEZ720906:UEZ720929 UOV720906:UOV720929 UYR720906:UYR720929 VIN720906:VIN720929 VSJ720906:VSJ720929 WCF720906:WCF720929 WMB720906:WMB720929 WVX720906:WVX720929 JL786442:JL786465 TH786442:TH786465 ADD786442:ADD786465 AMZ786442:AMZ786465 AWV786442:AWV786465 BGR786442:BGR786465 BQN786442:BQN786465 CAJ786442:CAJ786465 CKF786442:CKF786465 CUB786442:CUB786465 DDX786442:DDX786465 DNT786442:DNT786465 DXP786442:DXP786465 EHL786442:EHL786465 ERH786442:ERH786465 FBD786442:FBD786465 FKZ786442:FKZ786465 FUV786442:FUV786465 GER786442:GER786465 GON786442:GON786465 GYJ786442:GYJ786465 HIF786442:HIF786465 HSB786442:HSB786465 IBX786442:IBX786465 ILT786442:ILT786465 IVP786442:IVP786465 JFL786442:JFL786465 JPH786442:JPH786465 JZD786442:JZD786465 KIZ786442:KIZ786465 KSV786442:KSV786465 LCR786442:LCR786465 LMN786442:LMN786465 LWJ786442:LWJ786465 MGF786442:MGF786465 MQB786442:MQB786465 MZX786442:MZX786465 NJT786442:NJT786465 NTP786442:NTP786465 ODL786442:ODL786465 ONH786442:ONH786465 OXD786442:OXD786465 PGZ786442:PGZ786465 PQV786442:PQV786465 QAR786442:QAR786465 QKN786442:QKN786465 QUJ786442:QUJ786465 REF786442:REF786465 ROB786442:ROB786465 RXX786442:RXX786465 SHT786442:SHT786465 SRP786442:SRP786465 TBL786442:TBL786465 TLH786442:TLH786465 TVD786442:TVD786465 UEZ786442:UEZ786465 UOV786442:UOV786465 UYR786442:UYR786465 VIN786442:VIN786465 VSJ786442:VSJ786465 WCF786442:WCF786465 WMB786442:WMB786465 WVX786442:WVX786465 JL851978:JL852001 TH851978:TH852001 ADD851978:ADD852001 AMZ851978:AMZ852001 AWV851978:AWV852001 BGR851978:BGR852001 BQN851978:BQN852001 CAJ851978:CAJ852001 CKF851978:CKF852001 CUB851978:CUB852001 DDX851978:DDX852001 DNT851978:DNT852001 DXP851978:DXP852001 EHL851978:EHL852001 ERH851978:ERH852001 FBD851978:FBD852001 FKZ851978:FKZ852001 FUV851978:FUV852001 GER851978:GER852001 GON851978:GON852001 GYJ851978:GYJ852001 HIF851978:HIF852001 HSB851978:HSB852001 IBX851978:IBX852001 ILT851978:ILT852001 IVP851978:IVP852001 JFL851978:JFL852001 JPH851978:JPH852001 JZD851978:JZD852001 KIZ851978:KIZ852001 KSV851978:KSV852001 LCR851978:LCR852001 LMN851978:LMN852001 LWJ851978:LWJ852001 MGF851978:MGF852001 MQB851978:MQB852001 MZX851978:MZX852001 NJT851978:NJT852001 NTP851978:NTP852001 ODL851978:ODL852001 ONH851978:ONH852001 OXD851978:OXD852001 PGZ851978:PGZ852001 PQV851978:PQV852001 QAR851978:QAR852001 QKN851978:QKN852001 QUJ851978:QUJ852001 REF851978:REF852001 ROB851978:ROB852001 RXX851978:RXX852001 SHT851978:SHT852001 SRP851978:SRP852001 TBL851978:TBL852001 TLH851978:TLH852001 TVD851978:TVD852001 UEZ851978:UEZ852001 UOV851978:UOV852001 UYR851978:UYR852001 VIN851978:VIN852001 VSJ851978:VSJ852001 WCF851978:WCF852001 WMB851978:WMB852001 WVX851978:WVX852001 JL917514:JL917537 TH917514:TH917537 ADD917514:ADD917537 AMZ917514:AMZ917537 AWV917514:AWV917537 BGR917514:BGR917537 BQN917514:BQN917537 CAJ917514:CAJ917537 CKF917514:CKF917537 CUB917514:CUB917537 DDX917514:DDX917537 DNT917514:DNT917537 DXP917514:DXP917537 EHL917514:EHL917537 ERH917514:ERH917537 FBD917514:FBD917537 FKZ917514:FKZ917537 FUV917514:FUV917537 GER917514:GER917537 GON917514:GON917537 GYJ917514:GYJ917537 HIF917514:HIF917537 HSB917514:HSB917537 IBX917514:IBX917537 ILT917514:ILT917537 IVP917514:IVP917537 JFL917514:JFL917537 JPH917514:JPH917537 JZD917514:JZD917537 KIZ917514:KIZ917537 KSV917514:KSV917537 LCR917514:LCR917537 LMN917514:LMN917537 LWJ917514:LWJ917537 MGF917514:MGF917537 MQB917514:MQB917537 MZX917514:MZX917537 NJT917514:NJT917537 NTP917514:NTP917537 ODL917514:ODL917537 ONH917514:ONH917537 OXD917514:OXD917537 PGZ917514:PGZ917537 PQV917514:PQV917537 QAR917514:QAR917537 QKN917514:QKN917537 QUJ917514:QUJ917537 REF917514:REF917537 ROB917514:ROB917537 RXX917514:RXX917537 SHT917514:SHT917537 SRP917514:SRP917537 TBL917514:TBL917537 TLH917514:TLH917537 TVD917514:TVD917537 UEZ917514:UEZ917537 UOV917514:UOV917537 UYR917514:UYR917537 VIN917514:VIN917537 VSJ917514:VSJ917537 WCF917514:WCF917537 WMB917514:WMB917537 WVX917514:WVX917537 JL983050:JL983073 TH983050:TH983073 ADD983050:ADD983073 AMZ983050:AMZ983073 AWV983050:AWV983073 BGR983050:BGR983073 BQN983050:BQN983073 CAJ983050:CAJ983073 CKF983050:CKF983073 CUB983050:CUB983073 DDX983050:DDX983073 DNT983050:DNT983073 DXP983050:DXP983073 EHL983050:EHL983073 ERH983050:ERH983073 FBD983050:FBD983073 FKZ983050:FKZ983073 FUV983050:FUV983073 GER983050:GER983073 GON983050:GON983073 GYJ983050:GYJ983073 HIF983050:HIF983073 HSB983050:HSB983073 IBX983050:IBX983073 ILT983050:ILT983073 IVP983050:IVP983073 JFL983050:JFL983073 JPH983050:JPH983073 JZD983050:JZD983073 KIZ983050:KIZ983073 KSV983050:KSV983073 LCR983050:LCR983073 LMN983050:LMN983073 LWJ983050:LWJ983073 MGF983050:MGF983073 MQB983050:MQB983073 MZX983050:MZX983073 NJT983050:NJT983073 NTP983050:NTP983073 ODL983050:ODL983073 ONH983050:ONH983073 OXD983050:OXD983073 PGZ983050:PGZ983073 PQV983050:PQV983073 QAR983050:QAR983073 QKN983050:QKN983073 QUJ983050:QUJ983073 REF983050:REF983073 ROB983050:ROB983073 RXX983050:RXX983073 SHT983050:SHT983073 SRP983050:SRP983073 TBL983050:TBL983073 TLH983050:TLH983073 TVD983050:TVD983073 UEZ983050:UEZ983073 UOV983050:UOV983073 UYR983050:UYR983073 VIN983050:VIN983073 VSJ983050:VSJ983073 WCF983050:WCF983073 WMB983050:WMB983073 SQ11:SQ23 IU11:IU23 WVI11:WVI23 WLM11:WLM23 WBQ11:WBQ23 VRU11:VRU23 VHY11:VHY23 UYC11:UYC23 UOG11:UOG23 UEK11:UEK23 TUO11:TUO23 TKS11:TKS23 TAW11:TAW23 SRA11:SRA23 SHE11:SHE23 RXI11:RXI23 RNM11:RNM23 RDQ11:RDQ23 QTU11:QTU23 QJY11:QJY23 QAC11:QAC23 PQG11:PQG23 PGK11:PGK23 OWO11:OWO23 OMS11:OMS23 OCW11:OCW23 NTA11:NTA23 NJE11:NJE23 MZI11:MZI23 MPM11:MPM23 MFQ11:MFQ23 LVU11:LVU23 LLY11:LLY23 LCC11:LCC23 KSG11:KSG23 KIK11:KIK23 JYO11:JYO23 JOS11:JOS23 JEW11:JEW23 IVA11:IVA23 ILE11:ILE23 IBI11:IBI23 HRM11:HRM23 HHQ11:HHQ23 GXU11:GXU23 GNY11:GNY23 GEC11:GEC23 FUG11:FUG23 FKK11:FKK23 FAO11:FAO23 EQS11:EQS23 EGW11:EGW23 DXA11:DXA23 DNE11:DNE23 DDI11:DDI23 CTM11:CTM23 CJQ11:CJQ23 BZU11:BZU23 BPY11:BPY23 BGC11:BGC23 AWG11:AWG23 AMK11:AMK23 ACO11:ACO23 SS11:SS23 IW11:IW23 WVG11:WVG23 WLK11:WLK23 WBO11:WBO23 VRS11:VRS23 VHW11:VHW23 UYA11:UYA23 UOE11:UOE23 UEI11:UEI23 TUM11:TUM23 TKQ11:TKQ23 TAU11:TAU23 SQY11:SQY23 SHC11:SHC23 RXG11:RXG23 RNK11:RNK23 RDO11:RDO23 QTS11:QTS23 QJW11:QJW23 QAA11:QAA23 PQE11:PQE23 PGI11:PGI23 OWM11:OWM23 OMQ11:OMQ23 OCU11:OCU23 NSY11:NSY23 NJC11:NJC23 MZG11:MZG23 MPK11:MPK23 MFO11:MFO23 LVS11:LVS23 LLW11:LLW23 LCA11:LCA23 KSE11:KSE23 KII11:KII23 JYM11:JYM23 JOQ11:JOQ23 JEU11:JEU23 IUY11:IUY23 ILC11:ILC23 IBG11:IBG23 HRK11:HRK23 HHO11:HHO23 GXS11:GXS23 GNW11:GNW23 GEA11:GEA23 FUE11:FUE23 FKI11:FKI23 FAM11:FAM23 EQQ11:EQQ23 EGU11:EGU23 DWY11:DWY23 DNC11:DNC23 DDG11:DDG23 CTK11:CTK23 CJO11:CJO23 BZS11:BZS23 BPW11:BPW23 BGA11:BGA23 AWE11:AWE23 AMI11:AMI23 ACM11:ACM23 U11:U34 W11:W34" xr:uid="{00000000-0002-0000-0300-000000000000}">
      <formula1>"1,2,3,4"</formula1>
    </dataValidation>
    <dataValidation type="list" allowBlank="1" showInputMessage="1" showErrorMessage="1" sqref="T65546:T65569 JI65546:JI65569 TE65546:TE65569 ADA65546:ADA65569 AMW65546:AMW65569 AWS65546:AWS65569 BGO65546:BGO65569 BQK65546:BQK65569 CAG65546:CAG65569 CKC65546:CKC65569 CTY65546:CTY65569 DDU65546:DDU65569 DNQ65546:DNQ65569 DXM65546:DXM65569 EHI65546:EHI65569 ERE65546:ERE65569 FBA65546:FBA65569 FKW65546:FKW65569 FUS65546:FUS65569 GEO65546:GEO65569 GOK65546:GOK65569 GYG65546:GYG65569 HIC65546:HIC65569 HRY65546:HRY65569 IBU65546:IBU65569 ILQ65546:ILQ65569 IVM65546:IVM65569 JFI65546:JFI65569 JPE65546:JPE65569 JZA65546:JZA65569 KIW65546:KIW65569 KSS65546:KSS65569 LCO65546:LCO65569 LMK65546:LMK65569 LWG65546:LWG65569 MGC65546:MGC65569 MPY65546:MPY65569 MZU65546:MZU65569 NJQ65546:NJQ65569 NTM65546:NTM65569 ODI65546:ODI65569 ONE65546:ONE65569 OXA65546:OXA65569 PGW65546:PGW65569 PQS65546:PQS65569 QAO65546:QAO65569 QKK65546:QKK65569 QUG65546:QUG65569 REC65546:REC65569 RNY65546:RNY65569 RXU65546:RXU65569 SHQ65546:SHQ65569 SRM65546:SRM65569 TBI65546:TBI65569 TLE65546:TLE65569 TVA65546:TVA65569 UEW65546:UEW65569 UOS65546:UOS65569 UYO65546:UYO65569 VIK65546:VIK65569 VSG65546:VSG65569 WCC65546:WCC65569 WLY65546:WLY65569 WVU65546:WVU65569 T131082:T131105 JI131082:JI131105 TE131082:TE131105 ADA131082:ADA131105 AMW131082:AMW131105 AWS131082:AWS131105 BGO131082:BGO131105 BQK131082:BQK131105 CAG131082:CAG131105 CKC131082:CKC131105 CTY131082:CTY131105 DDU131082:DDU131105 DNQ131082:DNQ131105 DXM131082:DXM131105 EHI131082:EHI131105 ERE131082:ERE131105 FBA131082:FBA131105 FKW131082:FKW131105 FUS131082:FUS131105 GEO131082:GEO131105 GOK131082:GOK131105 GYG131082:GYG131105 HIC131082:HIC131105 HRY131082:HRY131105 IBU131082:IBU131105 ILQ131082:ILQ131105 IVM131082:IVM131105 JFI131082:JFI131105 JPE131082:JPE131105 JZA131082:JZA131105 KIW131082:KIW131105 KSS131082:KSS131105 LCO131082:LCO131105 LMK131082:LMK131105 LWG131082:LWG131105 MGC131082:MGC131105 MPY131082:MPY131105 MZU131082:MZU131105 NJQ131082:NJQ131105 NTM131082:NTM131105 ODI131082:ODI131105 ONE131082:ONE131105 OXA131082:OXA131105 PGW131082:PGW131105 PQS131082:PQS131105 QAO131082:QAO131105 QKK131082:QKK131105 QUG131082:QUG131105 REC131082:REC131105 RNY131082:RNY131105 RXU131082:RXU131105 SHQ131082:SHQ131105 SRM131082:SRM131105 TBI131082:TBI131105 TLE131082:TLE131105 TVA131082:TVA131105 UEW131082:UEW131105 UOS131082:UOS131105 UYO131082:UYO131105 VIK131082:VIK131105 VSG131082:VSG131105 WCC131082:WCC131105 WLY131082:WLY131105 WVU131082:WVU131105 T196618:T196641 JI196618:JI196641 TE196618:TE196641 ADA196618:ADA196641 AMW196618:AMW196641 AWS196618:AWS196641 BGO196618:BGO196641 BQK196618:BQK196641 CAG196618:CAG196641 CKC196618:CKC196641 CTY196618:CTY196641 DDU196618:DDU196641 DNQ196618:DNQ196641 DXM196618:DXM196641 EHI196618:EHI196641 ERE196618:ERE196641 FBA196618:FBA196641 FKW196618:FKW196641 FUS196618:FUS196641 GEO196618:GEO196641 GOK196618:GOK196641 GYG196618:GYG196641 HIC196618:HIC196641 HRY196618:HRY196641 IBU196618:IBU196641 ILQ196618:ILQ196641 IVM196618:IVM196641 JFI196618:JFI196641 JPE196618:JPE196641 JZA196618:JZA196641 KIW196618:KIW196641 KSS196618:KSS196641 LCO196618:LCO196641 LMK196618:LMK196641 LWG196618:LWG196641 MGC196618:MGC196641 MPY196618:MPY196641 MZU196618:MZU196641 NJQ196618:NJQ196641 NTM196618:NTM196641 ODI196618:ODI196641 ONE196618:ONE196641 OXA196618:OXA196641 PGW196618:PGW196641 PQS196618:PQS196641 QAO196618:QAO196641 QKK196618:QKK196641 QUG196618:QUG196641 REC196618:REC196641 RNY196618:RNY196641 RXU196618:RXU196641 SHQ196618:SHQ196641 SRM196618:SRM196641 TBI196618:TBI196641 TLE196618:TLE196641 TVA196618:TVA196641 UEW196618:UEW196641 UOS196618:UOS196641 UYO196618:UYO196641 VIK196618:VIK196641 VSG196618:VSG196641 WCC196618:WCC196641 WLY196618:WLY196641 WVU196618:WVU196641 T262154:T262177 JI262154:JI262177 TE262154:TE262177 ADA262154:ADA262177 AMW262154:AMW262177 AWS262154:AWS262177 BGO262154:BGO262177 BQK262154:BQK262177 CAG262154:CAG262177 CKC262154:CKC262177 CTY262154:CTY262177 DDU262154:DDU262177 DNQ262154:DNQ262177 DXM262154:DXM262177 EHI262154:EHI262177 ERE262154:ERE262177 FBA262154:FBA262177 FKW262154:FKW262177 FUS262154:FUS262177 GEO262154:GEO262177 GOK262154:GOK262177 GYG262154:GYG262177 HIC262154:HIC262177 HRY262154:HRY262177 IBU262154:IBU262177 ILQ262154:ILQ262177 IVM262154:IVM262177 JFI262154:JFI262177 JPE262154:JPE262177 JZA262154:JZA262177 KIW262154:KIW262177 KSS262154:KSS262177 LCO262154:LCO262177 LMK262154:LMK262177 LWG262154:LWG262177 MGC262154:MGC262177 MPY262154:MPY262177 MZU262154:MZU262177 NJQ262154:NJQ262177 NTM262154:NTM262177 ODI262154:ODI262177 ONE262154:ONE262177 OXA262154:OXA262177 PGW262154:PGW262177 PQS262154:PQS262177 QAO262154:QAO262177 QKK262154:QKK262177 QUG262154:QUG262177 REC262154:REC262177 RNY262154:RNY262177 RXU262154:RXU262177 SHQ262154:SHQ262177 SRM262154:SRM262177 TBI262154:TBI262177 TLE262154:TLE262177 TVA262154:TVA262177 UEW262154:UEW262177 UOS262154:UOS262177 UYO262154:UYO262177 VIK262154:VIK262177 VSG262154:VSG262177 WCC262154:WCC262177 WLY262154:WLY262177 WVU262154:WVU262177 T327690:T327713 JI327690:JI327713 TE327690:TE327713 ADA327690:ADA327713 AMW327690:AMW327713 AWS327690:AWS327713 BGO327690:BGO327713 BQK327690:BQK327713 CAG327690:CAG327713 CKC327690:CKC327713 CTY327690:CTY327713 DDU327690:DDU327713 DNQ327690:DNQ327713 DXM327690:DXM327713 EHI327690:EHI327713 ERE327690:ERE327713 FBA327690:FBA327713 FKW327690:FKW327713 FUS327690:FUS327713 GEO327690:GEO327713 GOK327690:GOK327713 GYG327690:GYG327713 HIC327690:HIC327713 HRY327690:HRY327713 IBU327690:IBU327713 ILQ327690:ILQ327713 IVM327690:IVM327713 JFI327690:JFI327713 JPE327690:JPE327713 JZA327690:JZA327713 KIW327690:KIW327713 KSS327690:KSS327713 LCO327690:LCO327713 LMK327690:LMK327713 LWG327690:LWG327713 MGC327690:MGC327713 MPY327690:MPY327713 MZU327690:MZU327713 NJQ327690:NJQ327713 NTM327690:NTM327713 ODI327690:ODI327713 ONE327690:ONE327713 OXA327690:OXA327713 PGW327690:PGW327713 PQS327690:PQS327713 QAO327690:QAO327713 QKK327690:QKK327713 QUG327690:QUG327713 REC327690:REC327713 RNY327690:RNY327713 RXU327690:RXU327713 SHQ327690:SHQ327713 SRM327690:SRM327713 TBI327690:TBI327713 TLE327690:TLE327713 TVA327690:TVA327713 UEW327690:UEW327713 UOS327690:UOS327713 UYO327690:UYO327713 VIK327690:VIK327713 VSG327690:VSG327713 WCC327690:WCC327713 WLY327690:WLY327713 WVU327690:WVU327713 T393226:T393249 JI393226:JI393249 TE393226:TE393249 ADA393226:ADA393249 AMW393226:AMW393249 AWS393226:AWS393249 BGO393226:BGO393249 BQK393226:BQK393249 CAG393226:CAG393249 CKC393226:CKC393249 CTY393226:CTY393249 DDU393226:DDU393249 DNQ393226:DNQ393249 DXM393226:DXM393249 EHI393226:EHI393249 ERE393226:ERE393249 FBA393226:FBA393249 FKW393226:FKW393249 FUS393226:FUS393249 GEO393226:GEO393249 GOK393226:GOK393249 GYG393226:GYG393249 HIC393226:HIC393249 HRY393226:HRY393249 IBU393226:IBU393249 ILQ393226:ILQ393249 IVM393226:IVM393249 JFI393226:JFI393249 JPE393226:JPE393249 JZA393226:JZA393249 KIW393226:KIW393249 KSS393226:KSS393249 LCO393226:LCO393249 LMK393226:LMK393249 LWG393226:LWG393249 MGC393226:MGC393249 MPY393226:MPY393249 MZU393226:MZU393249 NJQ393226:NJQ393249 NTM393226:NTM393249 ODI393226:ODI393249 ONE393226:ONE393249 OXA393226:OXA393249 PGW393226:PGW393249 PQS393226:PQS393249 QAO393226:QAO393249 QKK393226:QKK393249 QUG393226:QUG393249 REC393226:REC393249 RNY393226:RNY393249 RXU393226:RXU393249 SHQ393226:SHQ393249 SRM393226:SRM393249 TBI393226:TBI393249 TLE393226:TLE393249 TVA393226:TVA393249 UEW393226:UEW393249 UOS393226:UOS393249 UYO393226:UYO393249 VIK393226:VIK393249 VSG393226:VSG393249 WCC393226:WCC393249 WLY393226:WLY393249 WVU393226:WVU393249 T458762:T458785 JI458762:JI458785 TE458762:TE458785 ADA458762:ADA458785 AMW458762:AMW458785 AWS458762:AWS458785 BGO458762:BGO458785 BQK458762:BQK458785 CAG458762:CAG458785 CKC458762:CKC458785 CTY458762:CTY458785 DDU458762:DDU458785 DNQ458762:DNQ458785 DXM458762:DXM458785 EHI458762:EHI458785 ERE458762:ERE458785 FBA458762:FBA458785 FKW458762:FKW458785 FUS458762:FUS458785 GEO458762:GEO458785 GOK458762:GOK458785 GYG458762:GYG458785 HIC458762:HIC458785 HRY458762:HRY458785 IBU458762:IBU458785 ILQ458762:ILQ458785 IVM458762:IVM458785 JFI458762:JFI458785 JPE458762:JPE458785 JZA458762:JZA458785 KIW458762:KIW458785 KSS458762:KSS458785 LCO458762:LCO458785 LMK458762:LMK458785 LWG458762:LWG458785 MGC458762:MGC458785 MPY458762:MPY458785 MZU458762:MZU458785 NJQ458762:NJQ458785 NTM458762:NTM458785 ODI458762:ODI458785 ONE458762:ONE458785 OXA458762:OXA458785 PGW458762:PGW458785 PQS458762:PQS458785 QAO458762:QAO458785 QKK458762:QKK458785 QUG458762:QUG458785 REC458762:REC458785 RNY458762:RNY458785 RXU458762:RXU458785 SHQ458762:SHQ458785 SRM458762:SRM458785 TBI458762:TBI458785 TLE458762:TLE458785 TVA458762:TVA458785 UEW458762:UEW458785 UOS458762:UOS458785 UYO458762:UYO458785 VIK458762:VIK458785 VSG458762:VSG458785 WCC458762:WCC458785 WLY458762:WLY458785 WVU458762:WVU458785 T524298:T524321 JI524298:JI524321 TE524298:TE524321 ADA524298:ADA524321 AMW524298:AMW524321 AWS524298:AWS524321 BGO524298:BGO524321 BQK524298:BQK524321 CAG524298:CAG524321 CKC524298:CKC524321 CTY524298:CTY524321 DDU524298:DDU524321 DNQ524298:DNQ524321 DXM524298:DXM524321 EHI524298:EHI524321 ERE524298:ERE524321 FBA524298:FBA524321 FKW524298:FKW524321 FUS524298:FUS524321 GEO524298:GEO524321 GOK524298:GOK524321 GYG524298:GYG524321 HIC524298:HIC524321 HRY524298:HRY524321 IBU524298:IBU524321 ILQ524298:ILQ524321 IVM524298:IVM524321 JFI524298:JFI524321 JPE524298:JPE524321 JZA524298:JZA524321 KIW524298:KIW524321 KSS524298:KSS524321 LCO524298:LCO524321 LMK524298:LMK524321 LWG524298:LWG524321 MGC524298:MGC524321 MPY524298:MPY524321 MZU524298:MZU524321 NJQ524298:NJQ524321 NTM524298:NTM524321 ODI524298:ODI524321 ONE524298:ONE524321 OXA524298:OXA524321 PGW524298:PGW524321 PQS524298:PQS524321 QAO524298:QAO524321 QKK524298:QKK524321 QUG524298:QUG524321 REC524298:REC524321 RNY524298:RNY524321 RXU524298:RXU524321 SHQ524298:SHQ524321 SRM524298:SRM524321 TBI524298:TBI524321 TLE524298:TLE524321 TVA524298:TVA524321 UEW524298:UEW524321 UOS524298:UOS524321 UYO524298:UYO524321 VIK524298:VIK524321 VSG524298:VSG524321 WCC524298:WCC524321 WLY524298:WLY524321 WVU524298:WVU524321 T589834:T589857 JI589834:JI589857 TE589834:TE589857 ADA589834:ADA589857 AMW589834:AMW589857 AWS589834:AWS589857 BGO589834:BGO589857 BQK589834:BQK589857 CAG589834:CAG589857 CKC589834:CKC589857 CTY589834:CTY589857 DDU589834:DDU589857 DNQ589834:DNQ589857 DXM589834:DXM589857 EHI589834:EHI589857 ERE589834:ERE589857 FBA589834:FBA589857 FKW589834:FKW589857 FUS589834:FUS589857 GEO589834:GEO589857 GOK589834:GOK589857 GYG589834:GYG589857 HIC589834:HIC589857 HRY589834:HRY589857 IBU589834:IBU589857 ILQ589834:ILQ589857 IVM589834:IVM589857 JFI589834:JFI589857 JPE589834:JPE589857 JZA589834:JZA589857 KIW589834:KIW589857 KSS589834:KSS589857 LCO589834:LCO589857 LMK589834:LMK589857 LWG589834:LWG589857 MGC589834:MGC589857 MPY589834:MPY589857 MZU589834:MZU589857 NJQ589834:NJQ589857 NTM589834:NTM589857 ODI589834:ODI589857 ONE589834:ONE589857 OXA589834:OXA589857 PGW589834:PGW589857 PQS589834:PQS589857 QAO589834:QAO589857 QKK589834:QKK589857 QUG589834:QUG589857 REC589834:REC589857 RNY589834:RNY589857 RXU589834:RXU589857 SHQ589834:SHQ589857 SRM589834:SRM589857 TBI589834:TBI589857 TLE589834:TLE589857 TVA589834:TVA589857 UEW589834:UEW589857 UOS589834:UOS589857 UYO589834:UYO589857 VIK589834:VIK589857 VSG589834:VSG589857 WCC589834:WCC589857 WLY589834:WLY589857 WVU589834:WVU589857 T655370:T655393 JI655370:JI655393 TE655370:TE655393 ADA655370:ADA655393 AMW655370:AMW655393 AWS655370:AWS655393 BGO655370:BGO655393 BQK655370:BQK655393 CAG655370:CAG655393 CKC655370:CKC655393 CTY655370:CTY655393 DDU655370:DDU655393 DNQ655370:DNQ655393 DXM655370:DXM655393 EHI655370:EHI655393 ERE655370:ERE655393 FBA655370:FBA655393 FKW655370:FKW655393 FUS655370:FUS655393 GEO655370:GEO655393 GOK655370:GOK655393 GYG655370:GYG655393 HIC655370:HIC655393 HRY655370:HRY655393 IBU655370:IBU655393 ILQ655370:ILQ655393 IVM655370:IVM655393 JFI655370:JFI655393 JPE655370:JPE655393 JZA655370:JZA655393 KIW655370:KIW655393 KSS655370:KSS655393 LCO655370:LCO655393 LMK655370:LMK655393 LWG655370:LWG655393 MGC655370:MGC655393 MPY655370:MPY655393 MZU655370:MZU655393 NJQ655370:NJQ655393 NTM655370:NTM655393 ODI655370:ODI655393 ONE655370:ONE655393 OXA655370:OXA655393 PGW655370:PGW655393 PQS655370:PQS655393 QAO655370:QAO655393 QKK655370:QKK655393 QUG655370:QUG655393 REC655370:REC655393 RNY655370:RNY655393 RXU655370:RXU655393 SHQ655370:SHQ655393 SRM655370:SRM655393 TBI655370:TBI655393 TLE655370:TLE655393 TVA655370:TVA655393 UEW655370:UEW655393 UOS655370:UOS655393 UYO655370:UYO655393 VIK655370:VIK655393 VSG655370:VSG655393 WCC655370:WCC655393 WLY655370:WLY655393 WVU655370:WVU655393 T720906:T720929 JI720906:JI720929 TE720906:TE720929 ADA720906:ADA720929 AMW720906:AMW720929 AWS720906:AWS720929 BGO720906:BGO720929 BQK720906:BQK720929 CAG720906:CAG720929 CKC720906:CKC720929 CTY720906:CTY720929 DDU720906:DDU720929 DNQ720906:DNQ720929 DXM720906:DXM720929 EHI720906:EHI720929 ERE720906:ERE720929 FBA720906:FBA720929 FKW720906:FKW720929 FUS720906:FUS720929 GEO720906:GEO720929 GOK720906:GOK720929 GYG720906:GYG720929 HIC720906:HIC720929 HRY720906:HRY720929 IBU720906:IBU720929 ILQ720906:ILQ720929 IVM720906:IVM720929 JFI720906:JFI720929 JPE720906:JPE720929 JZA720906:JZA720929 KIW720906:KIW720929 KSS720906:KSS720929 LCO720906:LCO720929 LMK720906:LMK720929 LWG720906:LWG720929 MGC720906:MGC720929 MPY720906:MPY720929 MZU720906:MZU720929 NJQ720906:NJQ720929 NTM720906:NTM720929 ODI720906:ODI720929 ONE720906:ONE720929 OXA720906:OXA720929 PGW720906:PGW720929 PQS720906:PQS720929 QAO720906:QAO720929 QKK720906:QKK720929 QUG720906:QUG720929 REC720906:REC720929 RNY720906:RNY720929 RXU720906:RXU720929 SHQ720906:SHQ720929 SRM720906:SRM720929 TBI720906:TBI720929 TLE720906:TLE720929 TVA720906:TVA720929 UEW720906:UEW720929 UOS720906:UOS720929 UYO720906:UYO720929 VIK720906:VIK720929 VSG720906:VSG720929 WCC720906:WCC720929 WLY720906:WLY720929 WVU720906:WVU720929 T786442:T786465 JI786442:JI786465 TE786442:TE786465 ADA786442:ADA786465 AMW786442:AMW786465 AWS786442:AWS786465 BGO786442:BGO786465 BQK786442:BQK786465 CAG786442:CAG786465 CKC786442:CKC786465 CTY786442:CTY786465 DDU786442:DDU786465 DNQ786442:DNQ786465 DXM786442:DXM786465 EHI786442:EHI786465 ERE786442:ERE786465 FBA786442:FBA786465 FKW786442:FKW786465 FUS786442:FUS786465 GEO786442:GEO786465 GOK786442:GOK786465 GYG786442:GYG786465 HIC786442:HIC786465 HRY786442:HRY786465 IBU786442:IBU786465 ILQ786442:ILQ786465 IVM786442:IVM786465 JFI786442:JFI786465 JPE786442:JPE786465 JZA786442:JZA786465 KIW786442:KIW786465 KSS786442:KSS786465 LCO786442:LCO786465 LMK786442:LMK786465 LWG786442:LWG786465 MGC786442:MGC786465 MPY786442:MPY786465 MZU786442:MZU786465 NJQ786442:NJQ786465 NTM786442:NTM786465 ODI786442:ODI786465 ONE786442:ONE786465 OXA786442:OXA786465 PGW786442:PGW786465 PQS786442:PQS786465 QAO786442:QAO786465 QKK786442:QKK786465 QUG786442:QUG786465 REC786442:REC786465 RNY786442:RNY786465 RXU786442:RXU786465 SHQ786442:SHQ786465 SRM786442:SRM786465 TBI786442:TBI786465 TLE786442:TLE786465 TVA786442:TVA786465 UEW786442:UEW786465 UOS786442:UOS786465 UYO786442:UYO786465 VIK786442:VIK786465 VSG786442:VSG786465 WCC786442:WCC786465 WLY786442:WLY786465 WVU786442:WVU786465 T851978:T852001 JI851978:JI852001 TE851978:TE852001 ADA851978:ADA852001 AMW851978:AMW852001 AWS851978:AWS852001 BGO851978:BGO852001 BQK851978:BQK852001 CAG851978:CAG852001 CKC851978:CKC852001 CTY851978:CTY852001 DDU851978:DDU852001 DNQ851978:DNQ852001 DXM851978:DXM852001 EHI851978:EHI852001 ERE851978:ERE852001 FBA851978:FBA852001 FKW851978:FKW852001 FUS851978:FUS852001 GEO851978:GEO852001 GOK851978:GOK852001 GYG851978:GYG852001 HIC851978:HIC852001 HRY851978:HRY852001 IBU851978:IBU852001 ILQ851978:ILQ852001 IVM851978:IVM852001 JFI851978:JFI852001 JPE851978:JPE852001 JZA851978:JZA852001 KIW851978:KIW852001 KSS851978:KSS852001 LCO851978:LCO852001 LMK851978:LMK852001 LWG851978:LWG852001 MGC851978:MGC852001 MPY851978:MPY852001 MZU851978:MZU852001 NJQ851978:NJQ852001 NTM851978:NTM852001 ODI851978:ODI852001 ONE851978:ONE852001 OXA851978:OXA852001 PGW851978:PGW852001 PQS851978:PQS852001 QAO851978:QAO852001 QKK851978:QKK852001 QUG851978:QUG852001 REC851978:REC852001 RNY851978:RNY852001 RXU851978:RXU852001 SHQ851978:SHQ852001 SRM851978:SRM852001 TBI851978:TBI852001 TLE851978:TLE852001 TVA851978:TVA852001 UEW851978:UEW852001 UOS851978:UOS852001 UYO851978:UYO852001 VIK851978:VIK852001 VSG851978:VSG852001 WCC851978:WCC852001 WLY851978:WLY852001 WVU851978:WVU852001 T917514:T917537 JI917514:JI917537 TE917514:TE917537 ADA917514:ADA917537 AMW917514:AMW917537 AWS917514:AWS917537 BGO917514:BGO917537 BQK917514:BQK917537 CAG917514:CAG917537 CKC917514:CKC917537 CTY917514:CTY917537 DDU917514:DDU917537 DNQ917514:DNQ917537 DXM917514:DXM917537 EHI917514:EHI917537 ERE917514:ERE917537 FBA917514:FBA917537 FKW917514:FKW917537 FUS917514:FUS917537 GEO917514:GEO917537 GOK917514:GOK917537 GYG917514:GYG917537 HIC917514:HIC917537 HRY917514:HRY917537 IBU917514:IBU917537 ILQ917514:ILQ917537 IVM917514:IVM917537 JFI917514:JFI917537 JPE917514:JPE917537 JZA917514:JZA917537 KIW917514:KIW917537 KSS917514:KSS917537 LCO917514:LCO917537 LMK917514:LMK917537 LWG917514:LWG917537 MGC917514:MGC917537 MPY917514:MPY917537 MZU917514:MZU917537 NJQ917514:NJQ917537 NTM917514:NTM917537 ODI917514:ODI917537 ONE917514:ONE917537 OXA917514:OXA917537 PGW917514:PGW917537 PQS917514:PQS917537 QAO917514:QAO917537 QKK917514:QKK917537 QUG917514:QUG917537 REC917514:REC917537 RNY917514:RNY917537 RXU917514:RXU917537 SHQ917514:SHQ917537 SRM917514:SRM917537 TBI917514:TBI917537 TLE917514:TLE917537 TVA917514:TVA917537 UEW917514:UEW917537 UOS917514:UOS917537 UYO917514:UYO917537 VIK917514:VIK917537 VSG917514:VSG917537 WCC917514:WCC917537 WLY917514:WLY917537 WVU917514:WVU917537 T983050:T983073 JI983050:JI983073 TE983050:TE983073 ADA983050:ADA983073 AMW983050:AMW983073 AWS983050:AWS983073 BGO983050:BGO983073 BQK983050:BQK983073 CAG983050:CAG983073 CKC983050:CKC983073 CTY983050:CTY983073 DDU983050:DDU983073 DNQ983050:DNQ983073 DXM983050:DXM983073 EHI983050:EHI983073 ERE983050:ERE983073 FBA983050:FBA983073 FKW983050:FKW983073 FUS983050:FUS983073 GEO983050:GEO983073 GOK983050:GOK983073 GYG983050:GYG983073 HIC983050:HIC983073 HRY983050:HRY983073 IBU983050:IBU983073 ILQ983050:ILQ983073 IVM983050:IVM983073 JFI983050:JFI983073 JPE983050:JPE983073 JZA983050:JZA983073 KIW983050:KIW983073 KSS983050:KSS983073 LCO983050:LCO983073 LMK983050:LMK983073 LWG983050:LWG983073 MGC983050:MGC983073 MPY983050:MPY983073 MZU983050:MZU983073 NJQ983050:NJQ983073 NTM983050:NTM983073 ODI983050:ODI983073 ONE983050:ONE983073 OXA983050:OXA983073 PGW983050:PGW983073 PQS983050:PQS983073 QAO983050:QAO983073 QKK983050:QKK983073 QUG983050:QUG983073 REC983050:REC983073 RNY983050:RNY983073 RXU983050:RXU983073 SHQ983050:SHQ983073 SRM983050:SRM983073 TBI983050:TBI983073 TLE983050:TLE983073 TVA983050:TVA983073 UEW983050:UEW983073 UOS983050:UOS983073 UYO983050:UYO983073 VIK983050:VIK983073 VSG983050:VSG983073 WCC983050:WCC983073 WLY983050:WLY983073 WVU983050:WVU983073 IT11:IT23 WVF11:WVF23 WLJ11:WLJ23 WBN11:WBN23 VRR11:VRR23 VHV11:VHV23 UXZ11:UXZ23 UOD11:UOD23 UEH11:UEH23 TUL11:TUL23 TKP11:TKP23 TAT11:TAT23 SQX11:SQX23 SHB11:SHB23 RXF11:RXF23 RNJ11:RNJ23 RDN11:RDN23 QTR11:QTR23 QJV11:QJV23 PZZ11:PZZ23 PQD11:PQD23 PGH11:PGH23 OWL11:OWL23 OMP11:OMP23 OCT11:OCT23 NSX11:NSX23 NJB11:NJB23 MZF11:MZF23 MPJ11:MPJ23 MFN11:MFN23 LVR11:LVR23 LLV11:LLV23 LBZ11:LBZ23 KSD11:KSD23 KIH11:KIH23 JYL11:JYL23 JOP11:JOP23 JET11:JET23 IUX11:IUX23 ILB11:ILB23 IBF11:IBF23 HRJ11:HRJ23 HHN11:HHN23 GXR11:GXR23 GNV11:GNV23 GDZ11:GDZ23 FUD11:FUD23 FKH11:FKH23 FAL11:FAL23 EQP11:EQP23 EGT11:EGT23 DWX11:DWX23 DNB11:DNB23 DDF11:DDF23 CTJ11:CTJ23 CJN11:CJN23 BZR11:BZR23 BPV11:BPV23 BFZ11:BFZ23 AWD11:AWD23 AMH11:AMH23 ACL11:ACL23 SP11:SP23 T11:T34" xr:uid="{00000000-0002-0000-0300-000001000000}">
      <formula1>"Y,N"</formula1>
    </dataValidation>
  </dataValidations>
  <pageMargins left="0" right="0" top="0.39370078740157483" bottom="0.59055118110236227" header="0.51181102362204722" footer="0.39370078740157483"/>
  <pageSetup paperSize="9" scale="82" fitToHeight="0" orientation="landscape" r:id="rId1"/>
  <headerFooter alignWithMargins="0">
    <oddFooter>第 &amp;P 頁，共 &amp;N 頁</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5">
    <tabColor rgb="FFFF0000"/>
    <pageSetUpPr fitToPage="1"/>
  </sheetPr>
  <dimension ref="A1:Z39"/>
  <sheetViews>
    <sheetView topLeftCell="M19" zoomScale="97" zoomScaleNormal="97" workbookViewId="0">
      <selection activeCell="N7" sqref="N7:P7"/>
    </sheetView>
  </sheetViews>
  <sheetFormatPr defaultRowHeight="15.5"/>
  <cols>
    <col min="1" max="1" width="7.7265625" style="35" hidden="1" customWidth="1"/>
    <col min="2" max="2" width="11.90625" style="35" hidden="1" customWidth="1"/>
    <col min="3" max="4" width="9.7265625" style="35" hidden="1" customWidth="1"/>
    <col min="5" max="5" width="5.7265625" style="35" hidden="1" customWidth="1"/>
    <col min="6" max="6" width="7.7265625" style="35" hidden="1" customWidth="1"/>
    <col min="7" max="7" width="3.08984375" style="35" hidden="1" customWidth="1"/>
    <col min="8" max="8" width="2.26953125" style="35" hidden="1" customWidth="1"/>
    <col min="9" max="9" width="3.08984375" style="35" hidden="1" customWidth="1"/>
    <col min="10" max="10" width="5.26953125" style="35" hidden="1" customWidth="1"/>
    <col min="11" max="11" width="9.7265625" style="35" hidden="1" customWidth="1"/>
    <col min="12" max="12" width="5.7265625" style="35" hidden="1" customWidth="1"/>
    <col min="13" max="13" width="21.08984375" style="6" customWidth="1"/>
    <col min="14" max="14" width="8.90625" style="6" customWidth="1"/>
    <col min="15" max="15" width="11.36328125" style="6" customWidth="1"/>
    <col min="16" max="16" width="8.90625" style="6" customWidth="1"/>
    <col min="17" max="17" width="8.90625" style="36" customWidth="1"/>
    <col min="18" max="18" width="16.90625" style="6" customWidth="1"/>
    <col min="19" max="19" width="16.90625" style="36" customWidth="1"/>
    <col min="20" max="20" width="10" style="6" customWidth="1"/>
    <col min="21" max="21" width="10" style="36" customWidth="1"/>
    <col min="22" max="22" width="17.7265625" style="6" customWidth="1"/>
    <col min="23" max="23" width="10" style="6" customWidth="1"/>
    <col min="24" max="24" width="17.7265625" style="6" customWidth="1"/>
    <col min="25" max="25" width="10" style="6" customWidth="1"/>
    <col min="26" max="26" width="5.90625" style="6" customWidth="1"/>
    <col min="27" max="261" width="9" style="6"/>
    <col min="262" max="262" width="16.26953125" style="6" customWidth="1"/>
    <col min="263" max="263" width="9" style="6"/>
    <col min="264" max="264" width="11.36328125" style="6" customWidth="1"/>
    <col min="265" max="266" width="9" style="6"/>
    <col min="267" max="267" width="23" style="6" bestFit="1" customWidth="1"/>
    <col min="268" max="268" width="10" style="6" customWidth="1"/>
    <col min="269" max="269" width="6.26953125" style="6" bestFit="1" customWidth="1"/>
    <col min="270" max="270" width="7.26953125" style="6" bestFit="1" customWidth="1"/>
    <col min="271" max="271" width="16.7265625" style="6" customWidth="1"/>
    <col min="272" max="272" width="7.26953125" style="6" bestFit="1" customWidth="1"/>
    <col min="273" max="273" width="16.7265625" style="6" customWidth="1"/>
    <col min="274" max="517" width="9" style="6"/>
    <col min="518" max="518" width="16.26953125" style="6" customWidth="1"/>
    <col min="519" max="519" width="9" style="6"/>
    <col min="520" max="520" width="11.36328125" style="6" customWidth="1"/>
    <col min="521" max="522" width="9" style="6"/>
    <col min="523" max="523" width="23" style="6" bestFit="1" customWidth="1"/>
    <col min="524" max="524" width="10" style="6" customWidth="1"/>
    <col min="525" max="525" width="6.26953125" style="6" bestFit="1" customWidth="1"/>
    <col min="526" max="526" width="7.26953125" style="6" bestFit="1" customWidth="1"/>
    <col min="527" max="527" width="16.7265625" style="6" customWidth="1"/>
    <col min="528" max="528" width="7.26953125" style="6" bestFit="1" customWidth="1"/>
    <col min="529" max="529" width="16.7265625" style="6" customWidth="1"/>
    <col min="530" max="773" width="9" style="6"/>
    <col min="774" max="774" width="16.26953125" style="6" customWidth="1"/>
    <col min="775" max="775" width="9" style="6"/>
    <col min="776" max="776" width="11.36328125" style="6" customWidth="1"/>
    <col min="777" max="778" width="9" style="6"/>
    <col min="779" max="779" width="23" style="6" bestFit="1" customWidth="1"/>
    <col min="780" max="780" width="10" style="6" customWidth="1"/>
    <col min="781" max="781" width="6.26953125" style="6" bestFit="1" customWidth="1"/>
    <col min="782" max="782" width="7.26953125" style="6" bestFit="1" customWidth="1"/>
    <col min="783" max="783" width="16.7265625" style="6" customWidth="1"/>
    <col min="784" max="784" width="7.26953125" style="6" bestFit="1" customWidth="1"/>
    <col min="785" max="785" width="16.7265625" style="6" customWidth="1"/>
    <col min="786" max="1029" width="9" style="6"/>
    <col min="1030" max="1030" width="16.26953125" style="6" customWidth="1"/>
    <col min="1031" max="1031" width="9" style="6"/>
    <col min="1032" max="1032" width="11.36328125" style="6" customWidth="1"/>
    <col min="1033" max="1034" width="9" style="6"/>
    <col min="1035" max="1035" width="23" style="6" bestFit="1" customWidth="1"/>
    <col min="1036" max="1036" width="10" style="6" customWidth="1"/>
    <col min="1037" max="1037" width="6.26953125" style="6" bestFit="1" customWidth="1"/>
    <col min="1038" max="1038" width="7.26953125" style="6" bestFit="1" customWidth="1"/>
    <col min="1039" max="1039" width="16.7265625" style="6" customWidth="1"/>
    <col min="1040" max="1040" width="7.26953125" style="6" bestFit="1" customWidth="1"/>
    <col min="1041" max="1041" width="16.7265625" style="6" customWidth="1"/>
    <col min="1042" max="1285" width="9" style="6"/>
    <col min="1286" max="1286" width="16.26953125" style="6" customWidth="1"/>
    <col min="1287" max="1287" width="9" style="6"/>
    <col min="1288" max="1288" width="11.36328125" style="6" customWidth="1"/>
    <col min="1289" max="1290" width="9" style="6"/>
    <col min="1291" max="1291" width="23" style="6" bestFit="1" customWidth="1"/>
    <col min="1292" max="1292" width="10" style="6" customWidth="1"/>
    <col min="1293" max="1293" width="6.26953125" style="6" bestFit="1" customWidth="1"/>
    <col min="1294" max="1294" width="7.26953125" style="6" bestFit="1" customWidth="1"/>
    <col min="1295" max="1295" width="16.7265625" style="6" customWidth="1"/>
    <col min="1296" max="1296" width="7.26953125" style="6" bestFit="1" customWidth="1"/>
    <col min="1297" max="1297" width="16.7265625" style="6" customWidth="1"/>
    <col min="1298" max="1541" width="9" style="6"/>
    <col min="1542" max="1542" width="16.26953125" style="6" customWidth="1"/>
    <col min="1543" max="1543" width="9" style="6"/>
    <col min="1544" max="1544" width="11.36328125" style="6" customWidth="1"/>
    <col min="1545" max="1546" width="9" style="6"/>
    <col min="1547" max="1547" width="23" style="6" bestFit="1" customWidth="1"/>
    <col min="1548" max="1548" width="10" style="6" customWidth="1"/>
    <col min="1549" max="1549" width="6.26953125" style="6" bestFit="1" customWidth="1"/>
    <col min="1550" max="1550" width="7.26953125" style="6" bestFit="1" customWidth="1"/>
    <col min="1551" max="1551" width="16.7265625" style="6" customWidth="1"/>
    <col min="1552" max="1552" width="7.26953125" style="6" bestFit="1" customWidth="1"/>
    <col min="1553" max="1553" width="16.7265625" style="6" customWidth="1"/>
    <col min="1554" max="1797" width="9" style="6"/>
    <col min="1798" max="1798" width="16.26953125" style="6" customWidth="1"/>
    <col min="1799" max="1799" width="9" style="6"/>
    <col min="1800" max="1800" width="11.36328125" style="6" customWidth="1"/>
    <col min="1801" max="1802" width="9" style="6"/>
    <col min="1803" max="1803" width="23" style="6" bestFit="1" customWidth="1"/>
    <col min="1804" max="1804" width="10" style="6" customWidth="1"/>
    <col min="1805" max="1805" width="6.26953125" style="6" bestFit="1" customWidth="1"/>
    <col min="1806" max="1806" width="7.26953125" style="6" bestFit="1" customWidth="1"/>
    <col min="1807" max="1807" width="16.7265625" style="6" customWidth="1"/>
    <col min="1808" max="1808" width="7.26953125" style="6" bestFit="1" customWidth="1"/>
    <col min="1809" max="1809" width="16.7265625" style="6" customWidth="1"/>
    <col min="1810" max="2053" width="9" style="6"/>
    <col min="2054" max="2054" width="16.26953125" style="6" customWidth="1"/>
    <col min="2055" max="2055" width="9" style="6"/>
    <col min="2056" max="2056" width="11.36328125" style="6" customWidth="1"/>
    <col min="2057" max="2058" width="9" style="6"/>
    <col min="2059" max="2059" width="23" style="6" bestFit="1" customWidth="1"/>
    <col min="2060" max="2060" width="10" style="6" customWidth="1"/>
    <col min="2061" max="2061" width="6.26953125" style="6" bestFit="1" customWidth="1"/>
    <col min="2062" max="2062" width="7.26953125" style="6" bestFit="1" customWidth="1"/>
    <col min="2063" max="2063" width="16.7265625" style="6" customWidth="1"/>
    <col min="2064" max="2064" width="7.26953125" style="6" bestFit="1" customWidth="1"/>
    <col min="2065" max="2065" width="16.7265625" style="6" customWidth="1"/>
    <col min="2066" max="2309" width="9" style="6"/>
    <col min="2310" max="2310" width="16.26953125" style="6" customWidth="1"/>
    <col min="2311" max="2311" width="9" style="6"/>
    <col min="2312" max="2312" width="11.36328125" style="6" customWidth="1"/>
    <col min="2313" max="2314" width="9" style="6"/>
    <col min="2315" max="2315" width="23" style="6" bestFit="1" customWidth="1"/>
    <col min="2316" max="2316" width="10" style="6" customWidth="1"/>
    <col min="2317" max="2317" width="6.26953125" style="6" bestFit="1" customWidth="1"/>
    <col min="2318" max="2318" width="7.26953125" style="6" bestFit="1" customWidth="1"/>
    <col min="2319" max="2319" width="16.7265625" style="6" customWidth="1"/>
    <col min="2320" max="2320" width="7.26953125" style="6" bestFit="1" customWidth="1"/>
    <col min="2321" max="2321" width="16.7265625" style="6" customWidth="1"/>
    <col min="2322" max="2565" width="9" style="6"/>
    <col min="2566" max="2566" width="16.26953125" style="6" customWidth="1"/>
    <col min="2567" max="2567" width="9" style="6"/>
    <col min="2568" max="2568" width="11.36328125" style="6" customWidth="1"/>
    <col min="2569" max="2570" width="9" style="6"/>
    <col min="2571" max="2571" width="23" style="6" bestFit="1" customWidth="1"/>
    <col min="2572" max="2572" width="10" style="6" customWidth="1"/>
    <col min="2573" max="2573" width="6.26953125" style="6" bestFit="1" customWidth="1"/>
    <col min="2574" max="2574" width="7.26953125" style="6" bestFit="1" customWidth="1"/>
    <col min="2575" max="2575" width="16.7265625" style="6" customWidth="1"/>
    <col min="2576" max="2576" width="7.26953125" style="6" bestFit="1" customWidth="1"/>
    <col min="2577" max="2577" width="16.7265625" style="6" customWidth="1"/>
    <col min="2578" max="2821" width="9" style="6"/>
    <col min="2822" max="2822" width="16.26953125" style="6" customWidth="1"/>
    <col min="2823" max="2823" width="9" style="6"/>
    <col min="2824" max="2824" width="11.36328125" style="6" customWidth="1"/>
    <col min="2825" max="2826" width="9" style="6"/>
    <col min="2827" max="2827" width="23" style="6" bestFit="1" customWidth="1"/>
    <col min="2828" max="2828" width="10" style="6" customWidth="1"/>
    <col min="2829" max="2829" width="6.26953125" style="6" bestFit="1" customWidth="1"/>
    <col min="2830" max="2830" width="7.26953125" style="6" bestFit="1" customWidth="1"/>
    <col min="2831" max="2831" width="16.7265625" style="6" customWidth="1"/>
    <col min="2832" max="2832" width="7.26953125" style="6" bestFit="1" customWidth="1"/>
    <col min="2833" max="2833" width="16.7265625" style="6" customWidth="1"/>
    <col min="2834" max="3077" width="9" style="6"/>
    <col min="3078" max="3078" width="16.26953125" style="6" customWidth="1"/>
    <col min="3079" max="3079" width="9" style="6"/>
    <col min="3080" max="3080" width="11.36328125" style="6" customWidth="1"/>
    <col min="3081" max="3082" width="9" style="6"/>
    <col min="3083" max="3083" width="23" style="6" bestFit="1" customWidth="1"/>
    <col min="3084" max="3084" width="10" style="6" customWidth="1"/>
    <col min="3085" max="3085" width="6.26953125" style="6" bestFit="1" customWidth="1"/>
    <col min="3086" max="3086" width="7.26953125" style="6" bestFit="1" customWidth="1"/>
    <col min="3087" max="3087" width="16.7265625" style="6" customWidth="1"/>
    <col min="3088" max="3088" width="7.26953125" style="6" bestFit="1" customWidth="1"/>
    <col min="3089" max="3089" width="16.7265625" style="6" customWidth="1"/>
    <col min="3090" max="3333" width="9" style="6"/>
    <col min="3334" max="3334" width="16.26953125" style="6" customWidth="1"/>
    <col min="3335" max="3335" width="9" style="6"/>
    <col min="3336" max="3336" width="11.36328125" style="6" customWidth="1"/>
    <col min="3337" max="3338" width="9" style="6"/>
    <col min="3339" max="3339" width="23" style="6" bestFit="1" customWidth="1"/>
    <col min="3340" max="3340" width="10" style="6" customWidth="1"/>
    <col min="3341" max="3341" width="6.26953125" style="6" bestFit="1" customWidth="1"/>
    <col min="3342" max="3342" width="7.26953125" style="6" bestFit="1" customWidth="1"/>
    <col min="3343" max="3343" width="16.7265625" style="6" customWidth="1"/>
    <col min="3344" max="3344" width="7.26953125" style="6" bestFit="1" customWidth="1"/>
    <col min="3345" max="3345" width="16.7265625" style="6" customWidth="1"/>
    <col min="3346" max="3589" width="9" style="6"/>
    <col min="3590" max="3590" width="16.26953125" style="6" customWidth="1"/>
    <col min="3591" max="3591" width="9" style="6"/>
    <col min="3592" max="3592" width="11.36328125" style="6" customWidth="1"/>
    <col min="3593" max="3594" width="9" style="6"/>
    <col min="3595" max="3595" width="23" style="6" bestFit="1" customWidth="1"/>
    <col min="3596" max="3596" width="10" style="6" customWidth="1"/>
    <col min="3597" max="3597" width="6.26953125" style="6" bestFit="1" customWidth="1"/>
    <col min="3598" max="3598" width="7.26953125" style="6" bestFit="1" customWidth="1"/>
    <col min="3599" max="3599" width="16.7265625" style="6" customWidth="1"/>
    <col min="3600" max="3600" width="7.26953125" style="6" bestFit="1" customWidth="1"/>
    <col min="3601" max="3601" width="16.7265625" style="6" customWidth="1"/>
    <col min="3602" max="3845" width="9" style="6"/>
    <col min="3846" max="3846" width="16.26953125" style="6" customWidth="1"/>
    <col min="3847" max="3847" width="9" style="6"/>
    <col min="3848" max="3848" width="11.36328125" style="6" customWidth="1"/>
    <col min="3849" max="3850" width="9" style="6"/>
    <col min="3851" max="3851" width="23" style="6" bestFit="1" customWidth="1"/>
    <col min="3852" max="3852" width="10" style="6" customWidth="1"/>
    <col min="3853" max="3853" width="6.26953125" style="6" bestFit="1" customWidth="1"/>
    <col min="3854" max="3854" width="7.26953125" style="6" bestFit="1" customWidth="1"/>
    <col min="3855" max="3855" width="16.7265625" style="6" customWidth="1"/>
    <col min="3856" max="3856" width="7.26953125" style="6" bestFit="1" customWidth="1"/>
    <col min="3857" max="3857" width="16.7265625" style="6" customWidth="1"/>
    <col min="3858" max="4101" width="9" style="6"/>
    <col min="4102" max="4102" width="16.26953125" style="6" customWidth="1"/>
    <col min="4103" max="4103" width="9" style="6"/>
    <col min="4104" max="4104" width="11.36328125" style="6" customWidth="1"/>
    <col min="4105" max="4106" width="9" style="6"/>
    <col min="4107" max="4107" width="23" style="6" bestFit="1" customWidth="1"/>
    <col min="4108" max="4108" width="10" style="6" customWidth="1"/>
    <col min="4109" max="4109" width="6.26953125" style="6" bestFit="1" customWidth="1"/>
    <col min="4110" max="4110" width="7.26953125" style="6" bestFit="1" customWidth="1"/>
    <col min="4111" max="4111" width="16.7265625" style="6" customWidth="1"/>
    <col min="4112" max="4112" width="7.26953125" style="6" bestFit="1" customWidth="1"/>
    <col min="4113" max="4113" width="16.7265625" style="6" customWidth="1"/>
    <col min="4114" max="4357" width="9" style="6"/>
    <col min="4358" max="4358" width="16.26953125" style="6" customWidth="1"/>
    <col min="4359" max="4359" width="9" style="6"/>
    <col min="4360" max="4360" width="11.36328125" style="6" customWidth="1"/>
    <col min="4361" max="4362" width="9" style="6"/>
    <col min="4363" max="4363" width="23" style="6" bestFit="1" customWidth="1"/>
    <col min="4364" max="4364" width="10" style="6" customWidth="1"/>
    <col min="4365" max="4365" width="6.26953125" style="6" bestFit="1" customWidth="1"/>
    <col min="4366" max="4366" width="7.26953125" style="6" bestFit="1" customWidth="1"/>
    <col min="4367" max="4367" width="16.7265625" style="6" customWidth="1"/>
    <col min="4368" max="4368" width="7.26953125" style="6" bestFit="1" customWidth="1"/>
    <col min="4369" max="4369" width="16.7265625" style="6" customWidth="1"/>
    <col min="4370" max="4613" width="9" style="6"/>
    <col min="4614" max="4614" width="16.26953125" style="6" customWidth="1"/>
    <col min="4615" max="4615" width="9" style="6"/>
    <col min="4616" max="4616" width="11.36328125" style="6" customWidth="1"/>
    <col min="4617" max="4618" width="9" style="6"/>
    <col min="4619" max="4619" width="23" style="6" bestFit="1" customWidth="1"/>
    <col min="4620" max="4620" width="10" style="6" customWidth="1"/>
    <col min="4621" max="4621" width="6.26953125" style="6" bestFit="1" customWidth="1"/>
    <col min="4622" max="4622" width="7.26953125" style="6" bestFit="1" customWidth="1"/>
    <col min="4623" max="4623" width="16.7265625" style="6" customWidth="1"/>
    <col min="4624" max="4624" width="7.26953125" style="6" bestFit="1" customWidth="1"/>
    <col min="4625" max="4625" width="16.7265625" style="6" customWidth="1"/>
    <col min="4626" max="4869" width="9" style="6"/>
    <col min="4870" max="4870" width="16.26953125" style="6" customWidth="1"/>
    <col min="4871" max="4871" width="9" style="6"/>
    <col min="4872" max="4872" width="11.36328125" style="6" customWidth="1"/>
    <col min="4873" max="4874" width="9" style="6"/>
    <col min="4875" max="4875" width="23" style="6" bestFit="1" customWidth="1"/>
    <col min="4876" max="4876" width="10" style="6" customWidth="1"/>
    <col min="4877" max="4877" width="6.26953125" style="6" bestFit="1" customWidth="1"/>
    <col min="4878" max="4878" width="7.26953125" style="6" bestFit="1" customWidth="1"/>
    <col min="4879" max="4879" width="16.7265625" style="6" customWidth="1"/>
    <col min="4880" max="4880" width="7.26953125" style="6" bestFit="1" customWidth="1"/>
    <col min="4881" max="4881" width="16.7265625" style="6" customWidth="1"/>
    <col min="4882" max="5125" width="9" style="6"/>
    <col min="5126" max="5126" width="16.26953125" style="6" customWidth="1"/>
    <col min="5127" max="5127" width="9" style="6"/>
    <col min="5128" max="5128" width="11.36328125" style="6" customWidth="1"/>
    <col min="5129" max="5130" width="9" style="6"/>
    <col min="5131" max="5131" width="23" style="6" bestFit="1" customWidth="1"/>
    <col min="5132" max="5132" width="10" style="6" customWidth="1"/>
    <col min="5133" max="5133" width="6.26953125" style="6" bestFit="1" customWidth="1"/>
    <col min="5134" max="5134" width="7.26953125" style="6" bestFit="1" customWidth="1"/>
    <col min="5135" max="5135" width="16.7265625" style="6" customWidth="1"/>
    <col min="5136" max="5136" width="7.26953125" style="6" bestFit="1" customWidth="1"/>
    <col min="5137" max="5137" width="16.7265625" style="6" customWidth="1"/>
    <col min="5138" max="5381" width="9" style="6"/>
    <col min="5382" max="5382" width="16.26953125" style="6" customWidth="1"/>
    <col min="5383" max="5383" width="9" style="6"/>
    <col min="5384" max="5384" width="11.36328125" style="6" customWidth="1"/>
    <col min="5385" max="5386" width="9" style="6"/>
    <col min="5387" max="5387" width="23" style="6" bestFit="1" customWidth="1"/>
    <col min="5388" max="5388" width="10" style="6" customWidth="1"/>
    <col min="5389" max="5389" width="6.26953125" style="6" bestFit="1" customWidth="1"/>
    <col min="5390" max="5390" width="7.26953125" style="6" bestFit="1" customWidth="1"/>
    <col min="5391" max="5391" width="16.7265625" style="6" customWidth="1"/>
    <col min="5392" max="5392" width="7.26953125" style="6" bestFit="1" customWidth="1"/>
    <col min="5393" max="5393" width="16.7265625" style="6" customWidth="1"/>
    <col min="5394" max="5637" width="9" style="6"/>
    <col min="5638" max="5638" width="16.26953125" style="6" customWidth="1"/>
    <col min="5639" max="5639" width="9" style="6"/>
    <col min="5640" max="5640" width="11.36328125" style="6" customWidth="1"/>
    <col min="5641" max="5642" width="9" style="6"/>
    <col min="5643" max="5643" width="23" style="6" bestFit="1" customWidth="1"/>
    <col min="5644" max="5644" width="10" style="6" customWidth="1"/>
    <col min="5645" max="5645" width="6.26953125" style="6" bestFit="1" customWidth="1"/>
    <col min="5646" max="5646" width="7.26953125" style="6" bestFit="1" customWidth="1"/>
    <col min="5647" max="5647" width="16.7265625" style="6" customWidth="1"/>
    <col min="5648" max="5648" width="7.26953125" style="6" bestFit="1" customWidth="1"/>
    <col min="5649" max="5649" width="16.7265625" style="6" customWidth="1"/>
    <col min="5650" max="5893" width="9" style="6"/>
    <col min="5894" max="5894" width="16.26953125" style="6" customWidth="1"/>
    <col min="5895" max="5895" width="9" style="6"/>
    <col min="5896" max="5896" width="11.36328125" style="6" customWidth="1"/>
    <col min="5897" max="5898" width="9" style="6"/>
    <col min="5899" max="5899" width="23" style="6" bestFit="1" customWidth="1"/>
    <col min="5900" max="5900" width="10" style="6" customWidth="1"/>
    <col min="5901" max="5901" width="6.26953125" style="6" bestFit="1" customWidth="1"/>
    <col min="5902" max="5902" width="7.26953125" style="6" bestFit="1" customWidth="1"/>
    <col min="5903" max="5903" width="16.7265625" style="6" customWidth="1"/>
    <col min="5904" max="5904" width="7.26953125" style="6" bestFit="1" customWidth="1"/>
    <col min="5905" max="5905" width="16.7265625" style="6" customWidth="1"/>
    <col min="5906" max="6149" width="9" style="6"/>
    <col min="6150" max="6150" width="16.26953125" style="6" customWidth="1"/>
    <col min="6151" max="6151" width="9" style="6"/>
    <col min="6152" max="6152" width="11.36328125" style="6" customWidth="1"/>
    <col min="6153" max="6154" width="9" style="6"/>
    <col min="6155" max="6155" width="23" style="6" bestFit="1" customWidth="1"/>
    <col min="6156" max="6156" width="10" style="6" customWidth="1"/>
    <col min="6157" max="6157" width="6.26953125" style="6" bestFit="1" customWidth="1"/>
    <col min="6158" max="6158" width="7.26953125" style="6" bestFit="1" customWidth="1"/>
    <col min="6159" max="6159" width="16.7265625" style="6" customWidth="1"/>
    <col min="6160" max="6160" width="7.26953125" style="6" bestFit="1" customWidth="1"/>
    <col min="6161" max="6161" width="16.7265625" style="6" customWidth="1"/>
    <col min="6162" max="6405" width="9" style="6"/>
    <col min="6406" max="6406" width="16.26953125" style="6" customWidth="1"/>
    <col min="6407" max="6407" width="9" style="6"/>
    <col min="6408" max="6408" width="11.36328125" style="6" customWidth="1"/>
    <col min="6409" max="6410" width="9" style="6"/>
    <col min="6411" max="6411" width="23" style="6" bestFit="1" customWidth="1"/>
    <col min="6412" max="6412" width="10" style="6" customWidth="1"/>
    <col min="6413" max="6413" width="6.26953125" style="6" bestFit="1" customWidth="1"/>
    <col min="6414" max="6414" width="7.26953125" style="6" bestFit="1" customWidth="1"/>
    <col min="6415" max="6415" width="16.7265625" style="6" customWidth="1"/>
    <col min="6416" max="6416" width="7.26953125" style="6" bestFit="1" customWidth="1"/>
    <col min="6417" max="6417" width="16.7265625" style="6" customWidth="1"/>
    <col min="6418" max="6661" width="9" style="6"/>
    <col min="6662" max="6662" width="16.26953125" style="6" customWidth="1"/>
    <col min="6663" max="6663" width="9" style="6"/>
    <col min="6664" max="6664" width="11.36328125" style="6" customWidth="1"/>
    <col min="6665" max="6666" width="9" style="6"/>
    <col min="6667" max="6667" width="23" style="6" bestFit="1" customWidth="1"/>
    <col min="6668" max="6668" width="10" style="6" customWidth="1"/>
    <col min="6669" max="6669" width="6.26953125" style="6" bestFit="1" customWidth="1"/>
    <col min="6670" max="6670" width="7.26953125" style="6" bestFit="1" customWidth="1"/>
    <col min="6671" max="6671" width="16.7265625" style="6" customWidth="1"/>
    <col min="6672" max="6672" width="7.26953125" style="6" bestFit="1" customWidth="1"/>
    <col min="6673" max="6673" width="16.7265625" style="6" customWidth="1"/>
    <col min="6674" max="6917" width="9" style="6"/>
    <col min="6918" max="6918" width="16.26953125" style="6" customWidth="1"/>
    <col min="6919" max="6919" width="9" style="6"/>
    <col min="6920" max="6920" width="11.36328125" style="6" customWidth="1"/>
    <col min="6921" max="6922" width="9" style="6"/>
    <col min="6923" max="6923" width="23" style="6" bestFit="1" customWidth="1"/>
    <col min="6924" max="6924" width="10" style="6" customWidth="1"/>
    <col min="6925" max="6925" width="6.26953125" style="6" bestFit="1" customWidth="1"/>
    <col min="6926" max="6926" width="7.26953125" style="6" bestFit="1" customWidth="1"/>
    <col min="6927" max="6927" width="16.7265625" style="6" customWidth="1"/>
    <col min="6928" max="6928" width="7.26953125" style="6" bestFit="1" customWidth="1"/>
    <col min="6929" max="6929" width="16.7265625" style="6" customWidth="1"/>
    <col min="6930" max="7173" width="9" style="6"/>
    <col min="7174" max="7174" width="16.26953125" style="6" customWidth="1"/>
    <col min="7175" max="7175" width="9" style="6"/>
    <col min="7176" max="7176" width="11.36328125" style="6" customWidth="1"/>
    <col min="7177" max="7178" width="9" style="6"/>
    <col min="7179" max="7179" width="23" style="6" bestFit="1" customWidth="1"/>
    <col min="7180" max="7180" width="10" style="6" customWidth="1"/>
    <col min="7181" max="7181" width="6.26953125" style="6" bestFit="1" customWidth="1"/>
    <col min="7182" max="7182" width="7.26953125" style="6" bestFit="1" customWidth="1"/>
    <col min="7183" max="7183" width="16.7265625" style="6" customWidth="1"/>
    <col min="7184" max="7184" width="7.26953125" style="6" bestFit="1" customWidth="1"/>
    <col min="7185" max="7185" width="16.7265625" style="6" customWidth="1"/>
    <col min="7186" max="7429" width="9" style="6"/>
    <col min="7430" max="7430" width="16.26953125" style="6" customWidth="1"/>
    <col min="7431" max="7431" width="9" style="6"/>
    <col min="7432" max="7432" width="11.36328125" style="6" customWidth="1"/>
    <col min="7433" max="7434" width="9" style="6"/>
    <col min="7435" max="7435" width="23" style="6" bestFit="1" customWidth="1"/>
    <col min="7436" max="7436" width="10" style="6" customWidth="1"/>
    <col min="7437" max="7437" width="6.26953125" style="6" bestFit="1" customWidth="1"/>
    <col min="7438" max="7438" width="7.26953125" style="6" bestFit="1" customWidth="1"/>
    <col min="7439" max="7439" width="16.7265625" style="6" customWidth="1"/>
    <col min="7440" max="7440" width="7.26953125" style="6" bestFit="1" customWidth="1"/>
    <col min="7441" max="7441" width="16.7265625" style="6" customWidth="1"/>
    <col min="7442" max="7685" width="9" style="6"/>
    <col min="7686" max="7686" width="16.26953125" style="6" customWidth="1"/>
    <col min="7687" max="7687" width="9" style="6"/>
    <col min="7688" max="7688" width="11.36328125" style="6" customWidth="1"/>
    <col min="7689" max="7690" width="9" style="6"/>
    <col min="7691" max="7691" width="23" style="6" bestFit="1" customWidth="1"/>
    <col min="7692" max="7692" width="10" style="6" customWidth="1"/>
    <col min="7693" max="7693" width="6.26953125" style="6" bestFit="1" customWidth="1"/>
    <col min="7694" max="7694" width="7.26953125" style="6" bestFit="1" customWidth="1"/>
    <col min="7695" max="7695" width="16.7265625" style="6" customWidth="1"/>
    <col min="7696" max="7696" width="7.26953125" style="6" bestFit="1" customWidth="1"/>
    <col min="7697" max="7697" width="16.7265625" style="6" customWidth="1"/>
    <col min="7698" max="7941" width="9" style="6"/>
    <col min="7942" max="7942" width="16.26953125" style="6" customWidth="1"/>
    <col min="7943" max="7943" width="9" style="6"/>
    <col min="7944" max="7944" width="11.36328125" style="6" customWidth="1"/>
    <col min="7945" max="7946" width="9" style="6"/>
    <col min="7947" max="7947" width="23" style="6" bestFit="1" customWidth="1"/>
    <col min="7948" max="7948" width="10" style="6" customWidth="1"/>
    <col min="7949" max="7949" width="6.26953125" style="6" bestFit="1" customWidth="1"/>
    <col min="7950" max="7950" width="7.26953125" style="6" bestFit="1" customWidth="1"/>
    <col min="7951" max="7951" width="16.7265625" style="6" customWidth="1"/>
    <col min="7952" max="7952" width="7.26953125" style="6" bestFit="1" customWidth="1"/>
    <col min="7953" max="7953" width="16.7265625" style="6" customWidth="1"/>
    <col min="7954" max="8197" width="9" style="6"/>
    <col min="8198" max="8198" width="16.26953125" style="6" customWidth="1"/>
    <col min="8199" max="8199" width="9" style="6"/>
    <col min="8200" max="8200" width="11.36328125" style="6" customWidth="1"/>
    <col min="8201" max="8202" width="9" style="6"/>
    <col min="8203" max="8203" width="23" style="6" bestFit="1" customWidth="1"/>
    <col min="8204" max="8204" width="10" style="6" customWidth="1"/>
    <col min="8205" max="8205" width="6.26953125" style="6" bestFit="1" customWidth="1"/>
    <col min="8206" max="8206" width="7.26953125" style="6" bestFit="1" customWidth="1"/>
    <col min="8207" max="8207" width="16.7265625" style="6" customWidth="1"/>
    <col min="8208" max="8208" width="7.26953125" style="6" bestFit="1" customWidth="1"/>
    <col min="8209" max="8209" width="16.7265625" style="6" customWidth="1"/>
    <col min="8210" max="8453" width="9" style="6"/>
    <col min="8454" max="8454" width="16.26953125" style="6" customWidth="1"/>
    <col min="8455" max="8455" width="9" style="6"/>
    <col min="8456" max="8456" width="11.36328125" style="6" customWidth="1"/>
    <col min="8457" max="8458" width="9" style="6"/>
    <col min="8459" max="8459" width="23" style="6" bestFit="1" customWidth="1"/>
    <col min="8460" max="8460" width="10" style="6" customWidth="1"/>
    <col min="8461" max="8461" width="6.26953125" style="6" bestFit="1" customWidth="1"/>
    <col min="8462" max="8462" width="7.26953125" style="6" bestFit="1" customWidth="1"/>
    <col min="8463" max="8463" width="16.7265625" style="6" customWidth="1"/>
    <col min="8464" max="8464" width="7.26953125" style="6" bestFit="1" customWidth="1"/>
    <col min="8465" max="8465" width="16.7265625" style="6" customWidth="1"/>
    <col min="8466" max="8709" width="9" style="6"/>
    <col min="8710" max="8710" width="16.26953125" style="6" customWidth="1"/>
    <col min="8711" max="8711" width="9" style="6"/>
    <col min="8712" max="8712" width="11.36328125" style="6" customWidth="1"/>
    <col min="8713" max="8714" width="9" style="6"/>
    <col min="8715" max="8715" width="23" style="6" bestFit="1" customWidth="1"/>
    <col min="8716" max="8716" width="10" style="6" customWidth="1"/>
    <col min="8717" max="8717" width="6.26953125" style="6" bestFit="1" customWidth="1"/>
    <col min="8718" max="8718" width="7.26953125" style="6" bestFit="1" customWidth="1"/>
    <col min="8719" max="8719" width="16.7265625" style="6" customWidth="1"/>
    <col min="8720" max="8720" width="7.26953125" style="6" bestFit="1" customWidth="1"/>
    <col min="8721" max="8721" width="16.7265625" style="6" customWidth="1"/>
    <col min="8722" max="8965" width="9" style="6"/>
    <col min="8966" max="8966" width="16.26953125" style="6" customWidth="1"/>
    <col min="8967" max="8967" width="9" style="6"/>
    <col min="8968" max="8968" width="11.36328125" style="6" customWidth="1"/>
    <col min="8969" max="8970" width="9" style="6"/>
    <col min="8971" max="8971" width="23" style="6" bestFit="1" customWidth="1"/>
    <col min="8972" max="8972" width="10" style="6" customWidth="1"/>
    <col min="8973" max="8973" width="6.26953125" style="6" bestFit="1" customWidth="1"/>
    <col min="8974" max="8974" width="7.26953125" style="6" bestFit="1" customWidth="1"/>
    <col min="8975" max="8975" width="16.7265625" style="6" customWidth="1"/>
    <col min="8976" max="8976" width="7.26953125" style="6" bestFit="1" customWidth="1"/>
    <col min="8977" max="8977" width="16.7265625" style="6" customWidth="1"/>
    <col min="8978" max="9221" width="9" style="6"/>
    <col min="9222" max="9222" width="16.26953125" style="6" customWidth="1"/>
    <col min="9223" max="9223" width="9" style="6"/>
    <col min="9224" max="9224" width="11.36328125" style="6" customWidth="1"/>
    <col min="9225" max="9226" width="9" style="6"/>
    <col min="9227" max="9227" width="23" style="6" bestFit="1" customWidth="1"/>
    <col min="9228" max="9228" width="10" style="6" customWidth="1"/>
    <col min="9229" max="9229" width="6.26953125" style="6" bestFit="1" customWidth="1"/>
    <col min="9230" max="9230" width="7.26953125" style="6" bestFit="1" customWidth="1"/>
    <col min="9231" max="9231" width="16.7265625" style="6" customWidth="1"/>
    <col min="9232" max="9232" width="7.26953125" style="6" bestFit="1" customWidth="1"/>
    <col min="9233" max="9233" width="16.7265625" style="6" customWidth="1"/>
    <col min="9234" max="9477" width="9" style="6"/>
    <col min="9478" max="9478" width="16.26953125" style="6" customWidth="1"/>
    <col min="9479" max="9479" width="9" style="6"/>
    <col min="9480" max="9480" width="11.36328125" style="6" customWidth="1"/>
    <col min="9481" max="9482" width="9" style="6"/>
    <col min="9483" max="9483" width="23" style="6" bestFit="1" customWidth="1"/>
    <col min="9484" max="9484" width="10" style="6" customWidth="1"/>
    <col min="9485" max="9485" width="6.26953125" style="6" bestFit="1" customWidth="1"/>
    <col min="9486" max="9486" width="7.26953125" style="6" bestFit="1" customWidth="1"/>
    <col min="9487" max="9487" width="16.7265625" style="6" customWidth="1"/>
    <col min="9488" max="9488" width="7.26953125" style="6" bestFit="1" customWidth="1"/>
    <col min="9489" max="9489" width="16.7265625" style="6" customWidth="1"/>
    <col min="9490" max="9733" width="9" style="6"/>
    <col min="9734" max="9734" width="16.26953125" style="6" customWidth="1"/>
    <col min="9735" max="9735" width="9" style="6"/>
    <col min="9736" max="9736" width="11.36328125" style="6" customWidth="1"/>
    <col min="9737" max="9738" width="9" style="6"/>
    <col min="9739" max="9739" width="23" style="6" bestFit="1" customWidth="1"/>
    <col min="9740" max="9740" width="10" style="6" customWidth="1"/>
    <col min="9741" max="9741" width="6.26953125" style="6" bestFit="1" customWidth="1"/>
    <col min="9742" max="9742" width="7.26953125" style="6" bestFit="1" customWidth="1"/>
    <col min="9743" max="9743" width="16.7265625" style="6" customWidth="1"/>
    <col min="9744" max="9744" width="7.26953125" style="6" bestFit="1" customWidth="1"/>
    <col min="9745" max="9745" width="16.7265625" style="6" customWidth="1"/>
    <col min="9746" max="9989" width="9" style="6"/>
    <col min="9990" max="9990" width="16.26953125" style="6" customWidth="1"/>
    <col min="9991" max="9991" width="9" style="6"/>
    <col min="9992" max="9992" width="11.36328125" style="6" customWidth="1"/>
    <col min="9993" max="9994" width="9" style="6"/>
    <col min="9995" max="9995" width="23" style="6" bestFit="1" customWidth="1"/>
    <col min="9996" max="9996" width="10" style="6" customWidth="1"/>
    <col min="9997" max="9997" width="6.26953125" style="6" bestFit="1" customWidth="1"/>
    <col min="9998" max="9998" width="7.26953125" style="6" bestFit="1" customWidth="1"/>
    <col min="9999" max="9999" width="16.7265625" style="6" customWidth="1"/>
    <col min="10000" max="10000" width="7.26953125" style="6" bestFit="1" customWidth="1"/>
    <col min="10001" max="10001" width="16.7265625" style="6" customWidth="1"/>
    <col min="10002" max="10245" width="9" style="6"/>
    <col min="10246" max="10246" width="16.26953125" style="6" customWidth="1"/>
    <col min="10247" max="10247" width="9" style="6"/>
    <col min="10248" max="10248" width="11.36328125" style="6" customWidth="1"/>
    <col min="10249" max="10250" width="9" style="6"/>
    <col min="10251" max="10251" width="23" style="6" bestFit="1" customWidth="1"/>
    <col min="10252" max="10252" width="10" style="6" customWidth="1"/>
    <col min="10253" max="10253" width="6.26953125" style="6" bestFit="1" customWidth="1"/>
    <col min="10254" max="10254" width="7.26953125" style="6" bestFit="1" customWidth="1"/>
    <col min="10255" max="10255" width="16.7265625" style="6" customWidth="1"/>
    <col min="10256" max="10256" width="7.26953125" style="6" bestFit="1" customWidth="1"/>
    <col min="10257" max="10257" width="16.7265625" style="6" customWidth="1"/>
    <col min="10258" max="10501" width="9" style="6"/>
    <col min="10502" max="10502" width="16.26953125" style="6" customWidth="1"/>
    <col min="10503" max="10503" width="9" style="6"/>
    <col min="10504" max="10504" width="11.36328125" style="6" customWidth="1"/>
    <col min="10505" max="10506" width="9" style="6"/>
    <col min="10507" max="10507" width="23" style="6" bestFit="1" customWidth="1"/>
    <col min="10508" max="10508" width="10" style="6" customWidth="1"/>
    <col min="10509" max="10509" width="6.26953125" style="6" bestFit="1" customWidth="1"/>
    <col min="10510" max="10510" width="7.26953125" style="6" bestFit="1" customWidth="1"/>
    <col min="10511" max="10511" width="16.7265625" style="6" customWidth="1"/>
    <col min="10512" max="10512" width="7.26953125" style="6" bestFit="1" customWidth="1"/>
    <col min="10513" max="10513" width="16.7265625" style="6" customWidth="1"/>
    <col min="10514" max="10757" width="9" style="6"/>
    <col min="10758" max="10758" width="16.26953125" style="6" customWidth="1"/>
    <col min="10759" max="10759" width="9" style="6"/>
    <col min="10760" max="10760" width="11.36328125" style="6" customWidth="1"/>
    <col min="10761" max="10762" width="9" style="6"/>
    <col min="10763" max="10763" width="23" style="6" bestFit="1" customWidth="1"/>
    <col min="10764" max="10764" width="10" style="6" customWidth="1"/>
    <col min="10765" max="10765" width="6.26953125" style="6" bestFit="1" customWidth="1"/>
    <col min="10766" max="10766" width="7.26953125" style="6" bestFit="1" customWidth="1"/>
    <col min="10767" max="10767" width="16.7265625" style="6" customWidth="1"/>
    <col min="10768" max="10768" width="7.26953125" style="6" bestFit="1" customWidth="1"/>
    <col min="10769" max="10769" width="16.7265625" style="6" customWidth="1"/>
    <col min="10770" max="11013" width="9" style="6"/>
    <col min="11014" max="11014" width="16.26953125" style="6" customWidth="1"/>
    <col min="11015" max="11015" width="9" style="6"/>
    <col min="11016" max="11016" width="11.36328125" style="6" customWidth="1"/>
    <col min="11017" max="11018" width="9" style="6"/>
    <col min="11019" max="11019" width="23" style="6" bestFit="1" customWidth="1"/>
    <col min="11020" max="11020" width="10" style="6" customWidth="1"/>
    <col min="11021" max="11021" width="6.26953125" style="6" bestFit="1" customWidth="1"/>
    <col min="11022" max="11022" width="7.26953125" style="6" bestFit="1" customWidth="1"/>
    <col min="11023" max="11023" width="16.7265625" style="6" customWidth="1"/>
    <col min="11024" max="11024" width="7.26953125" style="6" bestFit="1" customWidth="1"/>
    <col min="11025" max="11025" width="16.7265625" style="6" customWidth="1"/>
    <col min="11026" max="11269" width="9" style="6"/>
    <col min="11270" max="11270" width="16.26953125" style="6" customWidth="1"/>
    <col min="11271" max="11271" width="9" style="6"/>
    <col min="11272" max="11272" width="11.36328125" style="6" customWidth="1"/>
    <col min="11273" max="11274" width="9" style="6"/>
    <col min="11275" max="11275" width="23" style="6" bestFit="1" customWidth="1"/>
    <col min="11276" max="11276" width="10" style="6" customWidth="1"/>
    <col min="11277" max="11277" width="6.26953125" style="6" bestFit="1" customWidth="1"/>
    <col min="11278" max="11278" width="7.26953125" style="6" bestFit="1" customWidth="1"/>
    <col min="11279" max="11279" width="16.7265625" style="6" customWidth="1"/>
    <col min="11280" max="11280" width="7.26953125" style="6" bestFit="1" customWidth="1"/>
    <col min="11281" max="11281" width="16.7265625" style="6" customWidth="1"/>
    <col min="11282" max="11525" width="9" style="6"/>
    <col min="11526" max="11526" width="16.26953125" style="6" customWidth="1"/>
    <col min="11527" max="11527" width="9" style="6"/>
    <col min="11528" max="11528" width="11.36328125" style="6" customWidth="1"/>
    <col min="11529" max="11530" width="9" style="6"/>
    <col min="11531" max="11531" width="23" style="6" bestFit="1" customWidth="1"/>
    <col min="11532" max="11532" width="10" style="6" customWidth="1"/>
    <col min="11533" max="11533" width="6.26953125" style="6" bestFit="1" customWidth="1"/>
    <col min="11534" max="11534" width="7.26953125" style="6" bestFit="1" customWidth="1"/>
    <col min="11535" max="11535" width="16.7265625" style="6" customWidth="1"/>
    <col min="11536" max="11536" width="7.26953125" style="6" bestFit="1" customWidth="1"/>
    <col min="11537" max="11537" width="16.7265625" style="6" customWidth="1"/>
    <col min="11538" max="11781" width="9" style="6"/>
    <col min="11782" max="11782" width="16.26953125" style="6" customWidth="1"/>
    <col min="11783" max="11783" width="9" style="6"/>
    <col min="11784" max="11784" width="11.36328125" style="6" customWidth="1"/>
    <col min="11785" max="11786" width="9" style="6"/>
    <col min="11787" max="11787" width="23" style="6" bestFit="1" customWidth="1"/>
    <col min="11788" max="11788" width="10" style="6" customWidth="1"/>
    <col min="11789" max="11789" width="6.26953125" style="6" bestFit="1" customWidth="1"/>
    <col min="11790" max="11790" width="7.26953125" style="6" bestFit="1" customWidth="1"/>
    <col min="11791" max="11791" width="16.7265625" style="6" customWidth="1"/>
    <col min="11792" max="11792" width="7.26953125" style="6" bestFit="1" customWidth="1"/>
    <col min="11793" max="11793" width="16.7265625" style="6" customWidth="1"/>
    <col min="11794" max="12037" width="9" style="6"/>
    <col min="12038" max="12038" width="16.26953125" style="6" customWidth="1"/>
    <col min="12039" max="12039" width="9" style="6"/>
    <col min="12040" max="12040" width="11.36328125" style="6" customWidth="1"/>
    <col min="12041" max="12042" width="9" style="6"/>
    <col min="12043" max="12043" width="23" style="6" bestFit="1" customWidth="1"/>
    <col min="12044" max="12044" width="10" style="6" customWidth="1"/>
    <col min="12045" max="12045" width="6.26953125" style="6" bestFit="1" customWidth="1"/>
    <col min="12046" max="12046" width="7.26953125" style="6" bestFit="1" customWidth="1"/>
    <col min="12047" max="12047" width="16.7265625" style="6" customWidth="1"/>
    <col min="12048" max="12048" width="7.26953125" style="6" bestFit="1" customWidth="1"/>
    <col min="12049" max="12049" width="16.7265625" style="6" customWidth="1"/>
    <col min="12050" max="12293" width="9" style="6"/>
    <col min="12294" max="12294" width="16.26953125" style="6" customWidth="1"/>
    <col min="12295" max="12295" width="9" style="6"/>
    <col min="12296" max="12296" width="11.36328125" style="6" customWidth="1"/>
    <col min="12297" max="12298" width="9" style="6"/>
    <col min="12299" max="12299" width="23" style="6" bestFit="1" customWidth="1"/>
    <col min="12300" max="12300" width="10" style="6" customWidth="1"/>
    <col min="12301" max="12301" width="6.26953125" style="6" bestFit="1" customWidth="1"/>
    <col min="12302" max="12302" width="7.26953125" style="6" bestFit="1" customWidth="1"/>
    <col min="12303" max="12303" width="16.7265625" style="6" customWidth="1"/>
    <col min="12304" max="12304" width="7.26953125" style="6" bestFit="1" customWidth="1"/>
    <col min="12305" max="12305" width="16.7265625" style="6" customWidth="1"/>
    <col min="12306" max="12549" width="9" style="6"/>
    <col min="12550" max="12550" width="16.26953125" style="6" customWidth="1"/>
    <col min="12551" max="12551" width="9" style="6"/>
    <col min="12552" max="12552" width="11.36328125" style="6" customWidth="1"/>
    <col min="12553" max="12554" width="9" style="6"/>
    <col min="12555" max="12555" width="23" style="6" bestFit="1" customWidth="1"/>
    <col min="12556" max="12556" width="10" style="6" customWidth="1"/>
    <col min="12557" max="12557" width="6.26953125" style="6" bestFit="1" customWidth="1"/>
    <col min="12558" max="12558" width="7.26953125" style="6" bestFit="1" customWidth="1"/>
    <col min="12559" max="12559" width="16.7265625" style="6" customWidth="1"/>
    <col min="12560" max="12560" width="7.26953125" style="6" bestFit="1" customWidth="1"/>
    <col min="12561" max="12561" width="16.7265625" style="6" customWidth="1"/>
    <col min="12562" max="12805" width="9" style="6"/>
    <col min="12806" max="12806" width="16.26953125" style="6" customWidth="1"/>
    <col min="12807" max="12807" width="9" style="6"/>
    <col min="12808" max="12808" width="11.36328125" style="6" customWidth="1"/>
    <col min="12809" max="12810" width="9" style="6"/>
    <col min="12811" max="12811" width="23" style="6" bestFit="1" customWidth="1"/>
    <col min="12812" max="12812" width="10" style="6" customWidth="1"/>
    <col min="12813" max="12813" width="6.26953125" style="6" bestFit="1" customWidth="1"/>
    <col min="12814" max="12814" width="7.26953125" style="6" bestFit="1" customWidth="1"/>
    <col min="12815" max="12815" width="16.7265625" style="6" customWidth="1"/>
    <col min="12816" max="12816" width="7.26953125" style="6" bestFit="1" customWidth="1"/>
    <col min="12817" max="12817" width="16.7265625" style="6" customWidth="1"/>
    <col min="12818" max="13061" width="9" style="6"/>
    <col min="13062" max="13062" width="16.26953125" style="6" customWidth="1"/>
    <col min="13063" max="13063" width="9" style="6"/>
    <col min="13064" max="13064" width="11.36328125" style="6" customWidth="1"/>
    <col min="13065" max="13066" width="9" style="6"/>
    <col min="13067" max="13067" width="23" style="6" bestFit="1" customWidth="1"/>
    <col min="13068" max="13068" width="10" style="6" customWidth="1"/>
    <col min="13069" max="13069" width="6.26953125" style="6" bestFit="1" customWidth="1"/>
    <col min="13070" max="13070" width="7.26953125" style="6" bestFit="1" customWidth="1"/>
    <col min="13071" max="13071" width="16.7265625" style="6" customWidth="1"/>
    <col min="13072" max="13072" width="7.26953125" style="6" bestFit="1" customWidth="1"/>
    <col min="13073" max="13073" width="16.7265625" style="6" customWidth="1"/>
    <col min="13074" max="13317" width="9" style="6"/>
    <col min="13318" max="13318" width="16.26953125" style="6" customWidth="1"/>
    <col min="13319" max="13319" width="9" style="6"/>
    <col min="13320" max="13320" width="11.36328125" style="6" customWidth="1"/>
    <col min="13321" max="13322" width="9" style="6"/>
    <col min="13323" max="13323" width="23" style="6" bestFit="1" customWidth="1"/>
    <col min="13324" max="13324" width="10" style="6" customWidth="1"/>
    <col min="13325" max="13325" width="6.26953125" style="6" bestFit="1" customWidth="1"/>
    <col min="13326" max="13326" width="7.26953125" style="6" bestFit="1" customWidth="1"/>
    <col min="13327" max="13327" width="16.7265625" style="6" customWidth="1"/>
    <col min="13328" max="13328" width="7.26953125" style="6" bestFit="1" customWidth="1"/>
    <col min="13329" max="13329" width="16.7265625" style="6" customWidth="1"/>
    <col min="13330" max="13573" width="9" style="6"/>
    <col min="13574" max="13574" width="16.26953125" style="6" customWidth="1"/>
    <col min="13575" max="13575" width="9" style="6"/>
    <col min="13576" max="13576" width="11.36328125" style="6" customWidth="1"/>
    <col min="13577" max="13578" width="9" style="6"/>
    <col min="13579" max="13579" width="23" style="6" bestFit="1" customWidth="1"/>
    <col min="13580" max="13580" width="10" style="6" customWidth="1"/>
    <col min="13581" max="13581" width="6.26953125" style="6" bestFit="1" customWidth="1"/>
    <col min="13582" max="13582" width="7.26953125" style="6" bestFit="1" customWidth="1"/>
    <col min="13583" max="13583" width="16.7265625" style="6" customWidth="1"/>
    <col min="13584" max="13584" width="7.26953125" style="6" bestFit="1" customWidth="1"/>
    <col min="13585" max="13585" width="16.7265625" style="6" customWidth="1"/>
    <col min="13586" max="13829" width="9" style="6"/>
    <col min="13830" max="13830" width="16.26953125" style="6" customWidth="1"/>
    <col min="13831" max="13831" width="9" style="6"/>
    <col min="13832" max="13832" width="11.36328125" style="6" customWidth="1"/>
    <col min="13833" max="13834" width="9" style="6"/>
    <col min="13835" max="13835" width="23" style="6" bestFit="1" customWidth="1"/>
    <col min="13836" max="13836" width="10" style="6" customWidth="1"/>
    <col min="13837" max="13837" width="6.26953125" style="6" bestFit="1" customWidth="1"/>
    <col min="13838" max="13838" width="7.26953125" style="6" bestFit="1" customWidth="1"/>
    <col min="13839" max="13839" width="16.7265625" style="6" customWidth="1"/>
    <col min="13840" max="13840" width="7.26953125" style="6" bestFit="1" customWidth="1"/>
    <col min="13841" max="13841" width="16.7265625" style="6" customWidth="1"/>
    <col min="13842" max="14085" width="9" style="6"/>
    <col min="14086" max="14086" width="16.26953125" style="6" customWidth="1"/>
    <col min="14087" max="14087" width="9" style="6"/>
    <col min="14088" max="14088" width="11.36328125" style="6" customWidth="1"/>
    <col min="14089" max="14090" width="9" style="6"/>
    <col min="14091" max="14091" width="23" style="6" bestFit="1" customWidth="1"/>
    <col min="14092" max="14092" width="10" style="6" customWidth="1"/>
    <col min="14093" max="14093" width="6.26953125" style="6" bestFit="1" customWidth="1"/>
    <col min="14094" max="14094" width="7.26953125" style="6" bestFit="1" customWidth="1"/>
    <col min="14095" max="14095" width="16.7265625" style="6" customWidth="1"/>
    <col min="14096" max="14096" width="7.26953125" style="6" bestFit="1" customWidth="1"/>
    <col min="14097" max="14097" width="16.7265625" style="6" customWidth="1"/>
    <col min="14098" max="14341" width="9" style="6"/>
    <col min="14342" max="14342" width="16.26953125" style="6" customWidth="1"/>
    <col min="14343" max="14343" width="9" style="6"/>
    <col min="14344" max="14344" width="11.36328125" style="6" customWidth="1"/>
    <col min="14345" max="14346" width="9" style="6"/>
    <col min="14347" max="14347" width="23" style="6" bestFit="1" customWidth="1"/>
    <col min="14348" max="14348" width="10" style="6" customWidth="1"/>
    <col min="14349" max="14349" width="6.26953125" style="6" bestFit="1" customWidth="1"/>
    <col min="14350" max="14350" width="7.26953125" style="6" bestFit="1" customWidth="1"/>
    <col min="14351" max="14351" width="16.7265625" style="6" customWidth="1"/>
    <col min="14352" max="14352" width="7.26953125" style="6" bestFit="1" customWidth="1"/>
    <col min="14353" max="14353" width="16.7265625" style="6" customWidth="1"/>
    <col min="14354" max="14597" width="9" style="6"/>
    <col min="14598" max="14598" width="16.26953125" style="6" customWidth="1"/>
    <col min="14599" max="14599" width="9" style="6"/>
    <col min="14600" max="14600" width="11.36328125" style="6" customWidth="1"/>
    <col min="14601" max="14602" width="9" style="6"/>
    <col min="14603" max="14603" width="23" style="6" bestFit="1" customWidth="1"/>
    <col min="14604" max="14604" width="10" style="6" customWidth="1"/>
    <col min="14605" max="14605" width="6.26953125" style="6" bestFit="1" customWidth="1"/>
    <col min="14606" max="14606" width="7.26953125" style="6" bestFit="1" customWidth="1"/>
    <col min="14607" max="14607" width="16.7265625" style="6" customWidth="1"/>
    <col min="14608" max="14608" width="7.26953125" style="6" bestFit="1" customWidth="1"/>
    <col min="14609" max="14609" width="16.7265625" style="6" customWidth="1"/>
    <col min="14610" max="14853" width="9" style="6"/>
    <col min="14854" max="14854" width="16.26953125" style="6" customWidth="1"/>
    <col min="14855" max="14855" width="9" style="6"/>
    <col min="14856" max="14856" width="11.36328125" style="6" customWidth="1"/>
    <col min="14857" max="14858" width="9" style="6"/>
    <col min="14859" max="14859" width="23" style="6" bestFit="1" customWidth="1"/>
    <col min="14860" max="14860" width="10" style="6" customWidth="1"/>
    <col min="14861" max="14861" width="6.26953125" style="6" bestFit="1" customWidth="1"/>
    <col min="14862" max="14862" width="7.26953125" style="6" bestFit="1" customWidth="1"/>
    <col min="14863" max="14863" width="16.7265625" style="6" customWidth="1"/>
    <col min="14864" max="14864" width="7.26953125" style="6" bestFit="1" customWidth="1"/>
    <col min="14865" max="14865" width="16.7265625" style="6" customWidth="1"/>
    <col min="14866" max="15109" width="9" style="6"/>
    <col min="15110" max="15110" width="16.26953125" style="6" customWidth="1"/>
    <col min="15111" max="15111" width="9" style="6"/>
    <col min="15112" max="15112" width="11.36328125" style="6" customWidth="1"/>
    <col min="15113" max="15114" width="9" style="6"/>
    <col min="15115" max="15115" width="23" style="6" bestFit="1" customWidth="1"/>
    <col min="15116" max="15116" width="10" style="6" customWidth="1"/>
    <col min="15117" max="15117" width="6.26953125" style="6" bestFit="1" customWidth="1"/>
    <col min="15118" max="15118" width="7.26953125" style="6" bestFit="1" customWidth="1"/>
    <col min="15119" max="15119" width="16.7265625" style="6" customWidth="1"/>
    <col min="15120" max="15120" width="7.26953125" style="6" bestFit="1" customWidth="1"/>
    <col min="15121" max="15121" width="16.7265625" style="6" customWidth="1"/>
    <col min="15122" max="15365" width="9" style="6"/>
    <col min="15366" max="15366" width="16.26953125" style="6" customWidth="1"/>
    <col min="15367" max="15367" width="9" style="6"/>
    <col min="15368" max="15368" width="11.36328125" style="6" customWidth="1"/>
    <col min="15369" max="15370" width="9" style="6"/>
    <col min="15371" max="15371" width="23" style="6" bestFit="1" customWidth="1"/>
    <col min="15372" max="15372" width="10" style="6" customWidth="1"/>
    <col min="15373" max="15373" width="6.26953125" style="6" bestFit="1" customWidth="1"/>
    <col min="15374" max="15374" width="7.26953125" style="6" bestFit="1" customWidth="1"/>
    <col min="15375" max="15375" width="16.7265625" style="6" customWidth="1"/>
    <col min="15376" max="15376" width="7.26953125" style="6" bestFit="1" customWidth="1"/>
    <col min="15377" max="15377" width="16.7265625" style="6" customWidth="1"/>
    <col min="15378" max="15621" width="9" style="6"/>
    <col min="15622" max="15622" width="16.26953125" style="6" customWidth="1"/>
    <col min="15623" max="15623" width="9" style="6"/>
    <col min="15624" max="15624" width="11.36328125" style="6" customWidth="1"/>
    <col min="15625" max="15626" width="9" style="6"/>
    <col min="15627" max="15627" width="23" style="6" bestFit="1" customWidth="1"/>
    <col min="15628" max="15628" width="10" style="6" customWidth="1"/>
    <col min="15629" max="15629" width="6.26953125" style="6" bestFit="1" customWidth="1"/>
    <col min="15630" max="15630" width="7.26953125" style="6" bestFit="1" customWidth="1"/>
    <col min="15631" max="15631" width="16.7265625" style="6" customWidth="1"/>
    <col min="15632" max="15632" width="7.26953125" style="6" bestFit="1" customWidth="1"/>
    <col min="15633" max="15633" width="16.7265625" style="6" customWidth="1"/>
    <col min="15634" max="15877" width="9" style="6"/>
    <col min="15878" max="15878" width="16.26953125" style="6" customWidth="1"/>
    <col min="15879" max="15879" width="9" style="6"/>
    <col min="15880" max="15880" width="11.36328125" style="6" customWidth="1"/>
    <col min="15881" max="15882" width="9" style="6"/>
    <col min="15883" max="15883" width="23" style="6" bestFit="1" customWidth="1"/>
    <col min="15884" max="15884" width="10" style="6" customWidth="1"/>
    <col min="15885" max="15885" width="6.26953125" style="6" bestFit="1" customWidth="1"/>
    <col min="15886" max="15886" width="7.26953125" style="6" bestFit="1" customWidth="1"/>
    <col min="15887" max="15887" width="16.7265625" style="6" customWidth="1"/>
    <col min="15888" max="15888" width="7.26953125" style="6" bestFit="1" customWidth="1"/>
    <col min="15889" max="15889" width="16.7265625" style="6" customWidth="1"/>
    <col min="15890" max="16133" width="9" style="6"/>
    <col min="16134" max="16134" width="16.26953125" style="6" customWidth="1"/>
    <col min="16135" max="16135" width="9" style="6"/>
    <col min="16136" max="16136" width="11.36328125" style="6" customWidth="1"/>
    <col min="16137" max="16138" width="9" style="6"/>
    <col min="16139" max="16139" width="23" style="6" bestFit="1" customWidth="1"/>
    <col min="16140" max="16140" width="10" style="6" customWidth="1"/>
    <col min="16141" max="16141" width="6.26953125" style="6" bestFit="1" customWidth="1"/>
    <col min="16142" max="16142" width="7.26953125" style="6" bestFit="1" customWidth="1"/>
    <col min="16143" max="16143" width="16.7265625" style="6" customWidth="1"/>
    <col min="16144" max="16144" width="7.26953125" style="6" bestFit="1" customWidth="1"/>
    <col min="16145" max="16145" width="16.7265625" style="6" customWidth="1"/>
    <col min="16146" max="16384" width="9" style="6"/>
  </cols>
  <sheetData>
    <row r="1" spans="1:26" s="17" customFormat="1" ht="23.5" customHeight="1">
      <c r="A1" s="35"/>
      <c r="B1" s="35"/>
      <c r="C1" s="35"/>
      <c r="D1" s="35"/>
      <c r="E1" s="35"/>
      <c r="F1" s="35"/>
      <c r="G1" s="35"/>
      <c r="H1" s="35"/>
      <c r="I1" s="35"/>
      <c r="J1" s="35"/>
      <c r="K1" s="35"/>
      <c r="L1" s="35"/>
      <c r="M1" s="147" t="str">
        <f>資訊清單資訊!B3 &amp;資訊清單資訊!B7 &amp;資訊清單資訊!B5</f>
        <v>石油與天然氣輸儲查核與檢測雲端平台資料類(DA)資訊資產風險評鑑</v>
      </c>
      <c r="N1" s="147"/>
      <c r="O1" s="147"/>
      <c r="P1" s="147"/>
      <c r="Q1" s="147"/>
      <c r="R1" s="147"/>
      <c r="S1" s="147"/>
      <c r="T1" s="147"/>
      <c r="U1" s="147"/>
      <c r="V1" s="147"/>
      <c r="W1" s="147"/>
      <c r="X1" s="147"/>
      <c r="Y1" s="147"/>
      <c r="Z1" s="147"/>
    </row>
    <row r="2" spans="1:26">
      <c r="M2" s="37" t="s">
        <v>9</v>
      </c>
      <c r="N2" s="109" t="str">
        <f>資訊清單資訊!B7</f>
        <v>資料類(DA)</v>
      </c>
      <c r="O2" s="110"/>
      <c r="P2" s="111"/>
      <c r="Q2" s="61"/>
      <c r="R2" s="29" t="s">
        <v>11</v>
      </c>
      <c r="S2" s="15">
        <f>IF(ISNA(VLOOKUP($N$3,ALL_LIST,16,FALSE)), "",VLOOKUP($N$3,ALL_LIST,16,FALSE))</f>
        <v>3</v>
      </c>
    </row>
    <row r="3" spans="1:26" ht="31.75" customHeight="1">
      <c r="M3" s="40" t="s">
        <v>5</v>
      </c>
      <c r="N3" s="112" t="s">
        <v>207</v>
      </c>
      <c r="O3" s="113"/>
      <c r="P3" s="114"/>
      <c r="R3" s="28" t="s">
        <v>72</v>
      </c>
      <c r="S3" s="16">
        <f>IF(ISNA(VLOOKUP($N$3,ALL_LIST,8,FALSE)), "",VLOOKUP($N$3,ALL_LIST,8,FALSE))</f>
        <v>3</v>
      </c>
    </row>
    <row r="4" spans="1:26" ht="31.75" customHeight="1">
      <c r="M4" s="38" t="s">
        <v>10</v>
      </c>
      <c r="N4" s="115" t="str">
        <f>IF(ISNA(VLOOKUP($N$3,ALL_LIST,3,FALSE)), "",VLOOKUP($N$3,ALL_LIST,3,FALSE))</f>
        <v>系統-程式原碼</v>
      </c>
      <c r="O4" s="116"/>
      <c r="P4" s="117"/>
      <c r="Q4" s="61"/>
      <c r="R4" s="28" t="s">
        <v>73</v>
      </c>
      <c r="S4" s="16">
        <f>IF(ISNA(VLOOKUP($N$3,ALL_LIST,10,FALSE)), "",VLOOKUP($N$3,ALL_LIST,10,FALSE))</f>
        <v>3</v>
      </c>
    </row>
    <row r="5" spans="1:26">
      <c r="M5" s="37" t="s">
        <v>6</v>
      </c>
      <c r="N5" s="118" t="str">
        <f>IF(ISNA(VLOOKUP($N$3,ALL_LIST,17,FALSE)), "",VLOOKUP($N$3,ALL_LIST,17,FALSE))</f>
        <v>賴斐瓔 </v>
      </c>
      <c r="O5" s="119"/>
      <c r="P5" s="120"/>
      <c r="Q5" s="61"/>
      <c r="R5" s="28" t="s">
        <v>74</v>
      </c>
      <c r="S5" s="16">
        <f>IF(ISNA(VLOOKUP($N$3,ALL_LIST,12,FALSE)), " ",VLOOKUP($N$3,ALL_LIST,12,FALSE))</f>
        <v>3</v>
      </c>
    </row>
    <row r="6" spans="1:26">
      <c r="M6" s="39" t="s">
        <v>7</v>
      </c>
      <c r="N6" s="121" t="s">
        <v>232</v>
      </c>
      <c r="O6" s="122"/>
      <c r="P6" s="123"/>
      <c r="R6" s="28" t="s">
        <v>75</v>
      </c>
      <c r="S6" s="16" t="str">
        <f>IF(ISNA(VLOOKUP($N$3,ALL_LIST,14,FALSE)), "",VLOOKUP($N$3,ALL_LIST,14,FALSE))</f>
        <v>NA</v>
      </c>
    </row>
    <row r="7" spans="1:26">
      <c r="M7" s="39" t="s">
        <v>8</v>
      </c>
      <c r="N7" s="124" t="s">
        <v>205</v>
      </c>
      <c r="O7" s="125"/>
      <c r="P7" s="126"/>
      <c r="Q7" s="61"/>
      <c r="R7" s="30" t="s">
        <v>12</v>
      </c>
      <c r="S7" s="22">
        <f>MAX(Y11:Y34)</f>
        <v>12</v>
      </c>
    </row>
    <row r="10" spans="1:26" s="18" customFormat="1" ht="16">
      <c r="A10" s="31" t="s">
        <v>13</v>
      </c>
      <c r="B10" s="31" t="s">
        <v>2</v>
      </c>
      <c r="C10" s="31" t="s">
        <v>15</v>
      </c>
      <c r="D10" s="31" t="s">
        <v>16</v>
      </c>
      <c r="E10" s="31" t="s">
        <v>3</v>
      </c>
      <c r="F10" s="31" t="s">
        <v>17</v>
      </c>
      <c r="G10" s="32" t="s">
        <v>18</v>
      </c>
      <c r="H10" s="32" t="s">
        <v>19</v>
      </c>
      <c r="I10" s="32" t="s">
        <v>20</v>
      </c>
      <c r="J10" s="32" t="s">
        <v>21</v>
      </c>
      <c r="K10" s="33" t="s">
        <v>22</v>
      </c>
      <c r="L10" s="34" t="s">
        <v>31</v>
      </c>
      <c r="M10" s="151" t="s">
        <v>23</v>
      </c>
      <c r="N10" s="152"/>
      <c r="O10" s="153"/>
      <c r="P10" s="151" t="s">
        <v>4</v>
      </c>
      <c r="Q10" s="152"/>
      <c r="R10" s="152"/>
      <c r="S10" s="153"/>
      <c r="T10" s="27" t="s">
        <v>24</v>
      </c>
      <c r="U10" s="27" t="s">
        <v>25</v>
      </c>
      <c r="V10" s="27" t="s">
        <v>26</v>
      </c>
      <c r="W10" s="27" t="s">
        <v>27</v>
      </c>
      <c r="X10" s="27" t="s">
        <v>26</v>
      </c>
      <c r="Y10" s="27" t="s">
        <v>28</v>
      </c>
      <c r="Z10" s="27" t="s">
        <v>29</v>
      </c>
    </row>
    <row r="11" spans="1:26" ht="59" customHeight="1">
      <c r="A11" s="52" t="str">
        <f>$N$3</f>
        <v>材1-1-DA-02</v>
      </c>
      <c r="B11" s="52">
        <f t="shared" ref="B11:B34" si="0">VLOOKUP($N$3,ALL_LIST,2,FALSE)</f>
        <v>0</v>
      </c>
      <c r="C11" s="52" t="str">
        <f t="shared" ref="C11:C34" si="1">VLOOKUP($N$3,ALL_LIST,3,FALSE)</f>
        <v>系統-程式原碼</v>
      </c>
      <c r="D11" s="52" t="str">
        <f t="shared" ref="D11:D34" si="2">VLOOKUP($N$3,ALL_LIST,4,FALSE)</f>
        <v>系統-程式原碼</v>
      </c>
      <c r="E11" s="52">
        <f t="shared" ref="E11:E34" si="3">VLOOKUP($N$3,ALL_LIST,6,FALSE)</f>
        <v>1</v>
      </c>
      <c r="F11" s="52" t="str">
        <f t="shared" ref="F11:F34" si="4">VLOOKUP($N$3,ALL_LIST,7,FALSE)</f>
        <v>賴斐瓔 </v>
      </c>
      <c r="G11" s="52">
        <f t="shared" ref="G11:G34" si="5">VLOOKUP($N$3,ALL_LIST,8,FALSE)</f>
        <v>3</v>
      </c>
      <c r="H11" s="52">
        <f t="shared" ref="H11:H34" si="6">VLOOKUP($N$3,ALL_LIST,10,FALSE)</f>
        <v>3</v>
      </c>
      <c r="I11" s="52">
        <f t="shared" ref="I11:I34" si="7">VLOOKUP($N$3,ALL_LIST,12,FALSE)</f>
        <v>3</v>
      </c>
      <c r="J11" s="52" t="str">
        <f t="shared" ref="J11:J34" si="8">VLOOKUP($N$3,ALL_LIST,14,FALSE)</f>
        <v>NA</v>
      </c>
      <c r="K11" s="53">
        <f t="shared" ref="K11:K34" si="9">VLOOKUP($N$3,ALL_LIST,16,FALSE)</f>
        <v>3</v>
      </c>
      <c r="L11" s="53">
        <f>$S$7</f>
        <v>12</v>
      </c>
      <c r="M11" s="127" t="s">
        <v>114</v>
      </c>
      <c r="N11" s="128" t="s">
        <v>77</v>
      </c>
      <c r="O11" s="129" t="s">
        <v>77</v>
      </c>
      <c r="P11" s="130" t="s">
        <v>113</v>
      </c>
      <c r="Q11" s="131"/>
      <c r="R11" s="131"/>
      <c r="S11" s="131"/>
      <c r="T11" s="54" t="s">
        <v>161</v>
      </c>
      <c r="U11" s="54">
        <v>2</v>
      </c>
      <c r="V11" s="196" t="s">
        <v>220</v>
      </c>
      <c r="W11" s="54">
        <v>2</v>
      </c>
      <c r="X11" s="55"/>
      <c r="Y11" s="56">
        <f>IF((T11="N"),"不適用",IF(COUNTA(U11,W11)&lt;2,"評鑑中",$S$2*U11*W11))</f>
        <v>12</v>
      </c>
      <c r="Z11" s="49"/>
    </row>
    <row r="12" spans="1:26" ht="62">
      <c r="A12" s="52" t="str">
        <f t="shared" ref="A12:A34" si="10">$N$3</f>
        <v>材1-1-DA-02</v>
      </c>
      <c r="B12" s="52">
        <f t="shared" si="0"/>
        <v>0</v>
      </c>
      <c r="C12" s="52" t="str">
        <f t="shared" si="1"/>
        <v>系統-程式原碼</v>
      </c>
      <c r="D12" s="52" t="str">
        <f t="shared" si="2"/>
        <v>系統-程式原碼</v>
      </c>
      <c r="E12" s="52">
        <f t="shared" si="3"/>
        <v>1</v>
      </c>
      <c r="F12" s="52" t="str">
        <f t="shared" si="4"/>
        <v>賴斐瓔 </v>
      </c>
      <c r="G12" s="52">
        <f t="shared" si="5"/>
        <v>3</v>
      </c>
      <c r="H12" s="52">
        <f t="shared" si="6"/>
        <v>3</v>
      </c>
      <c r="I12" s="52">
        <f t="shared" si="7"/>
        <v>3</v>
      </c>
      <c r="J12" s="52" t="str">
        <f t="shared" si="8"/>
        <v>NA</v>
      </c>
      <c r="K12" s="53">
        <f t="shared" si="9"/>
        <v>3</v>
      </c>
      <c r="L12" s="53">
        <f>$S$7</f>
        <v>12</v>
      </c>
      <c r="M12" s="132" t="s">
        <v>114</v>
      </c>
      <c r="N12" s="133"/>
      <c r="O12" s="134"/>
      <c r="P12" s="135" t="s">
        <v>115</v>
      </c>
      <c r="Q12" s="136"/>
      <c r="R12" s="136"/>
      <c r="S12" s="136"/>
      <c r="T12" s="54" t="s">
        <v>161</v>
      </c>
      <c r="U12" s="54">
        <v>1</v>
      </c>
      <c r="V12" s="197" t="s">
        <v>221</v>
      </c>
      <c r="W12" s="54">
        <v>2</v>
      </c>
      <c r="X12" s="55"/>
      <c r="Y12" s="56">
        <f t="shared" ref="Y12:Y34" si="11">IF((T12="N"),"不適用",IF(COUNTA(U12,W12)&lt;2,"評鑑中",$S$2*U12*W12))</f>
        <v>6</v>
      </c>
      <c r="Z12" s="49"/>
    </row>
    <row r="13" spans="1:26" ht="46.5">
      <c r="A13" s="52" t="str">
        <f t="shared" si="10"/>
        <v>材1-1-DA-02</v>
      </c>
      <c r="B13" s="52">
        <f t="shared" si="0"/>
        <v>0</v>
      </c>
      <c r="C13" s="52" t="str">
        <f t="shared" si="1"/>
        <v>系統-程式原碼</v>
      </c>
      <c r="D13" s="52" t="str">
        <f t="shared" si="2"/>
        <v>系統-程式原碼</v>
      </c>
      <c r="E13" s="52">
        <f t="shared" si="3"/>
        <v>1</v>
      </c>
      <c r="F13" s="52" t="str">
        <f t="shared" si="4"/>
        <v>賴斐瓔 </v>
      </c>
      <c r="G13" s="52">
        <f t="shared" si="5"/>
        <v>3</v>
      </c>
      <c r="H13" s="52">
        <f t="shared" si="6"/>
        <v>3</v>
      </c>
      <c r="I13" s="52">
        <f t="shared" si="7"/>
        <v>3</v>
      </c>
      <c r="J13" s="52" t="str">
        <f t="shared" si="8"/>
        <v>NA</v>
      </c>
      <c r="K13" s="53">
        <f t="shared" si="9"/>
        <v>3</v>
      </c>
      <c r="L13" s="53">
        <f>$S$7</f>
        <v>12</v>
      </c>
      <c r="M13" s="132" t="s">
        <v>114</v>
      </c>
      <c r="N13" s="133"/>
      <c r="O13" s="134"/>
      <c r="P13" s="135" t="s">
        <v>116</v>
      </c>
      <c r="Q13" s="136"/>
      <c r="R13" s="136"/>
      <c r="S13" s="136"/>
      <c r="T13" s="54" t="s">
        <v>161</v>
      </c>
      <c r="U13" s="54">
        <v>1</v>
      </c>
      <c r="V13" s="196" t="s">
        <v>222</v>
      </c>
      <c r="W13" s="54">
        <v>2</v>
      </c>
      <c r="X13" s="55"/>
      <c r="Y13" s="56">
        <f t="shared" si="11"/>
        <v>6</v>
      </c>
      <c r="Z13" s="49"/>
    </row>
    <row r="14" spans="1:26" ht="33" customHeight="1">
      <c r="A14" s="52" t="str">
        <f t="shared" si="10"/>
        <v>材1-1-DA-02</v>
      </c>
      <c r="B14" s="52">
        <f t="shared" si="0"/>
        <v>0</v>
      </c>
      <c r="C14" s="52" t="str">
        <f t="shared" si="1"/>
        <v>系統-程式原碼</v>
      </c>
      <c r="D14" s="52" t="str">
        <f t="shared" si="2"/>
        <v>系統-程式原碼</v>
      </c>
      <c r="E14" s="52">
        <f t="shared" si="3"/>
        <v>1</v>
      </c>
      <c r="F14" s="52" t="str">
        <f t="shared" si="4"/>
        <v>賴斐瓔 </v>
      </c>
      <c r="G14" s="52">
        <f t="shared" si="5"/>
        <v>3</v>
      </c>
      <c r="H14" s="52">
        <f t="shared" si="6"/>
        <v>3</v>
      </c>
      <c r="I14" s="52">
        <f t="shared" si="7"/>
        <v>3</v>
      </c>
      <c r="J14" s="52" t="str">
        <f t="shared" si="8"/>
        <v>NA</v>
      </c>
      <c r="K14" s="53">
        <f t="shared" si="9"/>
        <v>3</v>
      </c>
      <c r="L14" s="53">
        <f>$S$7</f>
        <v>12</v>
      </c>
      <c r="M14" s="148" t="s">
        <v>119</v>
      </c>
      <c r="N14" s="149" t="s">
        <v>117</v>
      </c>
      <c r="O14" s="150" t="s">
        <v>117</v>
      </c>
      <c r="P14" s="135" t="s">
        <v>118</v>
      </c>
      <c r="Q14" s="136"/>
      <c r="R14" s="136"/>
      <c r="S14" s="136"/>
      <c r="T14" s="54" t="s">
        <v>161</v>
      </c>
      <c r="U14" s="54">
        <v>1</v>
      </c>
      <c r="W14" s="54">
        <v>2</v>
      </c>
      <c r="X14" s="55"/>
      <c r="Y14" s="56">
        <f t="shared" si="11"/>
        <v>6</v>
      </c>
      <c r="Z14" s="49"/>
    </row>
    <row r="15" spans="1:26">
      <c r="A15" s="52" t="str">
        <f t="shared" si="10"/>
        <v>材1-1-DA-02</v>
      </c>
      <c r="B15" s="52">
        <f t="shared" si="0"/>
        <v>0</v>
      </c>
      <c r="C15" s="52" t="str">
        <f t="shared" si="1"/>
        <v>系統-程式原碼</v>
      </c>
      <c r="D15" s="52" t="str">
        <f t="shared" si="2"/>
        <v>系統-程式原碼</v>
      </c>
      <c r="E15" s="52">
        <f t="shared" si="3"/>
        <v>1</v>
      </c>
      <c r="F15" s="52" t="str">
        <f t="shared" si="4"/>
        <v>賴斐瓔 </v>
      </c>
      <c r="G15" s="52">
        <f t="shared" si="5"/>
        <v>3</v>
      </c>
      <c r="H15" s="52">
        <f t="shared" si="6"/>
        <v>3</v>
      </c>
      <c r="I15" s="52">
        <f t="shared" si="7"/>
        <v>3</v>
      </c>
      <c r="J15" s="52" t="str">
        <f t="shared" si="8"/>
        <v>NA</v>
      </c>
      <c r="K15" s="53">
        <f t="shared" si="9"/>
        <v>3</v>
      </c>
      <c r="L15" s="53">
        <f>$S$7</f>
        <v>12</v>
      </c>
      <c r="M15" s="137" t="s">
        <v>119</v>
      </c>
      <c r="N15" s="138" t="s">
        <v>117</v>
      </c>
      <c r="O15" s="139" t="s">
        <v>117</v>
      </c>
      <c r="P15" s="130" t="s">
        <v>120</v>
      </c>
      <c r="Q15" s="131"/>
      <c r="R15" s="131"/>
      <c r="S15" s="131"/>
      <c r="T15" s="54" t="s">
        <v>161</v>
      </c>
      <c r="U15" s="54">
        <v>1</v>
      </c>
      <c r="V15" s="49"/>
      <c r="W15" s="54">
        <v>2</v>
      </c>
      <c r="X15" s="55"/>
      <c r="Y15" s="56">
        <f t="shared" si="11"/>
        <v>6</v>
      </c>
      <c r="Z15" s="49"/>
    </row>
    <row r="16" spans="1:26">
      <c r="A16" s="52"/>
      <c r="B16" s="52"/>
      <c r="C16" s="52"/>
      <c r="D16" s="52"/>
      <c r="E16" s="52"/>
      <c r="F16" s="52"/>
      <c r="G16" s="52"/>
      <c r="H16" s="52"/>
      <c r="I16" s="52"/>
      <c r="J16" s="52"/>
      <c r="K16" s="53"/>
      <c r="L16" s="53"/>
      <c r="M16" s="140" t="s">
        <v>119</v>
      </c>
      <c r="N16" s="141" t="s">
        <v>117</v>
      </c>
      <c r="O16" s="142" t="s">
        <v>117</v>
      </c>
      <c r="P16" s="143" t="s">
        <v>121</v>
      </c>
      <c r="Q16" s="143"/>
      <c r="R16" s="143"/>
      <c r="S16" s="130"/>
      <c r="T16" s="54" t="s">
        <v>161</v>
      </c>
      <c r="U16" s="54">
        <v>1</v>
      </c>
      <c r="V16" s="49" t="s">
        <v>167</v>
      </c>
      <c r="W16" s="54">
        <v>2</v>
      </c>
      <c r="X16" s="55"/>
      <c r="Y16" s="56">
        <f t="shared" si="11"/>
        <v>6</v>
      </c>
      <c r="Z16" s="49"/>
    </row>
    <row r="17" spans="1:26" ht="34.65" customHeight="1">
      <c r="A17" s="52" t="str">
        <f t="shared" si="10"/>
        <v>材1-1-DA-02</v>
      </c>
      <c r="B17" s="52">
        <f t="shared" si="0"/>
        <v>0</v>
      </c>
      <c r="C17" s="52" t="str">
        <f t="shared" si="1"/>
        <v>系統-程式原碼</v>
      </c>
      <c r="D17" s="52" t="str">
        <f t="shared" si="2"/>
        <v>系統-程式原碼</v>
      </c>
      <c r="E17" s="52">
        <f t="shared" si="3"/>
        <v>1</v>
      </c>
      <c r="F17" s="52" t="str">
        <f t="shared" si="4"/>
        <v>賴斐瓔 </v>
      </c>
      <c r="G17" s="52">
        <f t="shared" si="5"/>
        <v>3</v>
      </c>
      <c r="H17" s="52">
        <f t="shared" si="6"/>
        <v>3</v>
      </c>
      <c r="I17" s="52">
        <f t="shared" si="7"/>
        <v>3</v>
      </c>
      <c r="J17" s="52" t="str">
        <f t="shared" si="8"/>
        <v>NA</v>
      </c>
      <c r="K17" s="53">
        <f t="shared" si="9"/>
        <v>3</v>
      </c>
      <c r="L17" s="53">
        <f t="shared" ref="L17:L28" si="12">$S$7</f>
        <v>12</v>
      </c>
      <c r="M17" s="144" t="s">
        <v>149</v>
      </c>
      <c r="N17" s="145" t="s">
        <v>122</v>
      </c>
      <c r="O17" s="146" t="s">
        <v>122</v>
      </c>
      <c r="P17" s="130" t="s">
        <v>123</v>
      </c>
      <c r="Q17" s="131"/>
      <c r="R17" s="131"/>
      <c r="S17" s="131"/>
      <c r="T17" s="54" t="s">
        <v>161</v>
      </c>
      <c r="U17" s="54">
        <v>1</v>
      </c>
      <c r="V17" s="49" t="s">
        <v>167</v>
      </c>
      <c r="W17" s="54">
        <v>2</v>
      </c>
      <c r="X17" s="55"/>
      <c r="Y17" s="56">
        <f t="shared" si="11"/>
        <v>6</v>
      </c>
      <c r="Z17" s="49"/>
    </row>
    <row r="18" spans="1:26" ht="37.75" customHeight="1">
      <c r="A18" s="52" t="str">
        <f t="shared" si="10"/>
        <v>材1-1-DA-02</v>
      </c>
      <c r="B18" s="52">
        <f t="shared" si="0"/>
        <v>0</v>
      </c>
      <c r="C18" s="52" t="str">
        <f t="shared" si="1"/>
        <v>系統-程式原碼</v>
      </c>
      <c r="D18" s="52" t="str">
        <f t="shared" si="2"/>
        <v>系統-程式原碼</v>
      </c>
      <c r="E18" s="52">
        <f t="shared" si="3"/>
        <v>1</v>
      </c>
      <c r="F18" s="52" t="str">
        <f t="shared" si="4"/>
        <v>賴斐瓔 </v>
      </c>
      <c r="G18" s="52">
        <f t="shared" si="5"/>
        <v>3</v>
      </c>
      <c r="H18" s="52">
        <f t="shared" si="6"/>
        <v>3</v>
      </c>
      <c r="I18" s="52">
        <f t="shared" si="7"/>
        <v>3</v>
      </c>
      <c r="J18" s="52" t="str">
        <f t="shared" si="8"/>
        <v>NA</v>
      </c>
      <c r="K18" s="53">
        <f t="shared" si="9"/>
        <v>3</v>
      </c>
      <c r="L18" s="53">
        <f t="shared" si="12"/>
        <v>12</v>
      </c>
      <c r="M18" s="148" t="s">
        <v>150</v>
      </c>
      <c r="N18" s="149" t="s">
        <v>124</v>
      </c>
      <c r="O18" s="150" t="s">
        <v>124</v>
      </c>
      <c r="P18" s="154" t="s">
        <v>125</v>
      </c>
      <c r="Q18" s="155"/>
      <c r="R18" s="155"/>
      <c r="S18" s="155"/>
      <c r="T18" s="54" t="s">
        <v>161</v>
      </c>
      <c r="U18" s="54">
        <v>1</v>
      </c>
      <c r="V18" s="197" t="s">
        <v>168</v>
      </c>
      <c r="W18" s="54">
        <v>2</v>
      </c>
      <c r="X18" s="55"/>
      <c r="Y18" s="56">
        <f t="shared" si="11"/>
        <v>6</v>
      </c>
      <c r="Z18" s="49"/>
    </row>
    <row r="19" spans="1:26">
      <c r="A19" s="52" t="str">
        <f t="shared" si="10"/>
        <v>材1-1-DA-02</v>
      </c>
      <c r="B19" s="52">
        <f t="shared" si="0"/>
        <v>0</v>
      </c>
      <c r="C19" s="52" t="str">
        <f t="shared" si="1"/>
        <v>系統-程式原碼</v>
      </c>
      <c r="D19" s="52" t="str">
        <f t="shared" si="2"/>
        <v>系統-程式原碼</v>
      </c>
      <c r="E19" s="52">
        <f t="shared" si="3"/>
        <v>1</v>
      </c>
      <c r="F19" s="52" t="str">
        <f t="shared" si="4"/>
        <v>賴斐瓔 </v>
      </c>
      <c r="G19" s="52">
        <f t="shared" si="5"/>
        <v>3</v>
      </c>
      <c r="H19" s="52">
        <f t="shared" si="6"/>
        <v>3</v>
      </c>
      <c r="I19" s="52">
        <f t="shared" si="7"/>
        <v>3</v>
      </c>
      <c r="J19" s="52" t="str">
        <f t="shared" si="8"/>
        <v>NA</v>
      </c>
      <c r="K19" s="53">
        <f t="shared" si="9"/>
        <v>3</v>
      </c>
      <c r="L19" s="53">
        <f t="shared" si="12"/>
        <v>12</v>
      </c>
      <c r="M19" s="140" t="s">
        <v>124</v>
      </c>
      <c r="N19" s="141" t="s">
        <v>124</v>
      </c>
      <c r="O19" s="142" t="s">
        <v>124</v>
      </c>
      <c r="P19" s="135" t="s">
        <v>126</v>
      </c>
      <c r="Q19" s="136"/>
      <c r="R19" s="136"/>
      <c r="S19" s="136"/>
      <c r="T19" s="54" t="s">
        <v>161</v>
      </c>
      <c r="U19" s="54">
        <v>1</v>
      </c>
      <c r="V19" s="49"/>
      <c r="W19" s="54">
        <v>2</v>
      </c>
      <c r="X19" s="55"/>
      <c r="Y19" s="56">
        <f t="shared" si="11"/>
        <v>6</v>
      </c>
      <c r="Z19" s="49"/>
    </row>
    <row r="20" spans="1:26">
      <c r="A20" s="52" t="str">
        <f t="shared" si="10"/>
        <v>材1-1-DA-02</v>
      </c>
      <c r="B20" s="52">
        <f t="shared" si="0"/>
        <v>0</v>
      </c>
      <c r="C20" s="52" t="str">
        <f t="shared" si="1"/>
        <v>系統-程式原碼</v>
      </c>
      <c r="D20" s="52" t="str">
        <f t="shared" si="2"/>
        <v>系統-程式原碼</v>
      </c>
      <c r="E20" s="52">
        <f t="shared" si="3"/>
        <v>1</v>
      </c>
      <c r="F20" s="52" t="str">
        <f t="shared" si="4"/>
        <v>賴斐瓔 </v>
      </c>
      <c r="G20" s="52">
        <f t="shared" si="5"/>
        <v>3</v>
      </c>
      <c r="H20" s="52">
        <f t="shared" si="6"/>
        <v>3</v>
      </c>
      <c r="I20" s="52">
        <f t="shared" si="7"/>
        <v>3</v>
      </c>
      <c r="J20" s="52" t="str">
        <f t="shared" si="8"/>
        <v>NA</v>
      </c>
      <c r="K20" s="53">
        <f t="shared" si="9"/>
        <v>3</v>
      </c>
      <c r="L20" s="53">
        <f t="shared" si="12"/>
        <v>12</v>
      </c>
      <c r="M20" s="156" t="s">
        <v>92</v>
      </c>
      <c r="N20" s="157" t="s">
        <v>127</v>
      </c>
      <c r="O20" s="158" t="s">
        <v>127</v>
      </c>
      <c r="P20" s="130" t="s">
        <v>128</v>
      </c>
      <c r="Q20" s="131"/>
      <c r="R20" s="131"/>
      <c r="S20" s="131"/>
      <c r="T20" s="54" t="s">
        <v>161</v>
      </c>
      <c r="U20" s="54">
        <v>1</v>
      </c>
      <c r="V20" s="55" t="s">
        <v>169</v>
      </c>
      <c r="W20" s="54">
        <v>2</v>
      </c>
      <c r="X20" s="55"/>
      <c r="Y20" s="56">
        <f t="shared" si="11"/>
        <v>6</v>
      </c>
      <c r="Z20" s="49"/>
    </row>
    <row r="21" spans="1:26" ht="31">
      <c r="A21" s="52" t="str">
        <f t="shared" si="10"/>
        <v>材1-1-DA-02</v>
      </c>
      <c r="B21" s="52">
        <f t="shared" si="0"/>
        <v>0</v>
      </c>
      <c r="C21" s="52" t="str">
        <f t="shared" si="1"/>
        <v>系統-程式原碼</v>
      </c>
      <c r="D21" s="52" t="str">
        <f t="shared" si="2"/>
        <v>系統-程式原碼</v>
      </c>
      <c r="E21" s="52">
        <f t="shared" si="3"/>
        <v>1</v>
      </c>
      <c r="F21" s="52" t="str">
        <f t="shared" si="4"/>
        <v>賴斐瓔 </v>
      </c>
      <c r="G21" s="52">
        <f t="shared" si="5"/>
        <v>3</v>
      </c>
      <c r="H21" s="52">
        <f t="shared" si="6"/>
        <v>3</v>
      </c>
      <c r="I21" s="52">
        <f t="shared" si="7"/>
        <v>3</v>
      </c>
      <c r="J21" s="52" t="str">
        <f t="shared" si="8"/>
        <v>NA</v>
      </c>
      <c r="K21" s="53">
        <f t="shared" si="9"/>
        <v>3</v>
      </c>
      <c r="L21" s="53">
        <f t="shared" si="12"/>
        <v>12</v>
      </c>
      <c r="M21" s="159" t="s">
        <v>151</v>
      </c>
      <c r="N21" s="160" t="s">
        <v>129</v>
      </c>
      <c r="O21" s="161" t="s">
        <v>129</v>
      </c>
      <c r="P21" s="130" t="s">
        <v>130</v>
      </c>
      <c r="Q21" s="131"/>
      <c r="R21" s="131"/>
      <c r="S21" s="131"/>
      <c r="T21" s="54" t="s">
        <v>161</v>
      </c>
      <c r="U21" s="54">
        <v>1</v>
      </c>
      <c r="V21" s="196" t="s">
        <v>223</v>
      </c>
      <c r="W21" s="54">
        <v>1</v>
      </c>
      <c r="X21" s="55"/>
      <c r="Y21" s="56">
        <f t="shared" si="11"/>
        <v>3</v>
      </c>
      <c r="Z21" s="49"/>
    </row>
    <row r="22" spans="1:26">
      <c r="A22" s="52" t="str">
        <f t="shared" si="10"/>
        <v>材1-1-DA-02</v>
      </c>
      <c r="B22" s="52">
        <f t="shared" si="0"/>
        <v>0</v>
      </c>
      <c r="C22" s="52" t="str">
        <f t="shared" si="1"/>
        <v>系統-程式原碼</v>
      </c>
      <c r="D22" s="52" t="str">
        <f t="shared" si="2"/>
        <v>系統-程式原碼</v>
      </c>
      <c r="E22" s="52">
        <f t="shared" si="3"/>
        <v>1</v>
      </c>
      <c r="F22" s="52" t="str">
        <f t="shared" si="4"/>
        <v>賴斐瓔 </v>
      </c>
      <c r="G22" s="52">
        <f t="shared" si="5"/>
        <v>3</v>
      </c>
      <c r="H22" s="52">
        <f t="shared" si="6"/>
        <v>3</v>
      </c>
      <c r="I22" s="52">
        <f t="shared" si="7"/>
        <v>3</v>
      </c>
      <c r="J22" s="52" t="str">
        <f t="shared" si="8"/>
        <v>NA</v>
      </c>
      <c r="K22" s="53">
        <f t="shared" si="9"/>
        <v>3</v>
      </c>
      <c r="L22" s="53">
        <f t="shared" si="12"/>
        <v>12</v>
      </c>
      <c r="M22" s="162" t="s">
        <v>152</v>
      </c>
      <c r="N22" s="163"/>
      <c r="O22" s="164"/>
      <c r="P22" s="154" t="s">
        <v>131</v>
      </c>
      <c r="Q22" s="155"/>
      <c r="R22" s="155"/>
      <c r="S22" s="155"/>
      <c r="T22" s="54" t="s">
        <v>161</v>
      </c>
      <c r="U22" s="54">
        <v>1</v>
      </c>
      <c r="V22" s="198" t="s">
        <v>229</v>
      </c>
      <c r="W22" s="54">
        <v>1</v>
      </c>
      <c r="X22" s="57"/>
      <c r="Y22" s="56">
        <f t="shared" si="11"/>
        <v>3</v>
      </c>
      <c r="Z22" s="21"/>
    </row>
    <row r="23" spans="1:26" ht="46.5">
      <c r="A23" s="52" t="str">
        <f t="shared" si="10"/>
        <v>材1-1-DA-02</v>
      </c>
      <c r="B23" s="52">
        <f t="shared" si="0"/>
        <v>0</v>
      </c>
      <c r="C23" s="52" t="str">
        <f t="shared" si="1"/>
        <v>系統-程式原碼</v>
      </c>
      <c r="D23" s="52" t="str">
        <f t="shared" si="2"/>
        <v>系統-程式原碼</v>
      </c>
      <c r="E23" s="52">
        <f t="shared" si="3"/>
        <v>1</v>
      </c>
      <c r="F23" s="52" t="str">
        <f t="shared" si="4"/>
        <v>賴斐瓔 </v>
      </c>
      <c r="G23" s="52">
        <f t="shared" si="5"/>
        <v>3</v>
      </c>
      <c r="H23" s="52">
        <f t="shared" si="6"/>
        <v>3</v>
      </c>
      <c r="I23" s="52">
        <f t="shared" si="7"/>
        <v>3</v>
      </c>
      <c r="J23" s="52" t="str">
        <f t="shared" si="8"/>
        <v>NA</v>
      </c>
      <c r="K23" s="53">
        <f t="shared" si="9"/>
        <v>3</v>
      </c>
      <c r="L23" s="53">
        <f t="shared" si="12"/>
        <v>12</v>
      </c>
      <c r="M23" s="162" t="s">
        <v>153</v>
      </c>
      <c r="N23" s="163"/>
      <c r="O23" s="164"/>
      <c r="P23" s="130" t="s">
        <v>132</v>
      </c>
      <c r="Q23" s="131"/>
      <c r="R23" s="131"/>
      <c r="S23" s="131"/>
      <c r="T23" s="54" t="s">
        <v>161</v>
      </c>
      <c r="U23" s="54">
        <v>1</v>
      </c>
      <c r="V23" s="21" t="s">
        <v>170</v>
      </c>
      <c r="W23" s="54">
        <v>1</v>
      </c>
      <c r="X23" s="57"/>
      <c r="Y23" s="56">
        <f t="shared" si="11"/>
        <v>3</v>
      </c>
      <c r="Z23" s="21"/>
    </row>
    <row r="24" spans="1:26" ht="46.5">
      <c r="A24" s="52" t="str">
        <f t="shared" si="10"/>
        <v>材1-1-DA-02</v>
      </c>
      <c r="B24" s="52">
        <f t="shared" si="0"/>
        <v>0</v>
      </c>
      <c r="C24" s="52" t="str">
        <f t="shared" si="1"/>
        <v>系統-程式原碼</v>
      </c>
      <c r="D24" s="52" t="str">
        <f t="shared" si="2"/>
        <v>系統-程式原碼</v>
      </c>
      <c r="E24" s="52">
        <f t="shared" si="3"/>
        <v>1</v>
      </c>
      <c r="F24" s="52" t="str">
        <f t="shared" si="4"/>
        <v>賴斐瓔 </v>
      </c>
      <c r="G24" s="52">
        <f t="shared" si="5"/>
        <v>3</v>
      </c>
      <c r="H24" s="52">
        <f t="shared" si="6"/>
        <v>3</v>
      </c>
      <c r="I24" s="52">
        <f t="shared" si="7"/>
        <v>3</v>
      </c>
      <c r="J24" s="52" t="str">
        <f t="shared" si="8"/>
        <v>NA</v>
      </c>
      <c r="K24" s="53">
        <f t="shared" si="9"/>
        <v>3</v>
      </c>
      <c r="L24" s="53">
        <f t="shared" si="12"/>
        <v>12</v>
      </c>
      <c r="M24" s="162" t="s">
        <v>154</v>
      </c>
      <c r="N24" s="163"/>
      <c r="O24" s="164"/>
      <c r="P24" s="130" t="s">
        <v>133</v>
      </c>
      <c r="Q24" s="131"/>
      <c r="R24" s="131"/>
      <c r="S24" s="131"/>
      <c r="T24" s="54" t="s">
        <v>161</v>
      </c>
      <c r="U24" s="54">
        <v>1</v>
      </c>
      <c r="V24" s="21" t="s">
        <v>225</v>
      </c>
      <c r="W24" s="54">
        <v>1</v>
      </c>
      <c r="X24" s="21"/>
      <c r="Y24" s="56">
        <f t="shared" si="11"/>
        <v>3</v>
      </c>
      <c r="Z24" s="21"/>
    </row>
    <row r="25" spans="1:26">
      <c r="A25" s="52" t="str">
        <f t="shared" si="10"/>
        <v>材1-1-DA-02</v>
      </c>
      <c r="B25" s="52">
        <f t="shared" si="0"/>
        <v>0</v>
      </c>
      <c r="C25" s="52" t="str">
        <f t="shared" si="1"/>
        <v>系統-程式原碼</v>
      </c>
      <c r="D25" s="52" t="str">
        <f t="shared" si="2"/>
        <v>系統-程式原碼</v>
      </c>
      <c r="E25" s="52">
        <f t="shared" si="3"/>
        <v>1</v>
      </c>
      <c r="F25" s="52" t="str">
        <f t="shared" si="4"/>
        <v>賴斐瓔 </v>
      </c>
      <c r="G25" s="52">
        <f t="shared" si="5"/>
        <v>3</v>
      </c>
      <c r="H25" s="52">
        <f t="shared" si="6"/>
        <v>3</v>
      </c>
      <c r="I25" s="52">
        <f t="shared" si="7"/>
        <v>3</v>
      </c>
      <c r="J25" s="52" t="str">
        <f t="shared" si="8"/>
        <v>NA</v>
      </c>
      <c r="K25" s="53">
        <f t="shared" si="9"/>
        <v>3</v>
      </c>
      <c r="L25" s="53">
        <f t="shared" si="12"/>
        <v>12</v>
      </c>
      <c r="M25" s="162" t="s">
        <v>155</v>
      </c>
      <c r="N25" s="163"/>
      <c r="O25" s="164"/>
      <c r="P25" s="130" t="s">
        <v>134</v>
      </c>
      <c r="Q25" s="131"/>
      <c r="R25" s="131"/>
      <c r="S25" s="131"/>
      <c r="T25" s="54" t="s">
        <v>161</v>
      </c>
      <c r="U25" s="54">
        <v>1</v>
      </c>
      <c r="V25" s="21" t="s">
        <v>171</v>
      </c>
      <c r="W25" s="54">
        <v>2</v>
      </c>
      <c r="X25" s="55"/>
      <c r="Y25" s="56">
        <f t="shared" si="11"/>
        <v>6</v>
      </c>
      <c r="Z25" s="21"/>
    </row>
    <row r="26" spans="1:26" ht="31">
      <c r="A26" s="52" t="str">
        <f t="shared" si="10"/>
        <v>材1-1-DA-02</v>
      </c>
      <c r="B26" s="52">
        <f t="shared" si="0"/>
        <v>0</v>
      </c>
      <c r="C26" s="52" t="str">
        <f t="shared" si="1"/>
        <v>系統-程式原碼</v>
      </c>
      <c r="D26" s="52" t="str">
        <f t="shared" si="2"/>
        <v>系統-程式原碼</v>
      </c>
      <c r="E26" s="52">
        <f t="shared" si="3"/>
        <v>1</v>
      </c>
      <c r="F26" s="52" t="str">
        <f t="shared" si="4"/>
        <v>賴斐瓔 </v>
      </c>
      <c r="G26" s="52">
        <f t="shared" si="5"/>
        <v>3</v>
      </c>
      <c r="H26" s="52">
        <f t="shared" si="6"/>
        <v>3</v>
      </c>
      <c r="I26" s="52">
        <f t="shared" si="7"/>
        <v>3</v>
      </c>
      <c r="J26" s="52" t="str">
        <f t="shared" si="8"/>
        <v>NA</v>
      </c>
      <c r="K26" s="53">
        <f t="shared" si="9"/>
        <v>3</v>
      </c>
      <c r="L26" s="53">
        <f t="shared" si="12"/>
        <v>12</v>
      </c>
      <c r="M26" s="165" t="s">
        <v>135</v>
      </c>
      <c r="N26" s="166"/>
      <c r="O26" s="167"/>
      <c r="P26" s="168" t="s">
        <v>136</v>
      </c>
      <c r="Q26" s="169"/>
      <c r="R26" s="169"/>
      <c r="S26" s="169"/>
      <c r="T26" s="54" t="s">
        <v>161</v>
      </c>
      <c r="U26" s="54">
        <v>1</v>
      </c>
      <c r="V26" s="21" t="s">
        <v>172</v>
      </c>
      <c r="W26" s="54">
        <v>2</v>
      </c>
      <c r="X26" s="55"/>
      <c r="Y26" s="56">
        <f t="shared" si="11"/>
        <v>6</v>
      </c>
      <c r="Z26" s="21"/>
    </row>
    <row r="27" spans="1:26">
      <c r="A27" s="52" t="str">
        <f t="shared" si="10"/>
        <v>材1-1-DA-02</v>
      </c>
      <c r="B27" s="52">
        <f t="shared" si="0"/>
        <v>0</v>
      </c>
      <c r="C27" s="52" t="str">
        <f t="shared" si="1"/>
        <v>系統-程式原碼</v>
      </c>
      <c r="D27" s="52" t="str">
        <f t="shared" si="2"/>
        <v>系統-程式原碼</v>
      </c>
      <c r="E27" s="52">
        <f t="shared" si="3"/>
        <v>1</v>
      </c>
      <c r="F27" s="52" t="str">
        <f t="shared" si="4"/>
        <v>賴斐瓔 </v>
      </c>
      <c r="G27" s="52">
        <f t="shared" si="5"/>
        <v>3</v>
      </c>
      <c r="H27" s="52">
        <f t="shared" si="6"/>
        <v>3</v>
      </c>
      <c r="I27" s="52">
        <f t="shared" si="7"/>
        <v>3</v>
      </c>
      <c r="J27" s="52" t="str">
        <f t="shared" si="8"/>
        <v>NA</v>
      </c>
      <c r="K27" s="53">
        <f t="shared" si="9"/>
        <v>3</v>
      </c>
      <c r="L27" s="53">
        <f t="shared" si="12"/>
        <v>12</v>
      </c>
      <c r="M27" s="170" t="s">
        <v>138</v>
      </c>
      <c r="N27" s="171"/>
      <c r="O27" s="172"/>
      <c r="P27" s="150" t="s">
        <v>137</v>
      </c>
      <c r="Q27" s="173"/>
      <c r="R27" s="173"/>
      <c r="S27" s="173"/>
      <c r="T27" s="54" t="s">
        <v>160</v>
      </c>
      <c r="U27" s="64"/>
      <c r="V27" s="65"/>
      <c r="W27" s="64"/>
      <c r="X27" s="65"/>
      <c r="Y27" s="59" t="str">
        <f t="shared" si="11"/>
        <v>不適用</v>
      </c>
      <c r="Z27" s="58"/>
    </row>
    <row r="28" spans="1:26">
      <c r="A28" s="52" t="str">
        <f t="shared" si="10"/>
        <v>材1-1-DA-02</v>
      </c>
      <c r="B28" s="52">
        <f t="shared" si="0"/>
        <v>0</v>
      </c>
      <c r="C28" s="52" t="str">
        <f t="shared" si="1"/>
        <v>系統-程式原碼</v>
      </c>
      <c r="D28" s="52" t="str">
        <f t="shared" si="2"/>
        <v>系統-程式原碼</v>
      </c>
      <c r="E28" s="52">
        <f t="shared" si="3"/>
        <v>1</v>
      </c>
      <c r="F28" s="52" t="str">
        <f t="shared" si="4"/>
        <v>賴斐瓔 </v>
      </c>
      <c r="G28" s="52">
        <f t="shared" si="5"/>
        <v>3</v>
      </c>
      <c r="H28" s="52">
        <f t="shared" si="6"/>
        <v>3</v>
      </c>
      <c r="I28" s="52">
        <f t="shared" si="7"/>
        <v>3</v>
      </c>
      <c r="J28" s="52" t="str">
        <f t="shared" si="8"/>
        <v>NA</v>
      </c>
      <c r="K28" s="53">
        <f t="shared" si="9"/>
        <v>3</v>
      </c>
      <c r="L28" s="53">
        <f t="shared" si="12"/>
        <v>12</v>
      </c>
      <c r="M28" s="165" t="s">
        <v>138</v>
      </c>
      <c r="N28" s="166"/>
      <c r="O28" s="167"/>
      <c r="P28" s="130" t="s">
        <v>139</v>
      </c>
      <c r="Q28" s="131"/>
      <c r="R28" s="131"/>
      <c r="S28" s="131"/>
      <c r="T28" s="54" t="s">
        <v>160</v>
      </c>
      <c r="U28" s="54"/>
      <c r="V28" s="57"/>
      <c r="W28" s="54"/>
      <c r="X28" s="57"/>
      <c r="Y28" s="56" t="str">
        <f t="shared" si="11"/>
        <v>不適用</v>
      </c>
      <c r="Z28" s="21"/>
    </row>
    <row r="29" spans="1:26" ht="40.5" customHeight="1">
      <c r="A29" s="52"/>
      <c r="B29" s="52"/>
      <c r="C29" s="52"/>
      <c r="D29" s="52"/>
      <c r="E29" s="52"/>
      <c r="F29" s="52"/>
      <c r="G29" s="52"/>
      <c r="H29" s="52"/>
      <c r="I29" s="52"/>
      <c r="J29" s="52"/>
      <c r="K29" s="53"/>
      <c r="L29" s="53"/>
      <c r="M29" s="174" t="s">
        <v>141</v>
      </c>
      <c r="N29" s="175"/>
      <c r="O29" s="176"/>
      <c r="P29" s="130" t="s">
        <v>140</v>
      </c>
      <c r="Q29" s="131"/>
      <c r="R29" s="131"/>
      <c r="S29" s="131"/>
      <c r="T29" s="54" t="s">
        <v>161</v>
      </c>
      <c r="U29" s="64">
        <v>1</v>
      </c>
      <c r="V29" s="65"/>
      <c r="W29" s="64">
        <v>1</v>
      </c>
      <c r="X29" s="65"/>
      <c r="Y29" s="56">
        <f t="shared" si="11"/>
        <v>3</v>
      </c>
      <c r="Z29" s="58"/>
    </row>
    <row r="30" spans="1:26">
      <c r="A30" s="52"/>
      <c r="B30" s="52"/>
      <c r="C30" s="52"/>
      <c r="D30" s="52"/>
      <c r="E30" s="52"/>
      <c r="F30" s="52"/>
      <c r="G30" s="52"/>
      <c r="H30" s="52"/>
      <c r="I30" s="52"/>
      <c r="J30" s="52"/>
      <c r="K30" s="53"/>
      <c r="L30" s="53"/>
      <c r="M30" s="177" t="s">
        <v>141</v>
      </c>
      <c r="N30" s="178"/>
      <c r="O30" s="179"/>
      <c r="P30" s="130" t="s">
        <v>142</v>
      </c>
      <c r="Q30" s="131"/>
      <c r="R30" s="131"/>
      <c r="S30" s="131"/>
      <c r="T30" s="54" t="s">
        <v>161</v>
      </c>
      <c r="U30" s="64">
        <v>1</v>
      </c>
      <c r="V30" s="65"/>
      <c r="W30" s="64">
        <v>1</v>
      </c>
      <c r="X30" s="65"/>
      <c r="Y30" s="56">
        <f t="shared" si="11"/>
        <v>3</v>
      </c>
      <c r="Z30" s="58"/>
    </row>
    <row r="31" spans="1:26" ht="37.75" customHeight="1">
      <c r="A31" s="52"/>
      <c r="B31" s="52"/>
      <c r="C31" s="52"/>
      <c r="D31" s="52"/>
      <c r="E31" s="52"/>
      <c r="F31" s="52"/>
      <c r="G31" s="52"/>
      <c r="H31" s="52"/>
      <c r="I31" s="52"/>
      <c r="J31" s="52"/>
      <c r="K31" s="53"/>
      <c r="L31" s="53"/>
      <c r="M31" s="185" t="s">
        <v>144</v>
      </c>
      <c r="N31" s="186"/>
      <c r="O31" s="187"/>
      <c r="P31" s="130" t="s">
        <v>143</v>
      </c>
      <c r="Q31" s="131"/>
      <c r="R31" s="131"/>
      <c r="S31" s="131"/>
      <c r="T31" s="54" t="s">
        <v>161</v>
      </c>
      <c r="U31" s="64">
        <v>1</v>
      </c>
      <c r="V31" s="65"/>
      <c r="W31" s="64">
        <v>1</v>
      </c>
      <c r="X31" s="65"/>
      <c r="Y31" s="56">
        <f t="shared" si="11"/>
        <v>3</v>
      </c>
      <c r="Z31" s="58"/>
    </row>
    <row r="32" spans="1:26">
      <c r="A32" s="52"/>
      <c r="B32" s="52"/>
      <c r="C32" s="52"/>
      <c r="D32" s="52"/>
      <c r="E32" s="52"/>
      <c r="F32" s="52"/>
      <c r="G32" s="52"/>
      <c r="H32" s="52"/>
      <c r="I32" s="52"/>
      <c r="J32" s="52"/>
      <c r="K32" s="53"/>
      <c r="L32" s="53"/>
      <c r="M32" s="188" t="s">
        <v>144</v>
      </c>
      <c r="N32" s="189"/>
      <c r="O32" s="190"/>
      <c r="P32" s="130" t="s">
        <v>145</v>
      </c>
      <c r="Q32" s="131"/>
      <c r="R32" s="131"/>
      <c r="S32" s="131"/>
      <c r="T32" s="54" t="s">
        <v>161</v>
      </c>
      <c r="U32" s="64">
        <v>1</v>
      </c>
      <c r="V32" s="65"/>
      <c r="W32" s="64">
        <v>1</v>
      </c>
      <c r="X32" s="65"/>
      <c r="Y32" s="56">
        <f t="shared" si="11"/>
        <v>3</v>
      </c>
      <c r="Z32" s="58"/>
    </row>
    <row r="33" spans="1:26">
      <c r="A33" s="52"/>
      <c r="B33" s="52"/>
      <c r="C33" s="52"/>
      <c r="D33" s="52"/>
      <c r="E33" s="52"/>
      <c r="F33" s="52"/>
      <c r="G33" s="52"/>
      <c r="H33" s="52"/>
      <c r="I33" s="52"/>
      <c r="J33" s="52"/>
      <c r="K33" s="53"/>
      <c r="L33" s="53"/>
      <c r="M33" s="191" t="s">
        <v>156</v>
      </c>
      <c r="N33" s="192"/>
      <c r="O33" s="193"/>
      <c r="P33" s="130" t="s">
        <v>146</v>
      </c>
      <c r="Q33" s="131"/>
      <c r="R33" s="131"/>
      <c r="S33" s="131"/>
      <c r="T33" s="54" t="s">
        <v>161</v>
      </c>
      <c r="U33" s="64">
        <v>1</v>
      </c>
      <c r="V33" s="65"/>
      <c r="W33" s="64">
        <v>2</v>
      </c>
      <c r="X33" s="65"/>
      <c r="Y33" s="56">
        <f t="shared" si="11"/>
        <v>6</v>
      </c>
      <c r="Z33" s="58"/>
    </row>
    <row r="34" spans="1:26">
      <c r="A34" s="52" t="str">
        <f t="shared" si="10"/>
        <v>材1-1-DA-02</v>
      </c>
      <c r="B34" s="52">
        <f t="shared" si="0"/>
        <v>0</v>
      </c>
      <c r="C34" s="52" t="str">
        <f t="shared" si="1"/>
        <v>系統-程式原碼</v>
      </c>
      <c r="D34" s="52" t="str">
        <f t="shared" si="2"/>
        <v>系統-程式原碼</v>
      </c>
      <c r="E34" s="52">
        <f t="shared" si="3"/>
        <v>1</v>
      </c>
      <c r="F34" s="52" t="str">
        <f t="shared" si="4"/>
        <v>賴斐瓔 </v>
      </c>
      <c r="G34" s="52">
        <f t="shared" si="5"/>
        <v>3</v>
      </c>
      <c r="H34" s="52">
        <f t="shared" si="6"/>
        <v>3</v>
      </c>
      <c r="I34" s="52">
        <f t="shared" si="7"/>
        <v>3</v>
      </c>
      <c r="J34" s="52" t="str">
        <f t="shared" si="8"/>
        <v>NA</v>
      </c>
      <c r="K34" s="53">
        <f t="shared" si="9"/>
        <v>3</v>
      </c>
      <c r="L34" s="53">
        <f>$S$7</f>
        <v>12</v>
      </c>
      <c r="M34" s="180" t="s">
        <v>147</v>
      </c>
      <c r="N34" s="181"/>
      <c r="O34" s="182"/>
      <c r="P34" s="183" t="s">
        <v>148</v>
      </c>
      <c r="Q34" s="184"/>
      <c r="R34" s="184"/>
      <c r="S34" s="168"/>
      <c r="T34" s="54" t="s">
        <v>160</v>
      </c>
      <c r="U34" s="54"/>
      <c r="V34" s="54"/>
      <c r="W34" s="54"/>
      <c r="X34" s="55"/>
      <c r="Y34" s="60" t="str">
        <f t="shared" si="11"/>
        <v>不適用</v>
      </c>
      <c r="Z34" s="54"/>
    </row>
    <row r="39" spans="1:26">
      <c r="M39" s="7"/>
    </row>
  </sheetData>
  <sheetProtection formatCells="0" formatColumns="0" formatRows="0" insertColumns="0" insertRows="0" insertHyperlinks="0" deleteColumns="0" deleteRows="0" sort="0" autoFilter="0" pivotTables="0"/>
  <autoFilter ref="M10:Z10" xr:uid="{00000000-0009-0000-0000-000004000000}">
    <filterColumn colId="0" showButton="0"/>
    <filterColumn colId="1" showButton="0"/>
    <filterColumn colId="3" showButton="0"/>
    <filterColumn colId="4" showButton="0"/>
    <filterColumn colId="5" showButton="0"/>
  </autoFilter>
  <mergeCells count="57">
    <mergeCell ref="M34:O34"/>
    <mergeCell ref="P34:S34"/>
    <mergeCell ref="M31:O31"/>
    <mergeCell ref="P31:S31"/>
    <mergeCell ref="M32:O32"/>
    <mergeCell ref="P32:S32"/>
    <mergeCell ref="M33:O33"/>
    <mergeCell ref="P33:S33"/>
    <mergeCell ref="M28:O28"/>
    <mergeCell ref="P28:S28"/>
    <mergeCell ref="M29:O29"/>
    <mergeCell ref="P29:S29"/>
    <mergeCell ref="M30:O30"/>
    <mergeCell ref="P30:S30"/>
    <mergeCell ref="M25:O25"/>
    <mergeCell ref="P25:S25"/>
    <mergeCell ref="M26:O26"/>
    <mergeCell ref="P26:S26"/>
    <mergeCell ref="M27:O27"/>
    <mergeCell ref="P27:S27"/>
    <mergeCell ref="M22:O22"/>
    <mergeCell ref="P22:S22"/>
    <mergeCell ref="M23:O23"/>
    <mergeCell ref="P23:S23"/>
    <mergeCell ref="M24:O24"/>
    <mergeCell ref="P24:S24"/>
    <mergeCell ref="M19:O19"/>
    <mergeCell ref="P19:S19"/>
    <mergeCell ref="M20:O20"/>
    <mergeCell ref="P20:S20"/>
    <mergeCell ref="M21:O21"/>
    <mergeCell ref="P21:S21"/>
    <mergeCell ref="M16:O16"/>
    <mergeCell ref="P16:S16"/>
    <mergeCell ref="M17:O17"/>
    <mergeCell ref="P17:S17"/>
    <mergeCell ref="M18:O18"/>
    <mergeCell ref="P18:S18"/>
    <mergeCell ref="M13:O13"/>
    <mergeCell ref="P13:S13"/>
    <mergeCell ref="M14:O14"/>
    <mergeCell ref="P14:S14"/>
    <mergeCell ref="M15:O15"/>
    <mergeCell ref="P15:S15"/>
    <mergeCell ref="M12:O12"/>
    <mergeCell ref="P12:S12"/>
    <mergeCell ref="M1:Z1"/>
    <mergeCell ref="N2:P2"/>
    <mergeCell ref="N3:P3"/>
    <mergeCell ref="N4:P4"/>
    <mergeCell ref="N5:P5"/>
    <mergeCell ref="N6:P6"/>
    <mergeCell ref="N7:P7"/>
    <mergeCell ref="M10:O10"/>
    <mergeCell ref="P10:S10"/>
    <mergeCell ref="M11:O11"/>
    <mergeCell ref="P11:S11"/>
  </mergeCells>
  <phoneticPr fontId="1" type="noConversion"/>
  <dataValidations count="2">
    <dataValidation type="list" allowBlank="1" showInputMessage="1" showErrorMessage="1" sqref="T65546:T65569 JI65546:JI65569 TE65546:TE65569 ADA65546:ADA65569 AMW65546:AMW65569 AWS65546:AWS65569 BGO65546:BGO65569 BQK65546:BQK65569 CAG65546:CAG65569 CKC65546:CKC65569 CTY65546:CTY65569 DDU65546:DDU65569 DNQ65546:DNQ65569 DXM65546:DXM65569 EHI65546:EHI65569 ERE65546:ERE65569 FBA65546:FBA65569 FKW65546:FKW65569 FUS65546:FUS65569 GEO65546:GEO65569 GOK65546:GOK65569 GYG65546:GYG65569 HIC65546:HIC65569 HRY65546:HRY65569 IBU65546:IBU65569 ILQ65546:ILQ65569 IVM65546:IVM65569 JFI65546:JFI65569 JPE65546:JPE65569 JZA65546:JZA65569 KIW65546:KIW65569 KSS65546:KSS65569 LCO65546:LCO65569 LMK65546:LMK65569 LWG65546:LWG65569 MGC65546:MGC65569 MPY65546:MPY65569 MZU65546:MZU65569 NJQ65546:NJQ65569 NTM65546:NTM65569 ODI65546:ODI65569 ONE65546:ONE65569 OXA65546:OXA65569 PGW65546:PGW65569 PQS65546:PQS65569 QAO65546:QAO65569 QKK65546:QKK65569 QUG65546:QUG65569 REC65546:REC65569 RNY65546:RNY65569 RXU65546:RXU65569 SHQ65546:SHQ65569 SRM65546:SRM65569 TBI65546:TBI65569 TLE65546:TLE65569 TVA65546:TVA65569 UEW65546:UEW65569 UOS65546:UOS65569 UYO65546:UYO65569 VIK65546:VIK65569 VSG65546:VSG65569 WCC65546:WCC65569 WLY65546:WLY65569 WVU65546:WVU65569 T131082:T131105 JI131082:JI131105 TE131082:TE131105 ADA131082:ADA131105 AMW131082:AMW131105 AWS131082:AWS131105 BGO131082:BGO131105 BQK131082:BQK131105 CAG131082:CAG131105 CKC131082:CKC131105 CTY131082:CTY131105 DDU131082:DDU131105 DNQ131082:DNQ131105 DXM131082:DXM131105 EHI131082:EHI131105 ERE131082:ERE131105 FBA131082:FBA131105 FKW131082:FKW131105 FUS131082:FUS131105 GEO131082:GEO131105 GOK131082:GOK131105 GYG131082:GYG131105 HIC131082:HIC131105 HRY131082:HRY131105 IBU131082:IBU131105 ILQ131082:ILQ131105 IVM131082:IVM131105 JFI131082:JFI131105 JPE131082:JPE131105 JZA131082:JZA131105 KIW131082:KIW131105 KSS131082:KSS131105 LCO131082:LCO131105 LMK131082:LMK131105 LWG131082:LWG131105 MGC131082:MGC131105 MPY131082:MPY131105 MZU131082:MZU131105 NJQ131082:NJQ131105 NTM131082:NTM131105 ODI131082:ODI131105 ONE131082:ONE131105 OXA131082:OXA131105 PGW131082:PGW131105 PQS131082:PQS131105 QAO131082:QAO131105 QKK131082:QKK131105 QUG131082:QUG131105 REC131082:REC131105 RNY131082:RNY131105 RXU131082:RXU131105 SHQ131082:SHQ131105 SRM131082:SRM131105 TBI131082:TBI131105 TLE131082:TLE131105 TVA131082:TVA131105 UEW131082:UEW131105 UOS131082:UOS131105 UYO131082:UYO131105 VIK131082:VIK131105 VSG131082:VSG131105 WCC131082:WCC131105 WLY131082:WLY131105 WVU131082:WVU131105 T196618:T196641 JI196618:JI196641 TE196618:TE196641 ADA196618:ADA196641 AMW196618:AMW196641 AWS196618:AWS196641 BGO196618:BGO196641 BQK196618:BQK196641 CAG196618:CAG196641 CKC196618:CKC196641 CTY196618:CTY196641 DDU196618:DDU196641 DNQ196618:DNQ196641 DXM196618:DXM196641 EHI196618:EHI196641 ERE196618:ERE196641 FBA196618:FBA196641 FKW196618:FKW196641 FUS196618:FUS196641 GEO196618:GEO196641 GOK196618:GOK196641 GYG196618:GYG196641 HIC196618:HIC196641 HRY196618:HRY196641 IBU196618:IBU196641 ILQ196618:ILQ196641 IVM196618:IVM196641 JFI196618:JFI196641 JPE196618:JPE196641 JZA196618:JZA196641 KIW196618:KIW196641 KSS196618:KSS196641 LCO196618:LCO196641 LMK196618:LMK196641 LWG196618:LWG196641 MGC196618:MGC196641 MPY196618:MPY196641 MZU196618:MZU196641 NJQ196618:NJQ196641 NTM196618:NTM196641 ODI196618:ODI196641 ONE196618:ONE196641 OXA196618:OXA196641 PGW196618:PGW196641 PQS196618:PQS196641 QAO196618:QAO196641 QKK196618:QKK196641 QUG196618:QUG196641 REC196618:REC196641 RNY196618:RNY196641 RXU196618:RXU196641 SHQ196618:SHQ196641 SRM196618:SRM196641 TBI196618:TBI196641 TLE196618:TLE196641 TVA196618:TVA196641 UEW196618:UEW196641 UOS196618:UOS196641 UYO196618:UYO196641 VIK196618:VIK196641 VSG196618:VSG196641 WCC196618:WCC196641 WLY196618:WLY196641 WVU196618:WVU196641 T262154:T262177 JI262154:JI262177 TE262154:TE262177 ADA262154:ADA262177 AMW262154:AMW262177 AWS262154:AWS262177 BGO262154:BGO262177 BQK262154:BQK262177 CAG262154:CAG262177 CKC262154:CKC262177 CTY262154:CTY262177 DDU262154:DDU262177 DNQ262154:DNQ262177 DXM262154:DXM262177 EHI262154:EHI262177 ERE262154:ERE262177 FBA262154:FBA262177 FKW262154:FKW262177 FUS262154:FUS262177 GEO262154:GEO262177 GOK262154:GOK262177 GYG262154:GYG262177 HIC262154:HIC262177 HRY262154:HRY262177 IBU262154:IBU262177 ILQ262154:ILQ262177 IVM262154:IVM262177 JFI262154:JFI262177 JPE262154:JPE262177 JZA262154:JZA262177 KIW262154:KIW262177 KSS262154:KSS262177 LCO262154:LCO262177 LMK262154:LMK262177 LWG262154:LWG262177 MGC262154:MGC262177 MPY262154:MPY262177 MZU262154:MZU262177 NJQ262154:NJQ262177 NTM262154:NTM262177 ODI262154:ODI262177 ONE262154:ONE262177 OXA262154:OXA262177 PGW262154:PGW262177 PQS262154:PQS262177 QAO262154:QAO262177 QKK262154:QKK262177 QUG262154:QUG262177 REC262154:REC262177 RNY262154:RNY262177 RXU262154:RXU262177 SHQ262154:SHQ262177 SRM262154:SRM262177 TBI262154:TBI262177 TLE262154:TLE262177 TVA262154:TVA262177 UEW262154:UEW262177 UOS262154:UOS262177 UYO262154:UYO262177 VIK262154:VIK262177 VSG262154:VSG262177 WCC262154:WCC262177 WLY262154:WLY262177 WVU262154:WVU262177 T327690:T327713 JI327690:JI327713 TE327690:TE327713 ADA327690:ADA327713 AMW327690:AMW327713 AWS327690:AWS327713 BGO327690:BGO327713 BQK327690:BQK327713 CAG327690:CAG327713 CKC327690:CKC327713 CTY327690:CTY327713 DDU327690:DDU327713 DNQ327690:DNQ327713 DXM327690:DXM327713 EHI327690:EHI327713 ERE327690:ERE327713 FBA327690:FBA327713 FKW327690:FKW327713 FUS327690:FUS327713 GEO327690:GEO327713 GOK327690:GOK327713 GYG327690:GYG327713 HIC327690:HIC327713 HRY327690:HRY327713 IBU327690:IBU327713 ILQ327690:ILQ327713 IVM327690:IVM327713 JFI327690:JFI327713 JPE327690:JPE327713 JZA327690:JZA327713 KIW327690:KIW327713 KSS327690:KSS327713 LCO327690:LCO327713 LMK327690:LMK327713 LWG327690:LWG327713 MGC327690:MGC327713 MPY327690:MPY327713 MZU327690:MZU327713 NJQ327690:NJQ327713 NTM327690:NTM327713 ODI327690:ODI327713 ONE327690:ONE327713 OXA327690:OXA327713 PGW327690:PGW327713 PQS327690:PQS327713 QAO327690:QAO327713 QKK327690:QKK327713 QUG327690:QUG327713 REC327690:REC327713 RNY327690:RNY327713 RXU327690:RXU327713 SHQ327690:SHQ327713 SRM327690:SRM327713 TBI327690:TBI327713 TLE327690:TLE327713 TVA327690:TVA327713 UEW327690:UEW327713 UOS327690:UOS327713 UYO327690:UYO327713 VIK327690:VIK327713 VSG327690:VSG327713 WCC327690:WCC327713 WLY327690:WLY327713 WVU327690:WVU327713 T393226:T393249 JI393226:JI393249 TE393226:TE393249 ADA393226:ADA393249 AMW393226:AMW393249 AWS393226:AWS393249 BGO393226:BGO393249 BQK393226:BQK393249 CAG393226:CAG393249 CKC393226:CKC393249 CTY393226:CTY393249 DDU393226:DDU393249 DNQ393226:DNQ393249 DXM393226:DXM393249 EHI393226:EHI393249 ERE393226:ERE393249 FBA393226:FBA393249 FKW393226:FKW393249 FUS393226:FUS393249 GEO393226:GEO393249 GOK393226:GOK393249 GYG393226:GYG393249 HIC393226:HIC393249 HRY393226:HRY393249 IBU393226:IBU393249 ILQ393226:ILQ393249 IVM393226:IVM393249 JFI393226:JFI393249 JPE393226:JPE393249 JZA393226:JZA393249 KIW393226:KIW393249 KSS393226:KSS393249 LCO393226:LCO393249 LMK393226:LMK393249 LWG393226:LWG393249 MGC393226:MGC393249 MPY393226:MPY393249 MZU393226:MZU393249 NJQ393226:NJQ393249 NTM393226:NTM393249 ODI393226:ODI393249 ONE393226:ONE393249 OXA393226:OXA393249 PGW393226:PGW393249 PQS393226:PQS393249 QAO393226:QAO393249 QKK393226:QKK393249 QUG393226:QUG393249 REC393226:REC393249 RNY393226:RNY393249 RXU393226:RXU393249 SHQ393226:SHQ393249 SRM393226:SRM393249 TBI393226:TBI393249 TLE393226:TLE393249 TVA393226:TVA393249 UEW393226:UEW393249 UOS393226:UOS393249 UYO393226:UYO393249 VIK393226:VIK393249 VSG393226:VSG393249 WCC393226:WCC393249 WLY393226:WLY393249 WVU393226:WVU393249 T458762:T458785 JI458762:JI458785 TE458762:TE458785 ADA458762:ADA458785 AMW458762:AMW458785 AWS458762:AWS458785 BGO458762:BGO458785 BQK458762:BQK458785 CAG458762:CAG458785 CKC458762:CKC458785 CTY458762:CTY458785 DDU458762:DDU458785 DNQ458762:DNQ458785 DXM458762:DXM458785 EHI458762:EHI458785 ERE458762:ERE458785 FBA458762:FBA458785 FKW458762:FKW458785 FUS458762:FUS458785 GEO458762:GEO458785 GOK458762:GOK458785 GYG458762:GYG458785 HIC458762:HIC458785 HRY458762:HRY458785 IBU458762:IBU458785 ILQ458762:ILQ458785 IVM458762:IVM458785 JFI458762:JFI458785 JPE458762:JPE458785 JZA458762:JZA458785 KIW458762:KIW458785 KSS458762:KSS458785 LCO458762:LCO458785 LMK458762:LMK458785 LWG458762:LWG458785 MGC458762:MGC458785 MPY458762:MPY458785 MZU458762:MZU458785 NJQ458762:NJQ458785 NTM458762:NTM458785 ODI458762:ODI458785 ONE458762:ONE458785 OXA458762:OXA458785 PGW458762:PGW458785 PQS458762:PQS458785 QAO458762:QAO458785 QKK458762:QKK458785 QUG458762:QUG458785 REC458762:REC458785 RNY458762:RNY458785 RXU458762:RXU458785 SHQ458762:SHQ458785 SRM458762:SRM458785 TBI458762:TBI458785 TLE458762:TLE458785 TVA458762:TVA458785 UEW458762:UEW458785 UOS458762:UOS458785 UYO458762:UYO458785 VIK458762:VIK458785 VSG458762:VSG458785 WCC458762:WCC458785 WLY458762:WLY458785 WVU458762:WVU458785 T524298:T524321 JI524298:JI524321 TE524298:TE524321 ADA524298:ADA524321 AMW524298:AMW524321 AWS524298:AWS524321 BGO524298:BGO524321 BQK524298:BQK524321 CAG524298:CAG524321 CKC524298:CKC524321 CTY524298:CTY524321 DDU524298:DDU524321 DNQ524298:DNQ524321 DXM524298:DXM524321 EHI524298:EHI524321 ERE524298:ERE524321 FBA524298:FBA524321 FKW524298:FKW524321 FUS524298:FUS524321 GEO524298:GEO524321 GOK524298:GOK524321 GYG524298:GYG524321 HIC524298:HIC524321 HRY524298:HRY524321 IBU524298:IBU524321 ILQ524298:ILQ524321 IVM524298:IVM524321 JFI524298:JFI524321 JPE524298:JPE524321 JZA524298:JZA524321 KIW524298:KIW524321 KSS524298:KSS524321 LCO524298:LCO524321 LMK524298:LMK524321 LWG524298:LWG524321 MGC524298:MGC524321 MPY524298:MPY524321 MZU524298:MZU524321 NJQ524298:NJQ524321 NTM524298:NTM524321 ODI524298:ODI524321 ONE524298:ONE524321 OXA524298:OXA524321 PGW524298:PGW524321 PQS524298:PQS524321 QAO524298:QAO524321 QKK524298:QKK524321 QUG524298:QUG524321 REC524298:REC524321 RNY524298:RNY524321 RXU524298:RXU524321 SHQ524298:SHQ524321 SRM524298:SRM524321 TBI524298:TBI524321 TLE524298:TLE524321 TVA524298:TVA524321 UEW524298:UEW524321 UOS524298:UOS524321 UYO524298:UYO524321 VIK524298:VIK524321 VSG524298:VSG524321 WCC524298:WCC524321 WLY524298:WLY524321 WVU524298:WVU524321 T589834:T589857 JI589834:JI589857 TE589834:TE589857 ADA589834:ADA589857 AMW589834:AMW589857 AWS589834:AWS589857 BGO589834:BGO589857 BQK589834:BQK589857 CAG589834:CAG589857 CKC589834:CKC589857 CTY589834:CTY589857 DDU589834:DDU589857 DNQ589834:DNQ589857 DXM589834:DXM589857 EHI589834:EHI589857 ERE589834:ERE589857 FBA589834:FBA589857 FKW589834:FKW589857 FUS589834:FUS589857 GEO589834:GEO589857 GOK589834:GOK589857 GYG589834:GYG589857 HIC589834:HIC589857 HRY589834:HRY589857 IBU589834:IBU589857 ILQ589834:ILQ589857 IVM589834:IVM589857 JFI589834:JFI589857 JPE589834:JPE589857 JZA589834:JZA589857 KIW589834:KIW589857 KSS589834:KSS589857 LCO589834:LCO589857 LMK589834:LMK589857 LWG589834:LWG589857 MGC589834:MGC589857 MPY589834:MPY589857 MZU589834:MZU589857 NJQ589834:NJQ589857 NTM589834:NTM589857 ODI589834:ODI589857 ONE589834:ONE589857 OXA589834:OXA589857 PGW589834:PGW589857 PQS589834:PQS589857 QAO589834:QAO589857 QKK589834:QKK589857 QUG589834:QUG589857 REC589834:REC589857 RNY589834:RNY589857 RXU589834:RXU589857 SHQ589834:SHQ589857 SRM589834:SRM589857 TBI589834:TBI589857 TLE589834:TLE589857 TVA589834:TVA589857 UEW589834:UEW589857 UOS589834:UOS589857 UYO589834:UYO589857 VIK589834:VIK589857 VSG589834:VSG589857 WCC589834:WCC589857 WLY589834:WLY589857 WVU589834:WVU589857 T655370:T655393 JI655370:JI655393 TE655370:TE655393 ADA655370:ADA655393 AMW655370:AMW655393 AWS655370:AWS655393 BGO655370:BGO655393 BQK655370:BQK655393 CAG655370:CAG655393 CKC655370:CKC655393 CTY655370:CTY655393 DDU655370:DDU655393 DNQ655370:DNQ655393 DXM655370:DXM655393 EHI655370:EHI655393 ERE655370:ERE655393 FBA655370:FBA655393 FKW655370:FKW655393 FUS655370:FUS655393 GEO655370:GEO655393 GOK655370:GOK655393 GYG655370:GYG655393 HIC655370:HIC655393 HRY655370:HRY655393 IBU655370:IBU655393 ILQ655370:ILQ655393 IVM655370:IVM655393 JFI655370:JFI655393 JPE655370:JPE655393 JZA655370:JZA655393 KIW655370:KIW655393 KSS655370:KSS655393 LCO655370:LCO655393 LMK655370:LMK655393 LWG655370:LWG655393 MGC655370:MGC655393 MPY655370:MPY655393 MZU655370:MZU655393 NJQ655370:NJQ655393 NTM655370:NTM655393 ODI655370:ODI655393 ONE655370:ONE655393 OXA655370:OXA655393 PGW655370:PGW655393 PQS655370:PQS655393 QAO655370:QAO655393 QKK655370:QKK655393 QUG655370:QUG655393 REC655370:REC655393 RNY655370:RNY655393 RXU655370:RXU655393 SHQ655370:SHQ655393 SRM655370:SRM655393 TBI655370:TBI655393 TLE655370:TLE655393 TVA655370:TVA655393 UEW655370:UEW655393 UOS655370:UOS655393 UYO655370:UYO655393 VIK655370:VIK655393 VSG655370:VSG655393 WCC655370:WCC655393 WLY655370:WLY655393 WVU655370:WVU655393 T720906:T720929 JI720906:JI720929 TE720906:TE720929 ADA720906:ADA720929 AMW720906:AMW720929 AWS720906:AWS720929 BGO720906:BGO720929 BQK720906:BQK720929 CAG720906:CAG720929 CKC720906:CKC720929 CTY720906:CTY720929 DDU720906:DDU720929 DNQ720906:DNQ720929 DXM720906:DXM720929 EHI720906:EHI720929 ERE720906:ERE720929 FBA720906:FBA720929 FKW720906:FKW720929 FUS720906:FUS720929 GEO720906:GEO720929 GOK720906:GOK720929 GYG720906:GYG720929 HIC720906:HIC720929 HRY720906:HRY720929 IBU720906:IBU720929 ILQ720906:ILQ720929 IVM720906:IVM720929 JFI720906:JFI720929 JPE720906:JPE720929 JZA720906:JZA720929 KIW720906:KIW720929 KSS720906:KSS720929 LCO720906:LCO720929 LMK720906:LMK720929 LWG720906:LWG720929 MGC720906:MGC720929 MPY720906:MPY720929 MZU720906:MZU720929 NJQ720906:NJQ720929 NTM720906:NTM720929 ODI720906:ODI720929 ONE720906:ONE720929 OXA720906:OXA720929 PGW720906:PGW720929 PQS720906:PQS720929 QAO720906:QAO720929 QKK720906:QKK720929 QUG720906:QUG720929 REC720906:REC720929 RNY720906:RNY720929 RXU720906:RXU720929 SHQ720906:SHQ720929 SRM720906:SRM720929 TBI720906:TBI720929 TLE720906:TLE720929 TVA720906:TVA720929 UEW720906:UEW720929 UOS720906:UOS720929 UYO720906:UYO720929 VIK720906:VIK720929 VSG720906:VSG720929 WCC720906:WCC720929 WLY720906:WLY720929 WVU720906:WVU720929 T786442:T786465 JI786442:JI786465 TE786442:TE786465 ADA786442:ADA786465 AMW786442:AMW786465 AWS786442:AWS786465 BGO786442:BGO786465 BQK786442:BQK786465 CAG786442:CAG786465 CKC786442:CKC786465 CTY786442:CTY786465 DDU786442:DDU786465 DNQ786442:DNQ786465 DXM786442:DXM786465 EHI786442:EHI786465 ERE786442:ERE786465 FBA786442:FBA786465 FKW786442:FKW786465 FUS786442:FUS786465 GEO786442:GEO786465 GOK786442:GOK786465 GYG786442:GYG786465 HIC786442:HIC786465 HRY786442:HRY786465 IBU786442:IBU786465 ILQ786442:ILQ786465 IVM786442:IVM786465 JFI786442:JFI786465 JPE786442:JPE786465 JZA786442:JZA786465 KIW786442:KIW786465 KSS786442:KSS786465 LCO786442:LCO786465 LMK786442:LMK786465 LWG786442:LWG786465 MGC786442:MGC786465 MPY786442:MPY786465 MZU786442:MZU786465 NJQ786442:NJQ786465 NTM786442:NTM786465 ODI786442:ODI786465 ONE786442:ONE786465 OXA786442:OXA786465 PGW786442:PGW786465 PQS786442:PQS786465 QAO786442:QAO786465 QKK786442:QKK786465 QUG786442:QUG786465 REC786442:REC786465 RNY786442:RNY786465 RXU786442:RXU786465 SHQ786442:SHQ786465 SRM786442:SRM786465 TBI786442:TBI786465 TLE786442:TLE786465 TVA786442:TVA786465 UEW786442:UEW786465 UOS786442:UOS786465 UYO786442:UYO786465 VIK786442:VIK786465 VSG786442:VSG786465 WCC786442:WCC786465 WLY786442:WLY786465 WVU786442:WVU786465 T851978:T852001 JI851978:JI852001 TE851978:TE852001 ADA851978:ADA852001 AMW851978:AMW852001 AWS851978:AWS852001 BGO851978:BGO852001 BQK851978:BQK852001 CAG851978:CAG852001 CKC851978:CKC852001 CTY851978:CTY852001 DDU851978:DDU852001 DNQ851978:DNQ852001 DXM851978:DXM852001 EHI851978:EHI852001 ERE851978:ERE852001 FBA851978:FBA852001 FKW851978:FKW852001 FUS851978:FUS852001 GEO851978:GEO852001 GOK851978:GOK852001 GYG851978:GYG852001 HIC851978:HIC852001 HRY851978:HRY852001 IBU851978:IBU852001 ILQ851978:ILQ852001 IVM851978:IVM852001 JFI851978:JFI852001 JPE851978:JPE852001 JZA851978:JZA852001 KIW851978:KIW852001 KSS851978:KSS852001 LCO851978:LCO852001 LMK851978:LMK852001 LWG851978:LWG852001 MGC851978:MGC852001 MPY851978:MPY852001 MZU851978:MZU852001 NJQ851978:NJQ852001 NTM851978:NTM852001 ODI851978:ODI852001 ONE851978:ONE852001 OXA851978:OXA852001 PGW851978:PGW852001 PQS851978:PQS852001 QAO851978:QAO852001 QKK851978:QKK852001 QUG851978:QUG852001 REC851978:REC852001 RNY851978:RNY852001 RXU851978:RXU852001 SHQ851978:SHQ852001 SRM851978:SRM852001 TBI851978:TBI852001 TLE851978:TLE852001 TVA851978:TVA852001 UEW851978:UEW852001 UOS851978:UOS852001 UYO851978:UYO852001 VIK851978:VIK852001 VSG851978:VSG852001 WCC851978:WCC852001 WLY851978:WLY852001 WVU851978:WVU852001 T917514:T917537 JI917514:JI917537 TE917514:TE917537 ADA917514:ADA917537 AMW917514:AMW917537 AWS917514:AWS917537 BGO917514:BGO917537 BQK917514:BQK917537 CAG917514:CAG917537 CKC917514:CKC917537 CTY917514:CTY917537 DDU917514:DDU917537 DNQ917514:DNQ917537 DXM917514:DXM917537 EHI917514:EHI917537 ERE917514:ERE917537 FBA917514:FBA917537 FKW917514:FKW917537 FUS917514:FUS917537 GEO917514:GEO917537 GOK917514:GOK917537 GYG917514:GYG917537 HIC917514:HIC917537 HRY917514:HRY917537 IBU917514:IBU917537 ILQ917514:ILQ917537 IVM917514:IVM917537 JFI917514:JFI917537 JPE917514:JPE917537 JZA917514:JZA917537 KIW917514:KIW917537 KSS917514:KSS917537 LCO917514:LCO917537 LMK917514:LMK917537 LWG917514:LWG917537 MGC917514:MGC917537 MPY917514:MPY917537 MZU917514:MZU917537 NJQ917514:NJQ917537 NTM917514:NTM917537 ODI917514:ODI917537 ONE917514:ONE917537 OXA917514:OXA917537 PGW917514:PGW917537 PQS917514:PQS917537 QAO917514:QAO917537 QKK917514:QKK917537 QUG917514:QUG917537 REC917514:REC917537 RNY917514:RNY917537 RXU917514:RXU917537 SHQ917514:SHQ917537 SRM917514:SRM917537 TBI917514:TBI917537 TLE917514:TLE917537 TVA917514:TVA917537 UEW917514:UEW917537 UOS917514:UOS917537 UYO917514:UYO917537 VIK917514:VIK917537 VSG917514:VSG917537 WCC917514:WCC917537 WLY917514:WLY917537 WVU917514:WVU917537 T983050:T983073 JI983050:JI983073 TE983050:TE983073 ADA983050:ADA983073 AMW983050:AMW983073 AWS983050:AWS983073 BGO983050:BGO983073 BQK983050:BQK983073 CAG983050:CAG983073 CKC983050:CKC983073 CTY983050:CTY983073 DDU983050:DDU983073 DNQ983050:DNQ983073 DXM983050:DXM983073 EHI983050:EHI983073 ERE983050:ERE983073 FBA983050:FBA983073 FKW983050:FKW983073 FUS983050:FUS983073 GEO983050:GEO983073 GOK983050:GOK983073 GYG983050:GYG983073 HIC983050:HIC983073 HRY983050:HRY983073 IBU983050:IBU983073 ILQ983050:ILQ983073 IVM983050:IVM983073 JFI983050:JFI983073 JPE983050:JPE983073 JZA983050:JZA983073 KIW983050:KIW983073 KSS983050:KSS983073 LCO983050:LCO983073 LMK983050:LMK983073 LWG983050:LWG983073 MGC983050:MGC983073 MPY983050:MPY983073 MZU983050:MZU983073 NJQ983050:NJQ983073 NTM983050:NTM983073 ODI983050:ODI983073 ONE983050:ONE983073 OXA983050:OXA983073 PGW983050:PGW983073 PQS983050:PQS983073 QAO983050:QAO983073 QKK983050:QKK983073 QUG983050:QUG983073 REC983050:REC983073 RNY983050:RNY983073 RXU983050:RXU983073 SHQ983050:SHQ983073 SRM983050:SRM983073 TBI983050:TBI983073 TLE983050:TLE983073 TVA983050:TVA983073 UEW983050:UEW983073 UOS983050:UOS983073 UYO983050:UYO983073 VIK983050:VIK983073 VSG983050:VSG983073 WCC983050:WCC983073 WLY983050:WLY983073 WVU983050:WVU983073 IT11:IT23 WVF11:WVF23 WLJ11:WLJ23 WBN11:WBN23 VRR11:VRR23 VHV11:VHV23 UXZ11:UXZ23 UOD11:UOD23 UEH11:UEH23 TUL11:TUL23 TKP11:TKP23 TAT11:TAT23 SQX11:SQX23 SHB11:SHB23 RXF11:RXF23 RNJ11:RNJ23 RDN11:RDN23 QTR11:QTR23 QJV11:QJV23 PZZ11:PZZ23 PQD11:PQD23 PGH11:PGH23 OWL11:OWL23 OMP11:OMP23 OCT11:OCT23 NSX11:NSX23 NJB11:NJB23 MZF11:MZF23 MPJ11:MPJ23 MFN11:MFN23 LVR11:LVR23 LLV11:LLV23 LBZ11:LBZ23 KSD11:KSD23 KIH11:KIH23 JYL11:JYL23 JOP11:JOP23 JET11:JET23 IUX11:IUX23 ILB11:ILB23 IBF11:IBF23 HRJ11:HRJ23 HHN11:HHN23 GXR11:GXR23 GNV11:GNV23 GDZ11:GDZ23 FUD11:FUD23 FKH11:FKH23 FAL11:FAL23 EQP11:EQP23 EGT11:EGT23 DWX11:DWX23 DNB11:DNB23 DDF11:DDF23 CTJ11:CTJ23 CJN11:CJN23 BZR11:BZR23 BPV11:BPV23 BFZ11:BFZ23 AWD11:AWD23 AMH11:AMH23 ACL11:ACL23 SP11:SP23 T11:T34" xr:uid="{00000000-0002-0000-0400-000000000000}">
      <formula1>"Y,N"</formula1>
    </dataValidation>
    <dataValidation type="list" allowBlank="1" showInputMessage="1" showErrorMessage="1" sqref="WVX983050:WVX983073 JH5:JH7 TD5:TD7 ACZ5:ACZ7 AMV5:AMV7 AWR5:AWR7 BGN5:BGN7 BQJ5:BQJ7 CAF5:CAF7 CKB5:CKB7 CTX5:CTX7 DDT5:DDT7 DNP5:DNP7 DXL5:DXL7 EHH5:EHH7 ERD5:ERD7 FAZ5:FAZ7 FKV5:FKV7 FUR5:FUR7 GEN5:GEN7 GOJ5:GOJ7 GYF5:GYF7 HIB5:HIB7 HRX5:HRX7 IBT5:IBT7 ILP5:ILP7 IVL5:IVL7 JFH5:JFH7 JPD5:JPD7 JYZ5:JYZ7 KIV5:KIV7 KSR5:KSR7 LCN5:LCN7 LMJ5:LMJ7 LWF5:LWF7 MGB5:MGB7 MPX5:MPX7 MZT5:MZT7 NJP5:NJP7 NTL5:NTL7 ODH5:ODH7 OND5:OND7 OWZ5:OWZ7 PGV5:PGV7 PQR5:PQR7 QAN5:QAN7 QKJ5:QKJ7 QUF5:QUF7 REB5:REB7 RNX5:RNX7 RXT5:RXT7 SHP5:SHP7 SRL5:SRL7 TBH5:TBH7 TLD5:TLD7 TUZ5:TUZ7 UEV5:UEV7 UOR5:UOR7 UYN5:UYN7 VIJ5:VIJ7 VSF5:VSF7 WCB5:WCB7 WLX5:WLX7 WVT5:WVT7 S65540:S65542 JH65540:JH65542 TD65540:TD65542 ACZ65540:ACZ65542 AMV65540:AMV65542 AWR65540:AWR65542 BGN65540:BGN65542 BQJ65540:BQJ65542 CAF65540:CAF65542 CKB65540:CKB65542 CTX65540:CTX65542 DDT65540:DDT65542 DNP65540:DNP65542 DXL65540:DXL65542 EHH65540:EHH65542 ERD65540:ERD65542 FAZ65540:FAZ65542 FKV65540:FKV65542 FUR65540:FUR65542 GEN65540:GEN65542 GOJ65540:GOJ65542 GYF65540:GYF65542 HIB65540:HIB65542 HRX65540:HRX65542 IBT65540:IBT65542 ILP65540:ILP65542 IVL65540:IVL65542 JFH65540:JFH65542 JPD65540:JPD65542 JYZ65540:JYZ65542 KIV65540:KIV65542 KSR65540:KSR65542 LCN65540:LCN65542 LMJ65540:LMJ65542 LWF65540:LWF65542 MGB65540:MGB65542 MPX65540:MPX65542 MZT65540:MZT65542 NJP65540:NJP65542 NTL65540:NTL65542 ODH65540:ODH65542 OND65540:OND65542 OWZ65540:OWZ65542 PGV65540:PGV65542 PQR65540:PQR65542 QAN65540:QAN65542 QKJ65540:QKJ65542 QUF65540:QUF65542 REB65540:REB65542 RNX65540:RNX65542 RXT65540:RXT65542 SHP65540:SHP65542 SRL65540:SRL65542 TBH65540:TBH65542 TLD65540:TLD65542 TUZ65540:TUZ65542 UEV65540:UEV65542 UOR65540:UOR65542 UYN65540:UYN65542 VIJ65540:VIJ65542 VSF65540:VSF65542 WCB65540:WCB65542 WLX65540:WLX65542 WVT65540:WVT65542 S131076:S131078 JH131076:JH131078 TD131076:TD131078 ACZ131076:ACZ131078 AMV131076:AMV131078 AWR131076:AWR131078 BGN131076:BGN131078 BQJ131076:BQJ131078 CAF131076:CAF131078 CKB131076:CKB131078 CTX131076:CTX131078 DDT131076:DDT131078 DNP131076:DNP131078 DXL131076:DXL131078 EHH131076:EHH131078 ERD131076:ERD131078 FAZ131076:FAZ131078 FKV131076:FKV131078 FUR131076:FUR131078 GEN131076:GEN131078 GOJ131076:GOJ131078 GYF131076:GYF131078 HIB131076:HIB131078 HRX131076:HRX131078 IBT131076:IBT131078 ILP131076:ILP131078 IVL131076:IVL131078 JFH131076:JFH131078 JPD131076:JPD131078 JYZ131076:JYZ131078 KIV131076:KIV131078 KSR131076:KSR131078 LCN131076:LCN131078 LMJ131076:LMJ131078 LWF131076:LWF131078 MGB131076:MGB131078 MPX131076:MPX131078 MZT131076:MZT131078 NJP131076:NJP131078 NTL131076:NTL131078 ODH131076:ODH131078 OND131076:OND131078 OWZ131076:OWZ131078 PGV131076:PGV131078 PQR131076:PQR131078 QAN131076:QAN131078 QKJ131076:QKJ131078 QUF131076:QUF131078 REB131076:REB131078 RNX131076:RNX131078 RXT131076:RXT131078 SHP131076:SHP131078 SRL131076:SRL131078 TBH131076:TBH131078 TLD131076:TLD131078 TUZ131076:TUZ131078 UEV131076:UEV131078 UOR131076:UOR131078 UYN131076:UYN131078 VIJ131076:VIJ131078 VSF131076:VSF131078 WCB131076:WCB131078 WLX131076:WLX131078 WVT131076:WVT131078 S196612:S196614 JH196612:JH196614 TD196612:TD196614 ACZ196612:ACZ196614 AMV196612:AMV196614 AWR196612:AWR196614 BGN196612:BGN196614 BQJ196612:BQJ196614 CAF196612:CAF196614 CKB196612:CKB196614 CTX196612:CTX196614 DDT196612:DDT196614 DNP196612:DNP196614 DXL196612:DXL196614 EHH196612:EHH196614 ERD196612:ERD196614 FAZ196612:FAZ196614 FKV196612:FKV196614 FUR196612:FUR196614 GEN196612:GEN196614 GOJ196612:GOJ196614 GYF196612:GYF196614 HIB196612:HIB196614 HRX196612:HRX196614 IBT196612:IBT196614 ILP196612:ILP196614 IVL196612:IVL196614 JFH196612:JFH196614 JPD196612:JPD196614 JYZ196612:JYZ196614 KIV196612:KIV196614 KSR196612:KSR196614 LCN196612:LCN196614 LMJ196612:LMJ196614 LWF196612:LWF196614 MGB196612:MGB196614 MPX196612:MPX196614 MZT196612:MZT196614 NJP196612:NJP196614 NTL196612:NTL196614 ODH196612:ODH196614 OND196612:OND196614 OWZ196612:OWZ196614 PGV196612:PGV196614 PQR196612:PQR196614 QAN196612:QAN196614 QKJ196612:QKJ196614 QUF196612:QUF196614 REB196612:REB196614 RNX196612:RNX196614 RXT196612:RXT196614 SHP196612:SHP196614 SRL196612:SRL196614 TBH196612:TBH196614 TLD196612:TLD196614 TUZ196612:TUZ196614 UEV196612:UEV196614 UOR196612:UOR196614 UYN196612:UYN196614 VIJ196612:VIJ196614 VSF196612:VSF196614 WCB196612:WCB196614 WLX196612:WLX196614 WVT196612:WVT196614 S262148:S262150 JH262148:JH262150 TD262148:TD262150 ACZ262148:ACZ262150 AMV262148:AMV262150 AWR262148:AWR262150 BGN262148:BGN262150 BQJ262148:BQJ262150 CAF262148:CAF262150 CKB262148:CKB262150 CTX262148:CTX262150 DDT262148:DDT262150 DNP262148:DNP262150 DXL262148:DXL262150 EHH262148:EHH262150 ERD262148:ERD262150 FAZ262148:FAZ262150 FKV262148:FKV262150 FUR262148:FUR262150 GEN262148:GEN262150 GOJ262148:GOJ262150 GYF262148:GYF262150 HIB262148:HIB262150 HRX262148:HRX262150 IBT262148:IBT262150 ILP262148:ILP262150 IVL262148:IVL262150 JFH262148:JFH262150 JPD262148:JPD262150 JYZ262148:JYZ262150 KIV262148:KIV262150 KSR262148:KSR262150 LCN262148:LCN262150 LMJ262148:LMJ262150 LWF262148:LWF262150 MGB262148:MGB262150 MPX262148:MPX262150 MZT262148:MZT262150 NJP262148:NJP262150 NTL262148:NTL262150 ODH262148:ODH262150 OND262148:OND262150 OWZ262148:OWZ262150 PGV262148:PGV262150 PQR262148:PQR262150 QAN262148:QAN262150 QKJ262148:QKJ262150 QUF262148:QUF262150 REB262148:REB262150 RNX262148:RNX262150 RXT262148:RXT262150 SHP262148:SHP262150 SRL262148:SRL262150 TBH262148:TBH262150 TLD262148:TLD262150 TUZ262148:TUZ262150 UEV262148:UEV262150 UOR262148:UOR262150 UYN262148:UYN262150 VIJ262148:VIJ262150 VSF262148:VSF262150 WCB262148:WCB262150 WLX262148:WLX262150 WVT262148:WVT262150 S327684:S327686 JH327684:JH327686 TD327684:TD327686 ACZ327684:ACZ327686 AMV327684:AMV327686 AWR327684:AWR327686 BGN327684:BGN327686 BQJ327684:BQJ327686 CAF327684:CAF327686 CKB327684:CKB327686 CTX327684:CTX327686 DDT327684:DDT327686 DNP327684:DNP327686 DXL327684:DXL327686 EHH327684:EHH327686 ERD327684:ERD327686 FAZ327684:FAZ327686 FKV327684:FKV327686 FUR327684:FUR327686 GEN327684:GEN327686 GOJ327684:GOJ327686 GYF327684:GYF327686 HIB327684:HIB327686 HRX327684:HRX327686 IBT327684:IBT327686 ILP327684:ILP327686 IVL327684:IVL327686 JFH327684:JFH327686 JPD327684:JPD327686 JYZ327684:JYZ327686 KIV327684:KIV327686 KSR327684:KSR327686 LCN327684:LCN327686 LMJ327684:LMJ327686 LWF327684:LWF327686 MGB327684:MGB327686 MPX327684:MPX327686 MZT327684:MZT327686 NJP327684:NJP327686 NTL327684:NTL327686 ODH327684:ODH327686 OND327684:OND327686 OWZ327684:OWZ327686 PGV327684:PGV327686 PQR327684:PQR327686 QAN327684:QAN327686 QKJ327684:QKJ327686 QUF327684:QUF327686 REB327684:REB327686 RNX327684:RNX327686 RXT327684:RXT327686 SHP327684:SHP327686 SRL327684:SRL327686 TBH327684:TBH327686 TLD327684:TLD327686 TUZ327684:TUZ327686 UEV327684:UEV327686 UOR327684:UOR327686 UYN327684:UYN327686 VIJ327684:VIJ327686 VSF327684:VSF327686 WCB327684:WCB327686 WLX327684:WLX327686 WVT327684:WVT327686 S393220:S393222 JH393220:JH393222 TD393220:TD393222 ACZ393220:ACZ393222 AMV393220:AMV393222 AWR393220:AWR393222 BGN393220:BGN393222 BQJ393220:BQJ393222 CAF393220:CAF393222 CKB393220:CKB393222 CTX393220:CTX393222 DDT393220:DDT393222 DNP393220:DNP393222 DXL393220:DXL393222 EHH393220:EHH393222 ERD393220:ERD393222 FAZ393220:FAZ393222 FKV393220:FKV393222 FUR393220:FUR393222 GEN393220:GEN393222 GOJ393220:GOJ393222 GYF393220:GYF393222 HIB393220:HIB393222 HRX393220:HRX393222 IBT393220:IBT393222 ILP393220:ILP393222 IVL393220:IVL393222 JFH393220:JFH393222 JPD393220:JPD393222 JYZ393220:JYZ393222 KIV393220:KIV393222 KSR393220:KSR393222 LCN393220:LCN393222 LMJ393220:LMJ393222 LWF393220:LWF393222 MGB393220:MGB393222 MPX393220:MPX393222 MZT393220:MZT393222 NJP393220:NJP393222 NTL393220:NTL393222 ODH393220:ODH393222 OND393220:OND393222 OWZ393220:OWZ393222 PGV393220:PGV393222 PQR393220:PQR393222 QAN393220:QAN393222 QKJ393220:QKJ393222 QUF393220:QUF393222 REB393220:REB393222 RNX393220:RNX393222 RXT393220:RXT393222 SHP393220:SHP393222 SRL393220:SRL393222 TBH393220:TBH393222 TLD393220:TLD393222 TUZ393220:TUZ393222 UEV393220:UEV393222 UOR393220:UOR393222 UYN393220:UYN393222 VIJ393220:VIJ393222 VSF393220:VSF393222 WCB393220:WCB393222 WLX393220:WLX393222 WVT393220:WVT393222 S458756:S458758 JH458756:JH458758 TD458756:TD458758 ACZ458756:ACZ458758 AMV458756:AMV458758 AWR458756:AWR458758 BGN458756:BGN458758 BQJ458756:BQJ458758 CAF458756:CAF458758 CKB458756:CKB458758 CTX458756:CTX458758 DDT458756:DDT458758 DNP458756:DNP458758 DXL458756:DXL458758 EHH458756:EHH458758 ERD458756:ERD458758 FAZ458756:FAZ458758 FKV458756:FKV458758 FUR458756:FUR458758 GEN458756:GEN458758 GOJ458756:GOJ458758 GYF458756:GYF458758 HIB458756:HIB458758 HRX458756:HRX458758 IBT458756:IBT458758 ILP458756:ILP458758 IVL458756:IVL458758 JFH458756:JFH458758 JPD458756:JPD458758 JYZ458756:JYZ458758 KIV458756:KIV458758 KSR458756:KSR458758 LCN458756:LCN458758 LMJ458756:LMJ458758 LWF458756:LWF458758 MGB458756:MGB458758 MPX458756:MPX458758 MZT458756:MZT458758 NJP458756:NJP458758 NTL458756:NTL458758 ODH458756:ODH458758 OND458756:OND458758 OWZ458756:OWZ458758 PGV458756:PGV458758 PQR458756:PQR458758 QAN458756:QAN458758 QKJ458756:QKJ458758 QUF458756:QUF458758 REB458756:REB458758 RNX458756:RNX458758 RXT458756:RXT458758 SHP458756:SHP458758 SRL458756:SRL458758 TBH458756:TBH458758 TLD458756:TLD458758 TUZ458756:TUZ458758 UEV458756:UEV458758 UOR458756:UOR458758 UYN458756:UYN458758 VIJ458756:VIJ458758 VSF458756:VSF458758 WCB458756:WCB458758 WLX458756:WLX458758 WVT458756:WVT458758 S524292:S524294 JH524292:JH524294 TD524292:TD524294 ACZ524292:ACZ524294 AMV524292:AMV524294 AWR524292:AWR524294 BGN524292:BGN524294 BQJ524292:BQJ524294 CAF524292:CAF524294 CKB524292:CKB524294 CTX524292:CTX524294 DDT524292:DDT524294 DNP524292:DNP524294 DXL524292:DXL524294 EHH524292:EHH524294 ERD524292:ERD524294 FAZ524292:FAZ524294 FKV524292:FKV524294 FUR524292:FUR524294 GEN524292:GEN524294 GOJ524292:GOJ524294 GYF524292:GYF524294 HIB524292:HIB524294 HRX524292:HRX524294 IBT524292:IBT524294 ILP524292:ILP524294 IVL524292:IVL524294 JFH524292:JFH524294 JPD524292:JPD524294 JYZ524292:JYZ524294 KIV524292:KIV524294 KSR524292:KSR524294 LCN524292:LCN524294 LMJ524292:LMJ524294 LWF524292:LWF524294 MGB524292:MGB524294 MPX524292:MPX524294 MZT524292:MZT524294 NJP524292:NJP524294 NTL524292:NTL524294 ODH524292:ODH524294 OND524292:OND524294 OWZ524292:OWZ524294 PGV524292:PGV524294 PQR524292:PQR524294 QAN524292:QAN524294 QKJ524292:QKJ524294 QUF524292:QUF524294 REB524292:REB524294 RNX524292:RNX524294 RXT524292:RXT524294 SHP524292:SHP524294 SRL524292:SRL524294 TBH524292:TBH524294 TLD524292:TLD524294 TUZ524292:TUZ524294 UEV524292:UEV524294 UOR524292:UOR524294 UYN524292:UYN524294 VIJ524292:VIJ524294 VSF524292:VSF524294 WCB524292:WCB524294 WLX524292:WLX524294 WVT524292:WVT524294 S589828:S589830 JH589828:JH589830 TD589828:TD589830 ACZ589828:ACZ589830 AMV589828:AMV589830 AWR589828:AWR589830 BGN589828:BGN589830 BQJ589828:BQJ589830 CAF589828:CAF589830 CKB589828:CKB589830 CTX589828:CTX589830 DDT589828:DDT589830 DNP589828:DNP589830 DXL589828:DXL589830 EHH589828:EHH589830 ERD589828:ERD589830 FAZ589828:FAZ589830 FKV589828:FKV589830 FUR589828:FUR589830 GEN589828:GEN589830 GOJ589828:GOJ589830 GYF589828:GYF589830 HIB589828:HIB589830 HRX589828:HRX589830 IBT589828:IBT589830 ILP589828:ILP589830 IVL589828:IVL589830 JFH589828:JFH589830 JPD589828:JPD589830 JYZ589828:JYZ589830 KIV589828:KIV589830 KSR589828:KSR589830 LCN589828:LCN589830 LMJ589828:LMJ589830 LWF589828:LWF589830 MGB589828:MGB589830 MPX589828:MPX589830 MZT589828:MZT589830 NJP589828:NJP589830 NTL589828:NTL589830 ODH589828:ODH589830 OND589828:OND589830 OWZ589828:OWZ589830 PGV589828:PGV589830 PQR589828:PQR589830 QAN589828:QAN589830 QKJ589828:QKJ589830 QUF589828:QUF589830 REB589828:REB589830 RNX589828:RNX589830 RXT589828:RXT589830 SHP589828:SHP589830 SRL589828:SRL589830 TBH589828:TBH589830 TLD589828:TLD589830 TUZ589828:TUZ589830 UEV589828:UEV589830 UOR589828:UOR589830 UYN589828:UYN589830 VIJ589828:VIJ589830 VSF589828:VSF589830 WCB589828:WCB589830 WLX589828:WLX589830 WVT589828:WVT589830 S655364:S655366 JH655364:JH655366 TD655364:TD655366 ACZ655364:ACZ655366 AMV655364:AMV655366 AWR655364:AWR655366 BGN655364:BGN655366 BQJ655364:BQJ655366 CAF655364:CAF655366 CKB655364:CKB655366 CTX655364:CTX655366 DDT655364:DDT655366 DNP655364:DNP655366 DXL655364:DXL655366 EHH655364:EHH655366 ERD655364:ERD655366 FAZ655364:FAZ655366 FKV655364:FKV655366 FUR655364:FUR655366 GEN655364:GEN655366 GOJ655364:GOJ655366 GYF655364:GYF655366 HIB655364:HIB655366 HRX655364:HRX655366 IBT655364:IBT655366 ILP655364:ILP655366 IVL655364:IVL655366 JFH655364:JFH655366 JPD655364:JPD655366 JYZ655364:JYZ655366 KIV655364:KIV655366 KSR655364:KSR655366 LCN655364:LCN655366 LMJ655364:LMJ655366 LWF655364:LWF655366 MGB655364:MGB655366 MPX655364:MPX655366 MZT655364:MZT655366 NJP655364:NJP655366 NTL655364:NTL655366 ODH655364:ODH655366 OND655364:OND655366 OWZ655364:OWZ655366 PGV655364:PGV655366 PQR655364:PQR655366 QAN655364:QAN655366 QKJ655364:QKJ655366 QUF655364:QUF655366 REB655364:REB655366 RNX655364:RNX655366 RXT655364:RXT655366 SHP655364:SHP655366 SRL655364:SRL655366 TBH655364:TBH655366 TLD655364:TLD655366 TUZ655364:TUZ655366 UEV655364:UEV655366 UOR655364:UOR655366 UYN655364:UYN655366 VIJ655364:VIJ655366 VSF655364:VSF655366 WCB655364:WCB655366 WLX655364:WLX655366 WVT655364:WVT655366 S720900:S720902 JH720900:JH720902 TD720900:TD720902 ACZ720900:ACZ720902 AMV720900:AMV720902 AWR720900:AWR720902 BGN720900:BGN720902 BQJ720900:BQJ720902 CAF720900:CAF720902 CKB720900:CKB720902 CTX720900:CTX720902 DDT720900:DDT720902 DNP720900:DNP720902 DXL720900:DXL720902 EHH720900:EHH720902 ERD720900:ERD720902 FAZ720900:FAZ720902 FKV720900:FKV720902 FUR720900:FUR720902 GEN720900:GEN720902 GOJ720900:GOJ720902 GYF720900:GYF720902 HIB720900:HIB720902 HRX720900:HRX720902 IBT720900:IBT720902 ILP720900:ILP720902 IVL720900:IVL720902 JFH720900:JFH720902 JPD720900:JPD720902 JYZ720900:JYZ720902 KIV720900:KIV720902 KSR720900:KSR720902 LCN720900:LCN720902 LMJ720900:LMJ720902 LWF720900:LWF720902 MGB720900:MGB720902 MPX720900:MPX720902 MZT720900:MZT720902 NJP720900:NJP720902 NTL720900:NTL720902 ODH720900:ODH720902 OND720900:OND720902 OWZ720900:OWZ720902 PGV720900:PGV720902 PQR720900:PQR720902 QAN720900:QAN720902 QKJ720900:QKJ720902 QUF720900:QUF720902 REB720900:REB720902 RNX720900:RNX720902 RXT720900:RXT720902 SHP720900:SHP720902 SRL720900:SRL720902 TBH720900:TBH720902 TLD720900:TLD720902 TUZ720900:TUZ720902 UEV720900:UEV720902 UOR720900:UOR720902 UYN720900:UYN720902 VIJ720900:VIJ720902 VSF720900:VSF720902 WCB720900:WCB720902 WLX720900:WLX720902 WVT720900:WVT720902 S786436:S786438 JH786436:JH786438 TD786436:TD786438 ACZ786436:ACZ786438 AMV786436:AMV786438 AWR786436:AWR786438 BGN786436:BGN786438 BQJ786436:BQJ786438 CAF786436:CAF786438 CKB786436:CKB786438 CTX786436:CTX786438 DDT786436:DDT786438 DNP786436:DNP786438 DXL786436:DXL786438 EHH786436:EHH786438 ERD786436:ERD786438 FAZ786436:FAZ786438 FKV786436:FKV786438 FUR786436:FUR786438 GEN786436:GEN786438 GOJ786436:GOJ786438 GYF786436:GYF786438 HIB786436:HIB786438 HRX786436:HRX786438 IBT786436:IBT786438 ILP786436:ILP786438 IVL786436:IVL786438 JFH786436:JFH786438 JPD786436:JPD786438 JYZ786436:JYZ786438 KIV786436:KIV786438 KSR786436:KSR786438 LCN786436:LCN786438 LMJ786436:LMJ786438 LWF786436:LWF786438 MGB786436:MGB786438 MPX786436:MPX786438 MZT786436:MZT786438 NJP786436:NJP786438 NTL786436:NTL786438 ODH786436:ODH786438 OND786436:OND786438 OWZ786436:OWZ786438 PGV786436:PGV786438 PQR786436:PQR786438 QAN786436:QAN786438 QKJ786436:QKJ786438 QUF786436:QUF786438 REB786436:REB786438 RNX786436:RNX786438 RXT786436:RXT786438 SHP786436:SHP786438 SRL786436:SRL786438 TBH786436:TBH786438 TLD786436:TLD786438 TUZ786436:TUZ786438 UEV786436:UEV786438 UOR786436:UOR786438 UYN786436:UYN786438 VIJ786436:VIJ786438 VSF786436:VSF786438 WCB786436:WCB786438 WLX786436:WLX786438 WVT786436:WVT786438 S851972:S851974 JH851972:JH851974 TD851972:TD851974 ACZ851972:ACZ851974 AMV851972:AMV851974 AWR851972:AWR851974 BGN851972:BGN851974 BQJ851972:BQJ851974 CAF851972:CAF851974 CKB851972:CKB851974 CTX851972:CTX851974 DDT851972:DDT851974 DNP851972:DNP851974 DXL851972:DXL851974 EHH851972:EHH851974 ERD851972:ERD851974 FAZ851972:FAZ851974 FKV851972:FKV851974 FUR851972:FUR851974 GEN851972:GEN851974 GOJ851972:GOJ851974 GYF851972:GYF851974 HIB851972:HIB851974 HRX851972:HRX851974 IBT851972:IBT851974 ILP851972:ILP851974 IVL851972:IVL851974 JFH851972:JFH851974 JPD851972:JPD851974 JYZ851972:JYZ851974 KIV851972:KIV851974 KSR851972:KSR851974 LCN851972:LCN851974 LMJ851972:LMJ851974 LWF851972:LWF851974 MGB851972:MGB851974 MPX851972:MPX851974 MZT851972:MZT851974 NJP851972:NJP851974 NTL851972:NTL851974 ODH851972:ODH851974 OND851972:OND851974 OWZ851972:OWZ851974 PGV851972:PGV851974 PQR851972:PQR851974 QAN851972:QAN851974 QKJ851972:QKJ851974 QUF851972:QUF851974 REB851972:REB851974 RNX851972:RNX851974 RXT851972:RXT851974 SHP851972:SHP851974 SRL851972:SRL851974 TBH851972:TBH851974 TLD851972:TLD851974 TUZ851972:TUZ851974 UEV851972:UEV851974 UOR851972:UOR851974 UYN851972:UYN851974 VIJ851972:VIJ851974 VSF851972:VSF851974 WCB851972:WCB851974 WLX851972:WLX851974 WVT851972:WVT851974 S917508:S917510 JH917508:JH917510 TD917508:TD917510 ACZ917508:ACZ917510 AMV917508:AMV917510 AWR917508:AWR917510 BGN917508:BGN917510 BQJ917508:BQJ917510 CAF917508:CAF917510 CKB917508:CKB917510 CTX917508:CTX917510 DDT917508:DDT917510 DNP917508:DNP917510 DXL917508:DXL917510 EHH917508:EHH917510 ERD917508:ERD917510 FAZ917508:FAZ917510 FKV917508:FKV917510 FUR917508:FUR917510 GEN917508:GEN917510 GOJ917508:GOJ917510 GYF917508:GYF917510 HIB917508:HIB917510 HRX917508:HRX917510 IBT917508:IBT917510 ILP917508:ILP917510 IVL917508:IVL917510 JFH917508:JFH917510 JPD917508:JPD917510 JYZ917508:JYZ917510 KIV917508:KIV917510 KSR917508:KSR917510 LCN917508:LCN917510 LMJ917508:LMJ917510 LWF917508:LWF917510 MGB917508:MGB917510 MPX917508:MPX917510 MZT917508:MZT917510 NJP917508:NJP917510 NTL917508:NTL917510 ODH917508:ODH917510 OND917508:OND917510 OWZ917508:OWZ917510 PGV917508:PGV917510 PQR917508:PQR917510 QAN917508:QAN917510 QKJ917508:QKJ917510 QUF917508:QUF917510 REB917508:REB917510 RNX917508:RNX917510 RXT917508:RXT917510 SHP917508:SHP917510 SRL917508:SRL917510 TBH917508:TBH917510 TLD917508:TLD917510 TUZ917508:TUZ917510 UEV917508:UEV917510 UOR917508:UOR917510 UYN917508:UYN917510 VIJ917508:VIJ917510 VSF917508:VSF917510 WCB917508:WCB917510 WLX917508:WLX917510 WVT917508:WVT917510 S983044:S983046 JH983044:JH983046 TD983044:TD983046 ACZ983044:ACZ983046 AMV983044:AMV983046 AWR983044:AWR983046 BGN983044:BGN983046 BQJ983044:BQJ983046 CAF983044:CAF983046 CKB983044:CKB983046 CTX983044:CTX983046 DDT983044:DDT983046 DNP983044:DNP983046 DXL983044:DXL983046 EHH983044:EHH983046 ERD983044:ERD983046 FAZ983044:FAZ983046 FKV983044:FKV983046 FUR983044:FUR983046 GEN983044:GEN983046 GOJ983044:GOJ983046 GYF983044:GYF983046 HIB983044:HIB983046 HRX983044:HRX983046 IBT983044:IBT983046 ILP983044:ILP983046 IVL983044:IVL983046 JFH983044:JFH983046 JPD983044:JPD983046 JYZ983044:JYZ983046 KIV983044:KIV983046 KSR983044:KSR983046 LCN983044:LCN983046 LMJ983044:LMJ983046 LWF983044:LWF983046 MGB983044:MGB983046 MPX983044:MPX983046 MZT983044:MZT983046 NJP983044:NJP983046 NTL983044:NTL983046 ODH983044:ODH983046 OND983044:OND983046 OWZ983044:OWZ983046 PGV983044:PGV983046 PQR983044:PQR983046 QAN983044:QAN983046 QKJ983044:QKJ983046 QUF983044:QUF983046 REB983044:REB983046 RNX983044:RNX983046 RXT983044:RXT983046 SHP983044:SHP983046 SRL983044:SRL983046 TBH983044:TBH983046 TLD983044:TLD983046 TUZ983044:TUZ983046 UEV983044:UEV983046 UOR983044:UOR983046 UYN983044:UYN983046 VIJ983044:VIJ983046 VSF983044:VSF983046 WCB983044:WCB983046 WLX983044:WLX983046 WVT983044:WVT983046 U65546:U65569 JJ65546:JJ65569 TF65546:TF65569 ADB65546:ADB65569 AMX65546:AMX65569 AWT65546:AWT65569 BGP65546:BGP65569 BQL65546:BQL65569 CAH65546:CAH65569 CKD65546:CKD65569 CTZ65546:CTZ65569 DDV65546:DDV65569 DNR65546:DNR65569 DXN65546:DXN65569 EHJ65546:EHJ65569 ERF65546:ERF65569 FBB65546:FBB65569 FKX65546:FKX65569 FUT65546:FUT65569 GEP65546:GEP65569 GOL65546:GOL65569 GYH65546:GYH65569 HID65546:HID65569 HRZ65546:HRZ65569 IBV65546:IBV65569 ILR65546:ILR65569 IVN65546:IVN65569 JFJ65546:JFJ65569 JPF65546:JPF65569 JZB65546:JZB65569 KIX65546:KIX65569 KST65546:KST65569 LCP65546:LCP65569 LML65546:LML65569 LWH65546:LWH65569 MGD65546:MGD65569 MPZ65546:MPZ65569 MZV65546:MZV65569 NJR65546:NJR65569 NTN65546:NTN65569 ODJ65546:ODJ65569 ONF65546:ONF65569 OXB65546:OXB65569 PGX65546:PGX65569 PQT65546:PQT65569 QAP65546:QAP65569 QKL65546:QKL65569 QUH65546:QUH65569 RED65546:RED65569 RNZ65546:RNZ65569 RXV65546:RXV65569 SHR65546:SHR65569 SRN65546:SRN65569 TBJ65546:TBJ65569 TLF65546:TLF65569 TVB65546:TVB65569 UEX65546:UEX65569 UOT65546:UOT65569 UYP65546:UYP65569 VIL65546:VIL65569 VSH65546:VSH65569 WCD65546:WCD65569 WLZ65546:WLZ65569 WVV65546:WVV65569 U131082:U131105 JJ131082:JJ131105 TF131082:TF131105 ADB131082:ADB131105 AMX131082:AMX131105 AWT131082:AWT131105 BGP131082:BGP131105 BQL131082:BQL131105 CAH131082:CAH131105 CKD131082:CKD131105 CTZ131082:CTZ131105 DDV131082:DDV131105 DNR131082:DNR131105 DXN131082:DXN131105 EHJ131082:EHJ131105 ERF131082:ERF131105 FBB131082:FBB131105 FKX131082:FKX131105 FUT131082:FUT131105 GEP131082:GEP131105 GOL131082:GOL131105 GYH131082:GYH131105 HID131082:HID131105 HRZ131082:HRZ131105 IBV131082:IBV131105 ILR131082:ILR131105 IVN131082:IVN131105 JFJ131082:JFJ131105 JPF131082:JPF131105 JZB131082:JZB131105 KIX131082:KIX131105 KST131082:KST131105 LCP131082:LCP131105 LML131082:LML131105 LWH131082:LWH131105 MGD131082:MGD131105 MPZ131082:MPZ131105 MZV131082:MZV131105 NJR131082:NJR131105 NTN131082:NTN131105 ODJ131082:ODJ131105 ONF131082:ONF131105 OXB131082:OXB131105 PGX131082:PGX131105 PQT131082:PQT131105 QAP131082:QAP131105 QKL131082:QKL131105 QUH131082:QUH131105 RED131082:RED131105 RNZ131082:RNZ131105 RXV131082:RXV131105 SHR131082:SHR131105 SRN131082:SRN131105 TBJ131082:TBJ131105 TLF131082:TLF131105 TVB131082:TVB131105 UEX131082:UEX131105 UOT131082:UOT131105 UYP131082:UYP131105 VIL131082:VIL131105 VSH131082:VSH131105 WCD131082:WCD131105 WLZ131082:WLZ131105 WVV131082:WVV131105 U196618:U196641 JJ196618:JJ196641 TF196618:TF196641 ADB196618:ADB196641 AMX196618:AMX196641 AWT196618:AWT196641 BGP196618:BGP196641 BQL196618:BQL196641 CAH196618:CAH196641 CKD196618:CKD196641 CTZ196618:CTZ196641 DDV196618:DDV196641 DNR196618:DNR196641 DXN196618:DXN196641 EHJ196618:EHJ196641 ERF196618:ERF196641 FBB196618:FBB196641 FKX196618:FKX196641 FUT196618:FUT196641 GEP196618:GEP196641 GOL196618:GOL196641 GYH196618:GYH196641 HID196618:HID196641 HRZ196618:HRZ196641 IBV196618:IBV196641 ILR196618:ILR196641 IVN196618:IVN196641 JFJ196618:JFJ196641 JPF196618:JPF196641 JZB196618:JZB196641 KIX196618:KIX196641 KST196618:KST196641 LCP196618:LCP196641 LML196618:LML196641 LWH196618:LWH196641 MGD196618:MGD196641 MPZ196618:MPZ196641 MZV196618:MZV196641 NJR196618:NJR196641 NTN196618:NTN196641 ODJ196618:ODJ196641 ONF196618:ONF196641 OXB196618:OXB196641 PGX196618:PGX196641 PQT196618:PQT196641 QAP196618:QAP196641 QKL196618:QKL196641 QUH196618:QUH196641 RED196618:RED196641 RNZ196618:RNZ196641 RXV196618:RXV196641 SHR196618:SHR196641 SRN196618:SRN196641 TBJ196618:TBJ196641 TLF196618:TLF196641 TVB196618:TVB196641 UEX196618:UEX196641 UOT196618:UOT196641 UYP196618:UYP196641 VIL196618:VIL196641 VSH196618:VSH196641 WCD196618:WCD196641 WLZ196618:WLZ196641 WVV196618:WVV196641 U262154:U262177 JJ262154:JJ262177 TF262154:TF262177 ADB262154:ADB262177 AMX262154:AMX262177 AWT262154:AWT262177 BGP262154:BGP262177 BQL262154:BQL262177 CAH262154:CAH262177 CKD262154:CKD262177 CTZ262154:CTZ262177 DDV262154:DDV262177 DNR262154:DNR262177 DXN262154:DXN262177 EHJ262154:EHJ262177 ERF262154:ERF262177 FBB262154:FBB262177 FKX262154:FKX262177 FUT262154:FUT262177 GEP262154:GEP262177 GOL262154:GOL262177 GYH262154:GYH262177 HID262154:HID262177 HRZ262154:HRZ262177 IBV262154:IBV262177 ILR262154:ILR262177 IVN262154:IVN262177 JFJ262154:JFJ262177 JPF262154:JPF262177 JZB262154:JZB262177 KIX262154:KIX262177 KST262154:KST262177 LCP262154:LCP262177 LML262154:LML262177 LWH262154:LWH262177 MGD262154:MGD262177 MPZ262154:MPZ262177 MZV262154:MZV262177 NJR262154:NJR262177 NTN262154:NTN262177 ODJ262154:ODJ262177 ONF262154:ONF262177 OXB262154:OXB262177 PGX262154:PGX262177 PQT262154:PQT262177 QAP262154:QAP262177 QKL262154:QKL262177 QUH262154:QUH262177 RED262154:RED262177 RNZ262154:RNZ262177 RXV262154:RXV262177 SHR262154:SHR262177 SRN262154:SRN262177 TBJ262154:TBJ262177 TLF262154:TLF262177 TVB262154:TVB262177 UEX262154:UEX262177 UOT262154:UOT262177 UYP262154:UYP262177 VIL262154:VIL262177 VSH262154:VSH262177 WCD262154:WCD262177 WLZ262154:WLZ262177 WVV262154:WVV262177 U327690:U327713 JJ327690:JJ327713 TF327690:TF327713 ADB327690:ADB327713 AMX327690:AMX327713 AWT327690:AWT327713 BGP327690:BGP327713 BQL327690:BQL327713 CAH327690:CAH327713 CKD327690:CKD327713 CTZ327690:CTZ327713 DDV327690:DDV327713 DNR327690:DNR327713 DXN327690:DXN327713 EHJ327690:EHJ327713 ERF327690:ERF327713 FBB327690:FBB327713 FKX327690:FKX327713 FUT327690:FUT327713 GEP327690:GEP327713 GOL327690:GOL327713 GYH327690:GYH327713 HID327690:HID327713 HRZ327690:HRZ327713 IBV327690:IBV327713 ILR327690:ILR327713 IVN327690:IVN327713 JFJ327690:JFJ327713 JPF327690:JPF327713 JZB327690:JZB327713 KIX327690:KIX327713 KST327690:KST327713 LCP327690:LCP327713 LML327690:LML327713 LWH327690:LWH327713 MGD327690:MGD327713 MPZ327690:MPZ327713 MZV327690:MZV327713 NJR327690:NJR327713 NTN327690:NTN327713 ODJ327690:ODJ327713 ONF327690:ONF327713 OXB327690:OXB327713 PGX327690:PGX327713 PQT327690:PQT327713 QAP327690:QAP327713 QKL327690:QKL327713 QUH327690:QUH327713 RED327690:RED327713 RNZ327690:RNZ327713 RXV327690:RXV327713 SHR327690:SHR327713 SRN327690:SRN327713 TBJ327690:TBJ327713 TLF327690:TLF327713 TVB327690:TVB327713 UEX327690:UEX327713 UOT327690:UOT327713 UYP327690:UYP327713 VIL327690:VIL327713 VSH327690:VSH327713 WCD327690:WCD327713 WLZ327690:WLZ327713 WVV327690:WVV327713 U393226:U393249 JJ393226:JJ393249 TF393226:TF393249 ADB393226:ADB393249 AMX393226:AMX393249 AWT393226:AWT393249 BGP393226:BGP393249 BQL393226:BQL393249 CAH393226:CAH393249 CKD393226:CKD393249 CTZ393226:CTZ393249 DDV393226:DDV393249 DNR393226:DNR393249 DXN393226:DXN393249 EHJ393226:EHJ393249 ERF393226:ERF393249 FBB393226:FBB393249 FKX393226:FKX393249 FUT393226:FUT393249 GEP393226:GEP393249 GOL393226:GOL393249 GYH393226:GYH393249 HID393226:HID393249 HRZ393226:HRZ393249 IBV393226:IBV393249 ILR393226:ILR393249 IVN393226:IVN393249 JFJ393226:JFJ393249 JPF393226:JPF393249 JZB393226:JZB393249 KIX393226:KIX393249 KST393226:KST393249 LCP393226:LCP393249 LML393226:LML393249 LWH393226:LWH393249 MGD393226:MGD393249 MPZ393226:MPZ393249 MZV393226:MZV393249 NJR393226:NJR393249 NTN393226:NTN393249 ODJ393226:ODJ393249 ONF393226:ONF393249 OXB393226:OXB393249 PGX393226:PGX393249 PQT393226:PQT393249 QAP393226:QAP393249 QKL393226:QKL393249 QUH393226:QUH393249 RED393226:RED393249 RNZ393226:RNZ393249 RXV393226:RXV393249 SHR393226:SHR393249 SRN393226:SRN393249 TBJ393226:TBJ393249 TLF393226:TLF393249 TVB393226:TVB393249 UEX393226:UEX393249 UOT393226:UOT393249 UYP393226:UYP393249 VIL393226:VIL393249 VSH393226:VSH393249 WCD393226:WCD393249 WLZ393226:WLZ393249 WVV393226:WVV393249 U458762:U458785 JJ458762:JJ458785 TF458762:TF458785 ADB458762:ADB458785 AMX458762:AMX458785 AWT458762:AWT458785 BGP458762:BGP458785 BQL458762:BQL458785 CAH458762:CAH458785 CKD458762:CKD458785 CTZ458762:CTZ458785 DDV458762:DDV458785 DNR458762:DNR458785 DXN458762:DXN458785 EHJ458762:EHJ458785 ERF458762:ERF458785 FBB458762:FBB458785 FKX458762:FKX458785 FUT458762:FUT458785 GEP458762:GEP458785 GOL458762:GOL458785 GYH458762:GYH458785 HID458762:HID458785 HRZ458762:HRZ458785 IBV458762:IBV458785 ILR458762:ILR458785 IVN458762:IVN458785 JFJ458762:JFJ458785 JPF458762:JPF458785 JZB458762:JZB458785 KIX458762:KIX458785 KST458762:KST458785 LCP458762:LCP458785 LML458762:LML458785 LWH458762:LWH458785 MGD458762:MGD458785 MPZ458762:MPZ458785 MZV458762:MZV458785 NJR458762:NJR458785 NTN458762:NTN458785 ODJ458762:ODJ458785 ONF458762:ONF458785 OXB458762:OXB458785 PGX458762:PGX458785 PQT458762:PQT458785 QAP458762:QAP458785 QKL458762:QKL458785 QUH458762:QUH458785 RED458762:RED458785 RNZ458762:RNZ458785 RXV458762:RXV458785 SHR458762:SHR458785 SRN458762:SRN458785 TBJ458762:TBJ458785 TLF458762:TLF458785 TVB458762:TVB458785 UEX458762:UEX458785 UOT458762:UOT458785 UYP458762:UYP458785 VIL458762:VIL458785 VSH458762:VSH458785 WCD458762:WCD458785 WLZ458762:WLZ458785 WVV458762:WVV458785 U524298:U524321 JJ524298:JJ524321 TF524298:TF524321 ADB524298:ADB524321 AMX524298:AMX524321 AWT524298:AWT524321 BGP524298:BGP524321 BQL524298:BQL524321 CAH524298:CAH524321 CKD524298:CKD524321 CTZ524298:CTZ524321 DDV524298:DDV524321 DNR524298:DNR524321 DXN524298:DXN524321 EHJ524298:EHJ524321 ERF524298:ERF524321 FBB524298:FBB524321 FKX524298:FKX524321 FUT524298:FUT524321 GEP524298:GEP524321 GOL524298:GOL524321 GYH524298:GYH524321 HID524298:HID524321 HRZ524298:HRZ524321 IBV524298:IBV524321 ILR524298:ILR524321 IVN524298:IVN524321 JFJ524298:JFJ524321 JPF524298:JPF524321 JZB524298:JZB524321 KIX524298:KIX524321 KST524298:KST524321 LCP524298:LCP524321 LML524298:LML524321 LWH524298:LWH524321 MGD524298:MGD524321 MPZ524298:MPZ524321 MZV524298:MZV524321 NJR524298:NJR524321 NTN524298:NTN524321 ODJ524298:ODJ524321 ONF524298:ONF524321 OXB524298:OXB524321 PGX524298:PGX524321 PQT524298:PQT524321 QAP524298:QAP524321 QKL524298:QKL524321 QUH524298:QUH524321 RED524298:RED524321 RNZ524298:RNZ524321 RXV524298:RXV524321 SHR524298:SHR524321 SRN524298:SRN524321 TBJ524298:TBJ524321 TLF524298:TLF524321 TVB524298:TVB524321 UEX524298:UEX524321 UOT524298:UOT524321 UYP524298:UYP524321 VIL524298:VIL524321 VSH524298:VSH524321 WCD524298:WCD524321 WLZ524298:WLZ524321 WVV524298:WVV524321 U589834:U589857 JJ589834:JJ589857 TF589834:TF589857 ADB589834:ADB589857 AMX589834:AMX589857 AWT589834:AWT589857 BGP589834:BGP589857 BQL589834:BQL589857 CAH589834:CAH589857 CKD589834:CKD589857 CTZ589834:CTZ589857 DDV589834:DDV589857 DNR589834:DNR589857 DXN589834:DXN589857 EHJ589834:EHJ589857 ERF589834:ERF589857 FBB589834:FBB589857 FKX589834:FKX589857 FUT589834:FUT589857 GEP589834:GEP589857 GOL589834:GOL589857 GYH589834:GYH589857 HID589834:HID589857 HRZ589834:HRZ589857 IBV589834:IBV589857 ILR589834:ILR589857 IVN589834:IVN589857 JFJ589834:JFJ589857 JPF589834:JPF589857 JZB589834:JZB589857 KIX589834:KIX589857 KST589834:KST589857 LCP589834:LCP589857 LML589834:LML589857 LWH589834:LWH589857 MGD589834:MGD589857 MPZ589834:MPZ589857 MZV589834:MZV589857 NJR589834:NJR589857 NTN589834:NTN589857 ODJ589834:ODJ589857 ONF589834:ONF589857 OXB589834:OXB589857 PGX589834:PGX589857 PQT589834:PQT589857 QAP589834:QAP589857 QKL589834:QKL589857 QUH589834:QUH589857 RED589834:RED589857 RNZ589834:RNZ589857 RXV589834:RXV589857 SHR589834:SHR589857 SRN589834:SRN589857 TBJ589834:TBJ589857 TLF589834:TLF589857 TVB589834:TVB589857 UEX589834:UEX589857 UOT589834:UOT589857 UYP589834:UYP589857 VIL589834:VIL589857 VSH589834:VSH589857 WCD589834:WCD589857 WLZ589834:WLZ589857 WVV589834:WVV589857 U655370:U655393 JJ655370:JJ655393 TF655370:TF655393 ADB655370:ADB655393 AMX655370:AMX655393 AWT655370:AWT655393 BGP655370:BGP655393 BQL655370:BQL655393 CAH655370:CAH655393 CKD655370:CKD655393 CTZ655370:CTZ655393 DDV655370:DDV655393 DNR655370:DNR655393 DXN655370:DXN655393 EHJ655370:EHJ655393 ERF655370:ERF655393 FBB655370:FBB655393 FKX655370:FKX655393 FUT655370:FUT655393 GEP655370:GEP655393 GOL655370:GOL655393 GYH655370:GYH655393 HID655370:HID655393 HRZ655370:HRZ655393 IBV655370:IBV655393 ILR655370:ILR655393 IVN655370:IVN655393 JFJ655370:JFJ655393 JPF655370:JPF655393 JZB655370:JZB655393 KIX655370:KIX655393 KST655370:KST655393 LCP655370:LCP655393 LML655370:LML655393 LWH655370:LWH655393 MGD655370:MGD655393 MPZ655370:MPZ655393 MZV655370:MZV655393 NJR655370:NJR655393 NTN655370:NTN655393 ODJ655370:ODJ655393 ONF655370:ONF655393 OXB655370:OXB655393 PGX655370:PGX655393 PQT655370:PQT655393 QAP655370:QAP655393 QKL655370:QKL655393 QUH655370:QUH655393 RED655370:RED655393 RNZ655370:RNZ655393 RXV655370:RXV655393 SHR655370:SHR655393 SRN655370:SRN655393 TBJ655370:TBJ655393 TLF655370:TLF655393 TVB655370:TVB655393 UEX655370:UEX655393 UOT655370:UOT655393 UYP655370:UYP655393 VIL655370:VIL655393 VSH655370:VSH655393 WCD655370:WCD655393 WLZ655370:WLZ655393 WVV655370:WVV655393 U720906:U720929 JJ720906:JJ720929 TF720906:TF720929 ADB720906:ADB720929 AMX720906:AMX720929 AWT720906:AWT720929 BGP720906:BGP720929 BQL720906:BQL720929 CAH720906:CAH720929 CKD720906:CKD720929 CTZ720906:CTZ720929 DDV720906:DDV720929 DNR720906:DNR720929 DXN720906:DXN720929 EHJ720906:EHJ720929 ERF720906:ERF720929 FBB720906:FBB720929 FKX720906:FKX720929 FUT720906:FUT720929 GEP720906:GEP720929 GOL720906:GOL720929 GYH720906:GYH720929 HID720906:HID720929 HRZ720906:HRZ720929 IBV720906:IBV720929 ILR720906:ILR720929 IVN720906:IVN720929 JFJ720906:JFJ720929 JPF720906:JPF720929 JZB720906:JZB720929 KIX720906:KIX720929 KST720906:KST720929 LCP720906:LCP720929 LML720906:LML720929 LWH720906:LWH720929 MGD720906:MGD720929 MPZ720906:MPZ720929 MZV720906:MZV720929 NJR720906:NJR720929 NTN720906:NTN720929 ODJ720906:ODJ720929 ONF720906:ONF720929 OXB720906:OXB720929 PGX720906:PGX720929 PQT720906:PQT720929 QAP720906:QAP720929 QKL720906:QKL720929 QUH720906:QUH720929 RED720906:RED720929 RNZ720906:RNZ720929 RXV720906:RXV720929 SHR720906:SHR720929 SRN720906:SRN720929 TBJ720906:TBJ720929 TLF720906:TLF720929 TVB720906:TVB720929 UEX720906:UEX720929 UOT720906:UOT720929 UYP720906:UYP720929 VIL720906:VIL720929 VSH720906:VSH720929 WCD720906:WCD720929 WLZ720906:WLZ720929 WVV720906:WVV720929 U786442:U786465 JJ786442:JJ786465 TF786442:TF786465 ADB786442:ADB786465 AMX786442:AMX786465 AWT786442:AWT786465 BGP786442:BGP786465 BQL786442:BQL786465 CAH786442:CAH786465 CKD786442:CKD786465 CTZ786442:CTZ786465 DDV786442:DDV786465 DNR786442:DNR786465 DXN786442:DXN786465 EHJ786442:EHJ786465 ERF786442:ERF786465 FBB786442:FBB786465 FKX786442:FKX786465 FUT786442:FUT786465 GEP786442:GEP786465 GOL786442:GOL786465 GYH786442:GYH786465 HID786442:HID786465 HRZ786442:HRZ786465 IBV786442:IBV786465 ILR786442:ILR786465 IVN786442:IVN786465 JFJ786442:JFJ786465 JPF786442:JPF786465 JZB786442:JZB786465 KIX786442:KIX786465 KST786442:KST786465 LCP786442:LCP786465 LML786442:LML786465 LWH786442:LWH786465 MGD786442:MGD786465 MPZ786442:MPZ786465 MZV786442:MZV786465 NJR786442:NJR786465 NTN786442:NTN786465 ODJ786442:ODJ786465 ONF786442:ONF786465 OXB786442:OXB786465 PGX786442:PGX786465 PQT786442:PQT786465 QAP786442:QAP786465 QKL786442:QKL786465 QUH786442:QUH786465 RED786442:RED786465 RNZ786442:RNZ786465 RXV786442:RXV786465 SHR786442:SHR786465 SRN786442:SRN786465 TBJ786442:TBJ786465 TLF786442:TLF786465 TVB786442:TVB786465 UEX786442:UEX786465 UOT786442:UOT786465 UYP786442:UYP786465 VIL786442:VIL786465 VSH786442:VSH786465 WCD786442:WCD786465 WLZ786442:WLZ786465 WVV786442:WVV786465 U851978:U852001 JJ851978:JJ852001 TF851978:TF852001 ADB851978:ADB852001 AMX851978:AMX852001 AWT851978:AWT852001 BGP851978:BGP852001 BQL851978:BQL852001 CAH851978:CAH852001 CKD851978:CKD852001 CTZ851978:CTZ852001 DDV851978:DDV852001 DNR851978:DNR852001 DXN851978:DXN852001 EHJ851978:EHJ852001 ERF851978:ERF852001 FBB851978:FBB852001 FKX851978:FKX852001 FUT851978:FUT852001 GEP851978:GEP852001 GOL851978:GOL852001 GYH851978:GYH852001 HID851978:HID852001 HRZ851978:HRZ852001 IBV851978:IBV852001 ILR851978:ILR852001 IVN851978:IVN852001 JFJ851978:JFJ852001 JPF851978:JPF852001 JZB851978:JZB852001 KIX851978:KIX852001 KST851978:KST852001 LCP851978:LCP852001 LML851978:LML852001 LWH851978:LWH852001 MGD851978:MGD852001 MPZ851978:MPZ852001 MZV851978:MZV852001 NJR851978:NJR852001 NTN851978:NTN852001 ODJ851978:ODJ852001 ONF851978:ONF852001 OXB851978:OXB852001 PGX851978:PGX852001 PQT851978:PQT852001 QAP851978:QAP852001 QKL851978:QKL852001 QUH851978:QUH852001 RED851978:RED852001 RNZ851978:RNZ852001 RXV851978:RXV852001 SHR851978:SHR852001 SRN851978:SRN852001 TBJ851978:TBJ852001 TLF851978:TLF852001 TVB851978:TVB852001 UEX851978:UEX852001 UOT851978:UOT852001 UYP851978:UYP852001 VIL851978:VIL852001 VSH851978:VSH852001 WCD851978:WCD852001 WLZ851978:WLZ852001 WVV851978:WVV852001 U917514:U917537 JJ917514:JJ917537 TF917514:TF917537 ADB917514:ADB917537 AMX917514:AMX917537 AWT917514:AWT917537 BGP917514:BGP917537 BQL917514:BQL917537 CAH917514:CAH917537 CKD917514:CKD917537 CTZ917514:CTZ917537 DDV917514:DDV917537 DNR917514:DNR917537 DXN917514:DXN917537 EHJ917514:EHJ917537 ERF917514:ERF917537 FBB917514:FBB917537 FKX917514:FKX917537 FUT917514:FUT917537 GEP917514:GEP917537 GOL917514:GOL917537 GYH917514:GYH917537 HID917514:HID917537 HRZ917514:HRZ917537 IBV917514:IBV917537 ILR917514:ILR917537 IVN917514:IVN917537 JFJ917514:JFJ917537 JPF917514:JPF917537 JZB917514:JZB917537 KIX917514:KIX917537 KST917514:KST917537 LCP917514:LCP917537 LML917514:LML917537 LWH917514:LWH917537 MGD917514:MGD917537 MPZ917514:MPZ917537 MZV917514:MZV917537 NJR917514:NJR917537 NTN917514:NTN917537 ODJ917514:ODJ917537 ONF917514:ONF917537 OXB917514:OXB917537 PGX917514:PGX917537 PQT917514:PQT917537 QAP917514:QAP917537 QKL917514:QKL917537 QUH917514:QUH917537 RED917514:RED917537 RNZ917514:RNZ917537 RXV917514:RXV917537 SHR917514:SHR917537 SRN917514:SRN917537 TBJ917514:TBJ917537 TLF917514:TLF917537 TVB917514:TVB917537 UEX917514:UEX917537 UOT917514:UOT917537 UYP917514:UYP917537 VIL917514:VIL917537 VSH917514:VSH917537 WCD917514:WCD917537 WLZ917514:WLZ917537 WVV917514:WVV917537 U983050:U983073 JJ983050:JJ983073 TF983050:TF983073 ADB983050:ADB983073 AMX983050:AMX983073 AWT983050:AWT983073 BGP983050:BGP983073 BQL983050:BQL983073 CAH983050:CAH983073 CKD983050:CKD983073 CTZ983050:CTZ983073 DDV983050:DDV983073 DNR983050:DNR983073 DXN983050:DXN983073 EHJ983050:EHJ983073 ERF983050:ERF983073 FBB983050:FBB983073 FKX983050:FKX983073 FUT983050:FUT983073 GEP983050:GEP983073 GOL983050:GOL983073 GYH983050:GYH983073 HID983050:HID983073 HRZ983050:HRZ983073 IBV983050:IBV983073 ILR983050:ILR983073 IVN983050:IVN983073 JFJ983050:JFJ983073 JPF983050:JPF983073 JZB983050:JZB983073 KIX983050:KIX983073 KST983050:KST983073 LCP983050:LCP983073 LML983050:LML983073 LWH983050:LWH983073 MGD983050:MGD983073 MPZ983050:MPZ983073 MZV983050:MZV983073 NJR983050:NJR983073 NTN983050:NTN983073 ODJ983050:ODJ983073 ONF983050:ONF983073 OXB983050:OXB983073 PGX983050:PGX983073 PQT983050:PQT983073 QAP983050:QAP983073 QKL983050:QKL983073 QUH983050:QUH983073 RED983050:RED983073 RNZ983050:RNZ983073 RXV983050:RXV983073 SHR983050:SHR983073 SRN983050:SRN983073 TBJ983050:TBJ983073 TLF983050:TLF983073 TVB983050:TVB983073 UEX983050:UEX983073 UOT983050:UOT983073 UYP983050:UYP983073 VIL983050:VIL983073 VSH983050:VSH983073 WCD983050:WCD983073 WLZ983050:WLZ983073 WVV983050:WVV983073 JL65546:JL65569 TH65546:TH65569 ADD65546:ADD65569 AMZ65546:AMZ65569 AWV65546:AWV65569 BGR65546:BGR65569 BQN65546:BQN65569 CAJ65546:CAJ65569 CKF65546:CKF65569 CUB65546:CUB65569 DDX65546:DDX65569 DNT65546:DNT65569 DXP65546:DXP65569 EHL65546:EHL65569 ERH65546:ERH65569 FBD65546:FBD65569 FKZ65546:FKZ65569 FUV65546:FUV65569 GER65546:GER65569 GON65546:GON65569 GYJ65546:GYJ65569 HIF65546:HIF65569 HSB65546:HSB65569 IBX65546:IBX65569 ILT65546:ILT65569 IVP65546:IVP65569 JFL65546:JFL65569 JPH65546:JPH65569 JZD65546:JZD65569 KIZ65546:KIZ65569 KSV65546:KSV65569 LCR65546:LCR65569 LMN65546:LMN65569 LWJ65546:LWJ65569 MGF65546:MGF65569 MQB65546:MQB65569 MZX65546:MZX65569 NJT65546:NJT65569 NTP65546:NTP65569 ODL65546:ODL65569 ONH65546:ONH65569 OXD65546:OXD65569 PGZ65546:PGZ65569 PQV65546:PQV65569 QAR65546:QAR65569 QKN65546:QKN65569 QUJ65546:QUJ65569 REF65546:REF65569 ROB65546:ROB65569 RXX65546:RXX65569 SHT65546:SHT65569 SRP65546:SRP65569 TBL65546:TBL65569 TLH65546:TLH65569 TVD65546:TVD65569 UEZ65546:UEZ65569 UOV65546:UOV65569 UYR65546:UYR65569 VIN65546:VIN65569 VSJ65546:VSJ65569 WCF65546:WCF65569 WMB65546:WMB65569 WVX65546:WVX65569 JL131082:JL131105 TH131082:TH131105 ADD131082:ADD131105 AMZ131082:AMZ131105 AWV131082:AWV131105 BGR131082:BGR131105 BQN131082:BQN131105 CAJ131082:CAJ131105 CKF131082:CKF131105 CUB131082:CUB131105 DDX131082:DDX131105 DNT131082:DNT131105 DXP131082:DXP131105 EHL131082:EHL131105 ERH131082:ERH131105 FBD131082:FBD131105 FKZ131082:FKZ131105 FUV131082:FUV131105 GER131082:GER131105 GON131082:GON131105 GYJ131082:GYJ131105 HIF131082:HIF131105 HSB131082:HSB131105 IBX131082:IBX131105 ILT131082:ILT131105 IVP131082:IVP131105 JFL131082:JFL131105 JPH131082:JPH131105 JZD131082:JZD131105 KIZ131082:KIZ131105 KSV131082:KSV131105 LCR131082:LCR131105 LMN131082:LMN131105 LWJ131082:LWJ131105 MGF131082:MGF131105 MQB131082:MQB131105 MZX131082:MZX131105 NJT131082:NJT131105 NTP131082:NTP131105 ODL131082:ODL131105 ONH131082:ONH131105 OXD131082:OXD131105 PGZ131082:PGZ131105 PQV131082:PQV131105 QAR131082:QAR131105 QKN131082:QKN131105 QUJ131082:QUJ131105 REF131082:REF131105 ROB131082:ROB131105 RXX131082:RXX131105 SHT131082:SHT131105 SRP131082:SRP131105 TBL131082:TBL131105 TLH131082:TLH131105 TVD131082:TVD131105 UEZ131082:UEZ131105 UOV131082:UOV131105 UYR131082:UYR131105 VIN131082:VIN131105 VSJ131082:VSJ131105 WCF131082:WCF131105 WMB131082:WMB131105 WVX131082:WVX131105 JL196618:JL196641 TH196618:TH196641 ADD196618:ADD196641 AMZ196618:AMZ196641 AWV196618:AWV196641 BGR196618:BGR196641 BQN196618:BQN196641 CAJ196618:CAJ196641 CKF196618:CKF196641 CUB196618:CUB196641 DDX196618:DDX196641 DNT196618:DNT196641 DXP196618:DXP196641 EHL196618:EHL196641 ERH196618:ERH196641 FBD196618:FBD196641 FKZ196618:FKZ196641 FUV196618:FUV196641 GER196618:GER196641 GON196618:GON196641 GYJ196618:GYJ196641 HIF196618:HIF196641 HSB196618:HSB196641 IBX196618:IBX196641 ILT196618:ILT196641 IVP196618:IVP196641 JFL196618:JFL196641 JPH196618:JPH196641 JZD196618:JZD196641 KIZ196618:KIZ196641 KSV196618:KSV196641 LCR196618:LCR196641 LMN196618:LMN196641 LWJ196618:LWJ196641 MGF196618:MGF196641 MQB196618:MQB196641 MZX196618:MZX196641 NJT196618:NJT196641 NTP196618:NTP196641 ODL196618:ODL196641 ONH196618:ONH196641 OXD196618:OXD196641 PGZ196618:PGZ196641 PQV196618:PQV196641 QAR196618:QAR196641 QKN196618:QKN196641 QUJ196618:QUJ196641 REF196618:REF196641 ROB196618:ROB196641 RXX196618:RXX196641 SHT196618:SHT196641 SRP196618:SRP196641 TBL196618:TBL196641 TLH196618:TLH196641 TVD196618:TVD196641 UEZ196618:UEZ196641 UOV196618:UOV196641 UYR196618:UYR196641 VIN196618:VIN196641 VSJ196618:VSJ196641 WCF196618:WCF196641 WMB196618:WMB196641 WVX196618:WVX196641 JL262154:JL262177 TH262154:TH262177 ADD262154:ADD262177 AMZ262154:AMZ262177 AWV262154:AWV262177 BGR262154:BGR262177 BQN262154:BQN262177 CAJ262154:CAJ262177 CKF262154:CKF262177 CUB262154:CUB262177 DDX262154:DDX262177 DNT262154:DNT262177 DXP262154:DXP262177 EHL262154:EHL262177 ERH262154:ERH262177 FBD262154:FBD262177 FKZ262154:FKZ262177 FUV262154:FUV262177 GER262154:GER262177 GON262154:GON262177 GYJ262154:GYJ262177 HIF262154:HIF262177 HSB262154:HSB262177 IBX262154:IBX262177 ILT262154:ILT262177 IVP262154:IVP262177 JFL262154:JFL262177 JPH262154:JPH262177 JZD262154:JZD262177 KIZ262154:KIZ262177 KSV262154:KSV262177 LCR262154:LCR262177 LMN262154:LMN262177 LWJ262154:LWJ262177 MGF262154:MGF262177 MQB262154:MQB262177 MZX262154:MZX262177 NJT262154:NJT262177 NTP262154:NTP262177 ODL262154:ODL262177 ONH262154:ONH262177 OXD262154:OXD262177 PGZ262154:PGZ262177 PQV262154:PQV262177 QAR262154:QAR262177 QKN262154:QKN262177 QUJ262154:QUJ262177 REF262154:REF262177 ROB262154:ROB262177 RXX262154:RXX262177 SHT262154:SHT262177 SRP262154:SRP262177 TBL262154:TBL262177 TLH262154:TLH262177 TVD262154:TVD262177 UEZ262154:UEZ262177 UOV262154:UOV262177 UYR262154:UYR262177 VIN262154:VIN262177 VSJ262154:VSJ262177 WCF262154:WCF262177 WMB262154:WMB262177 WVX262154:WVX262177 JL327690:JL327713 TH327690:TH327713 ADD327690:ADD327713 AMZ327690:AMZ327713 AWV327690:AWV327713 BGR327690:BGR327713 BQN327690:BQN327713 CAJ327690:CAJ327713 CKF327690:CKF327713 CUB327690:CUB327713 DDX327690:DDX327713 DNT327690:DNT327713 DXP327690:DXP327713 EHL327690:EHL327713 ERH327690:ERH327713 FBD327690:FBD327713 FKZ327690:FKZ327713 FUV327690:FUV327713 GER327690:GER327713 GON327690:GON327713 GYJ327690:GYJ327713 HIF327690:HIF327713 HSB327690:HSB327713 IBX327690:IBX327713 ILT327690:ILT327713 IVP327690:IVP327713 JFL327690:JFL327713 JPH327690:JPH327713 JZD327690:JZD327713 KIZ327690:KIZ327713 KSV327690:KSV327713 LCR327690:LCR327713 LMN327690:LMN327713 LWJ327690:LWJ327713 MGF327690:MGF327713 MQB327690:MQB327713 MZX327690:MZX327713 NJT327690:NJT327713 NTP327690:NTP327713 ODL327690:ODL327713 ONH327690:ONH327713 OXD327690:OXD327713 PGZ327690:PGZ327713 PQV327690:PQV327713 QAR327690:QAR327713 QKN327690:QKN327713 QUJ327690:QUJ327713 REF327690:REF327713 ROB327690:ROB327713 RXX327690:RXX327713 SHT327690:SHT327713 SRP327690:SRP327713 TBL327690:TBL327713 TLH327690:TLH327713 TVD327690:TVD327713 UEZ327690:UEZ327713 UOV327690:UOV327713 UYR327690:UYR327713 VIN327690:VIN327713 VSJ327690:VSJ327713 WCF327690:WCF327713 WMB327690:WMB327713 WVX327690:WVX327713 JL393226:JL393249 TH393226:TH393249 ADD393226:ADD393249 AMZ393226:AMZ393249 AWV393226:AWV393249 BGR393226:BGR393249 BQN393226:BQN393249 CAJ393226:CAJ393249 CKF393226:CKF393249 CUB393226:CUB393249 DDX393226:DDX393249 DNT393226:DNT393249 DXP393226:DXP393249 EHL393226:EHL393249 ERH393226:ERH393249 FBD393226:FBD393249 FKZ393226:FKZ393249 FUV393226:FUV393249 GER393226:GER393249 GON393226:GON393249 GYJ393226:GYJ393249 HIF393226:HIF393249 HSB393226:HSB393249 IBX393226:IBX393249 ILT393226:ILT393249 IVP393226:IVP393249 JFL393226:JFL393249 JPH393226:JPH393249 JZD393226:JZD393249 KIZ393226:KIZ393249 KSV393226:KSV393249 LCR393226:LCR393249 LMN393226:LMN393249 LWJ393226:LWJ393249 MGF393226:MGF393249 MQB393226:MQB393249 MZX393226:MZX393249 NJT393226:NJT393249 NTP393226:NTP393249 ODL393226:ODL393249 ONH393226:ONH393249 OXD393226:OXD393249 PGZ393226:PGZ393249 PQV393226:PQV393249 QAR393226:QAR393249 QKN393226:QKN393249 QUJ393226:QUJ393249 REF393226:REF393249 ROB393226:ROB393249 RXX393226:RXX393249 SHT393226:SHT393249 SRP393226:SRP393249 TBL393226:TBL393249 TLH393226:TLH393249 TVD393226:TVD393249 UEZ393226:UEZ393249 UOV393226:UOV393249 UYR393226:UYR393249 VIN393226:VIN393249 VSJ393226:VSJ393249 WCF393226:WCF393249 WMB393226:WMB393249 WVX393226:WVX393249 JL458762:JL458785 TH458762:TH458785 ADD458762:ADD458785 AMZ458762:AMZ458785 AWV458762:AWV458785 BGR458762:BGR458785 BQN458762:BQN458785 CAJ458762:CAJ458785 CKF458762:CKF458785 CUB458762:CUB458785 DDX458762:DDX458785 DNT458762:DNT458785 DXP458762:DXP458785 EHL458762:EHL458785 ERH458762:ERH458785 FBD458762:FBD458785 FKZ458762:FKZ458785 FUV458762:FUV458785 GER458762:GER458785 GON458762:GON458785 GYJ458762:GYJ458785 HIF458762:HIF458785 HSB458762:HSB458785 IBX458762:IBX458785 ILT458762:ILT458785 IVP458762:IVP458785 JFL458762:JFL458785 JPH458762:JPH458785 JZD458762:JZD458785 KIZ458762:KIZ458785 KSV458762:KSV458785 LCR458762:LCR458785 LMN458762:LMN458785 LWJ458762:LWJ458785 MGF458762:MGF458785 MQB458762:MQB458785 MZX458762:MZX458785 NJT458762:NJT458785 NTP458762:NTP458785 ODL458762:ODL458785 ONH458762:ONH458785 OXD458762:OXD458785 PGZ458762:PGZ458785 PQV458762:PQV458785 QAR458762:QAR458785 QKN458762:QKN458785 QUJ458762:QUJ458785 REF458762:REF458785 ROB458762:ROB458785 RXX458762:RXX458785 SHT458762:SHT458785 SRP458762:SRP458785 TBL458762:TBL458785 TLH458762:TLH458785 TVD458762:TVD458785 UEZ458762:UEZ458785 UOV458762:UOV458785 UYR458762:UYR458785 VIN458762:VIN458785 VSJ458762:VSJ458785 WCF458762:WCF458785 WMB458762:WMB458785 WVX458762:WVX458785 JL524298:JL524321 TH524298:TH524321 ADD524298:ADD524321 AMZ524298:AMZ524321 AWV524298:AWV524321 BGR524298:BGR524321 BQN524298:BQN524321 CAJ524298:CAJ524321 CKF524298:CKF524321 CUB524298:CUB524321 DDX524298:DDX524321 DNT524298:DNT524321 DXP524298:DXP524321 EHL524298:EHL524321 ERH524298:ERH524321 FBD524298:FBD524321 FKZ524298:FKZ524321 FUV524298:FUV524321 GER524298:GER524321 GON524298:GON524321 GYJ524298:GYJ524321 HIF524298:HIF524321 HSB524298:HSB524321 IBX524298:IBX524321 ILT524298:ILT524321 IVP524298:IVP524321 JFL524298:JFL524321 JPH524298:JPH524321 JZD524298:JZD524321 KIZ524298:KIZ524321 KSV524298:KSV524321 LCR524298:LCR524321 LMN524298:LMN524321 LWJ524298:LWJ524321 MGF524298:MGF524321 MQB524298:MQB524321 MZX524298:MZX524321 NJT524298:NJT524321 NTP524298:NTP524321 ODL524298:ODL524321 ONH524298:ONH524321 OXD524298:OXD524321 PGZ524298:PGZ524321 PQV524298:PQV524321 QAR524298:QAR524321 QKN524298:QKN524321 QUJ524298:QUJ524321 REF524298:REF524321 ROB524298:ROB524321 RXX524298:RXX524321 SHT524298:SHT524321 SRP524298:SRP524321 TBL524298:TBL524321 TLH524298:TLH524321 TVD524298:TVD524321 UEZ524298:UEZ524321 UOV524298:UOV524321 UYR524298:UYR524321 VIN524298:VIN524321 VSJ524298:VSJ524321 WCF524298:WCF524321 WMB524298:WMB524321 WVX524298:WVX524321 JL589834:JL589857 TH589834:TH589857 ADD589834:ADD589857 AMZ589834:AMZ589857 AWV589834:AWV589857 BGR589834:BGR589857 BQN589834:BQN589857 CAJ589834:CAJ589857 CKF589834:CKF589857 CUB589834:CUB589857 DDX589834:DDX589857 DNT589834:DNT589857 DXP589834:DXP589857 EHL589834:EHL589857 ERH589834:ERH589857 FBD589834:FBD589857 FKZ589834:FKZ589857 FUV589834:FUV589857 GER589834:GER589857 GON589834:GON589857 GYJ589834:GYJ589857 HIF589834:HIF589857 HSB589834:HSB589857 IBX589834:IBX589857 ILT589834:ILT589857 IVP589834:IVP589857 JFL589834:JFL589857 JPH589834:JPH589857 JZD589834:JZD589857 KIZ589834:KIZ589857 KSV589834:KSV589857 LCR589834:LCR589857 LMN589834:LMN589857 LWJ589834:LWJ589857 MGF589834:MGF589857 MQB589834:MQB589857 MZX589834:MZX589857 NJT589834:NJT589857 NTP589834:NTP589857 ODL589834:ODL589857 ONH589834:ONH589857 OXD589834:OXD589857 PGZ589834:PGZ589857 PQV589834:PQV589857 QAR589834:QAR589857 QKN589834:QKN589857 QUJ589834:QUJ589857 REF589834:REF589857 ROB589834:ROB589857 RXX589834:RXX589857 SHT589834:SHT589857 SRP589834:SRP589857 TBL589834:TBL589857 TLH589834:TLH589857 TVD589834:TVD589857 UEZ589834:UEZ589857 UOV589834:UOV589857 UYR589834:UYR589857 VIN589834:VIN589857 VSJ589834:VSJ589857 WCF589834:WCF589857 WMB589834:WMB589857 WVX589834:WVX589857 JL655370:JL655393 TH655370:TH655393 ADD655370:ADD655393 AMZ655370:AMZ655393 AWV655370:AWV655393 BGR655370:BGR655393 BQN655370:BQN655393 CAJ655370:CAJ655393 CKF655370:CKF655393 CUB655370:CUB655393 DDX655370:DDX655393 DNT655370:DNT655393 DXP655370:DXP655393 EHL655370:EHL655393 ERH655370:ERH655393 FBD655370:FBD655393 FKZ655370:FKZ655393 FUV655370:FUV655393 GER655370:GER655393 GON655370:GON655393 GYJ655370:GYJ655393 HIF655370:HIF655393 HSB655370:HSB655393 IBX655370:IBX655393 ILT655370:ILT655393 IVP655370:IVP655393 JFL655370:JFL655393 JPH655370:JPH655393 JZD655370:JZD655393 KIZ655370:KIZ655393 KSV655370:KSV655393 LCR655370:LCR655393 LMN655370:LMN655393 LWJ655370:LWJ655393 MGF655370:MGF655393 MQB655370:MQB655393 MZX655370:MZX655393 NJT655370:NJT655393 NTP655370:NTP655393 ODL655370:ODL655393 ONH655370:ONH655393 OXD655370:OXD655393 PGZ655370:PGZ655393 PQV655370:PQV655393 QAR655370:QAR655393 QKN655370:QKN655393 QUJ655370:QUJ655393 REF655370:REF655393 ROB655370:ROB655393 RXX655370:RXX655393 SHT655370:SHT655393 SRP655370:SRP655393 TBL655370:TBL655393 TLH655370:TLH655393 TVD655370:TVD655393 UEZ655370:UEZ655393 UOV655370:UOV655393 UYR655370:UYR655393 VIN655370:VIN655393 VSJ655370:VSJ655393 WCF655370:WCF655393 WMB655370:WMB655393 WVX655370:WVX655393 JL720906:JL720929 TH720906:TH720929 ADD720906:ADD720929 AMZ720906:AMZ720929 AWV720906:AWV720929 BGR720906:BGR720929 BQN720906:BQN720929 CAJ720906:CAJ720929 CKF720906:CKF720929 CUB720906:CUB720929 DDX720906:DDX720929 DNT720906:DNT720929 DXP720906:DXP720929 EHL720906:EHL720929 ERH720906:ERH720929 FBD720906:FBD720929 FKZ720906:FKZ720929 FUV720906:FUV720929 GER720906:GER720929 GON720906:GON720929 GYJ720906:GYJ720929 HIF720906:HIF720929 HSB720906:HSB720929 IBX720906:IBX720929 ILT720906:ILT720929 IVP720906:IVP720929 JFL720906:JFL720929 JPH720906:JPH720929 JZD720906:JZD720929 KIZ720906:KIZ720929 KSV720906:KSV720929 LCR720906:LCR720929 LMN720906:LMN720929 LWJ720906:LWJ720929 MGF720906:MGF720929 MQB720906:MQB720929 MZX720906:MZX720929 NJT720906:NJT720929 NTP720906:NTP720929 ODL720906:ODL720929 ONH720906:ONH720929 OXD720906:OXD720929 PGZ720906:PGZ720929 PQV720906:PQV720929 QAR720906:QAR720929 QKN720906:QKN720929 QUJ720906:QUJ720929 REF720906:REF720929 ROB720906:ROB720929 RXX720906:RXX720929 SHT720906:SHT720929 SRP720906:SRP720929 TBL720906:TBL720929 TLH720906:TLH720929 TVD720906:TVD720929 UEZ720906:UEZ720929 UOV720906:UOV720929 UYR720906:UYR720929 VIN720906:VIN720929 VSJ720906:VSJ720929 WCF720906:WCF720929 WMB720906:WMB720929 WVX720906:WVX720929 JL786442:JL786465 TH786442:TH786465 ADD786442:ADD786465 AMZ786442:AMZ786465 AWV786442:AWV786465 BGR786442:BGR786465 BQN786442:BQN786465 CAJ786442:CAJ786465 CKF786442:CKF786465 CUB786442:CUB786465 DDX786442:DDX786465 DNT786442:DNT786465 DXP786442:DXP786465 EHL786442:EHL786465 ERH786442:ERH786465 FBD786442:FBD786465 FKZ786442:FKZ786465 FUV786442:FUV786465 GER786442:GER786465 GON786442:GON786465 GYJ786442:GYJ786465 HIF786442:HIF786465 HSB786442:HSB786465 IBX786442:IBX786465 ILT786442:ILT786465 IVP786442:IVP786465 JFL786442:JFL786465 JPH786442:JPH786465 JZD786442:JZD786465 KIZ786442:KIZ786465 KSV786442:KSV786465 LCR786442:LCR786465 LMN786442:LMN786465 LWJ786442:LWJ786465 MGF786442:MGF786465 MQB786442:MQB786465 MZX786442:MZX786465 NJT786442:NJT786465 NTP786442:NTP786465 ODL786442:ODL786465 ONH786442:ONH786465 OXD786442:OXD786465 PGZ786442:PGZ786465 PQV786442:PQV786465 QAR786442:QAR786465 QKN786442:QKN786465 QUJ786442:QUJ786465 REF786442:REF786465 ROB786442:ROB786465 RXX786442:RXX786465 SHT786442:SHT786465 SRP786442:SRP786465 TBL786442:TBL786465 TLH786442:TLH786465 TVD786442:TVD786465 UEZ786442:UEZ786465 UOV786442:UOV786465 UYR786442:UYR786465 VIN786442:VIN786465 VSJ786442:VSJ786465 WCF786442:WCF786465 WMB786442:WMB786465 WVX786442:WVX786465 JL851978:JL852001 TH851978:TH852001 ADD851978:ADD852001 AMZ851978:AMZ852001 AWV851978:AWV852001 BGR851978:BGR852001 BQN851978:BQN852001 CAJ851978:CAJ852001 CKF851978:CKF852001 CUB851978:CUB852001 DDX851978:DDX852001 DNT851978:DNT852001 DXP851978:DXP852001 EHL851978:EHL852001 ERH851978:ERH852001 FBD851978:FBD852001 FKZ851978:FKZ852001 FUV851978:FUV852001 GER851978:GER852001 GON851978:GON852001 GYJ851978:GYJ852001 HIF851978:HIF852001 HSB851978:HSB852001 IBX851978:IBX852001 ILT851978:ILT852001 IVP851978:IVP852001 JFL851978:JFL852001 JPH851978:JPH852001 JZD851978:JZD852001 KIZ851978:KIZ852001 KSV851978:KSV852001 LCR851978:LCR852001 LMN851978:LMN852001 LWJ851978:LWJ852001 MGF851978:MGF852001 MQB851978:MQB852001 MZX851978:MZX852001 NJT851978:NJT852001 NTP851978:NTP852001 ODL851978:ODL852001 ONH851978:ONH852001 OXD851978:OXD852001 PGZ851978:PGZ852001 PQV851978:PQV852001 QAR851978:QAR852001 QKN851978:QKN852001 QUJ851978:QUJ852001 REF851978:REF852001 ROB851978:ROB852001 RXX851978:RXX852001 SHT851978:SHT852001 SRP851978:SRP852001 TBL851978:TBL852001 TLH851978:TLH852001 TVD851978:TVD852001 UEZ851978:UEZ852001 UOV851978:UOV852001 UYR851978:UYR852001 VIN851978:VIN852001 VSJ851978:VSJ852001 WCF851978:WCF852001 WMB851978:WMB852001 WVX851978:WVX852001 JL917514:JL917537 TH917514:TH917537 ADD917514:ADD917537 AMZ917514:AMZ917537 AWV917514:AWV917537 BGR917514:BGR917537 BQN917514:BQN917537 CAJ917514:CAJ917537 CKF917514:CKF917537 CUB917514:CUB917537 DDX917514:DDX917537 DNT917514:DNT917537 DXP917514:DXP917537 EHL917514:EHL917537 ERH917514:ERH917537 FBD917514:FBD917537 FKZ917514:FKZ917537 FUV917514:FUV917537 GER917514:GER917537 GON917514:GON917537 GYJ917514:GYJ917537 HIF917514:HIF917537 HSB917514:HSB917537 IBX917514:IBX917537 ILT917514:ILT917537 IVP917514:IVP917537 JFL917514:JFL917537 JPH917514:JPH917537 JZD917514:JZD917537 KIZ917514:KIZ917537 KSV917514:KSV917537 LCR917514:LCR917537 LMN917514:LMN917537 LWJ917514:LWJ917537 MGF917514:MGF917537 MQB917514:MQB917537 MZX917514:MZX917537 NJT917514:NJT917537 NTP917514:NTP917537 ODL917514:ODL917537 ONH917514:ONH917537 OXD917514:OXD917537 PGZ917514:PGZ917537 PQV917514:PQV917537 QAR917514:QAR917537 QKN917514:QKN917537 QUJ917514:QUJ917537 REF917514:REF917537 ROB917514:ROB917537 RXX917514:RXX917537 SHT917514:SHT917537 SRP917514:SRP917537 TBL917514:TBL917537 TLH917514:TLH917537 TVD917514:TVD917537 UEZ917514:UEZ917537 UOV917514:UOV917537 UYR917514:UYR917537 VIN917514:VIN917537 VSJ917514:VSJ917537 WCF917514:WCF917537 WMB917514:WMB917537 WVX917514:WVX917537 JL983050:JL983073 TH983050:TH983073 ADD983050:ADD983073 AMZ983050:AMZ983073 AWV983050:AWV983073 BGR983050:BGR983073 BQN983050:BQN983073 CAJ983050:CAJ983073 CKF983050:CKF983073 CUB983050:CUB983073 DDX983050:DDX983073 DNT983050:DNT983073 DXP983050:DXP983073 EHL983050:EHL983073 ERH983050:ERH983073 FBD983050:FBD983073 FKZ983050:FKZ983073 FUV983050:FUV983073 GER983050:GER983073 GON983050:GON983073 GYJ983050:GYJ983073 HIF983050:HIF983073 HSB983050:HSB983073 IBX983050:IBX983073 ILT983050:ILT983073 IVP983050:IVP983073 JFL983050:JFL983073 JPH983050:JPH983073 JZD983050:JZD983073 KIZ983050:KIZ983073 KSV983050:KSV983073 LCR983050:LCR983073 LMN983050:LMN983073 LWJ983050:LWJ983073 MGF983050:MGF983073 MQB983050:MQB983073 MZX983050:MZX983073 NJT983050:NJT983073 NTP983050:NTP983073 ODL983050:ODL983073 ONH983050:ONH983073 OXD983050:OXD983073 PGZ983050:PGZ983073 PQV983050:PQV983073 QAR983050:QAR983073 QKN983050:QKN983073 QUJ983050:QUJ983073 REF983050:REF983073 ROB983050:ROB983073 RXX983050:RXX983073 SHT983050:SHT983073 SRP983050:SRP983073 TBL983050:TBL983073 TLH983050:TLH983073 TVD983050:TVD983073 UEZ983050:UEZ983073 UOV983050:UOV983073 UYR983050:UYR983073 VIN983050:VIN983073 VSJ983050:VSJ983073 WCF983050:WCF983073 WMB983050:WMB983073 SQ11:SQ23 IU11:IU23 WVI11:WVI23 WLM11:WLM23 WBQ11:WBQ23 VRU11:VRU23 VHY11:VHY23 UYC11:UYC23 UOG11:UOG23 UEK11:UEK23 TUO11:TUO23 TKS11:TKS23 TAW11:TAW23 SRA11:SRA23 SHE11:SHE23 RXI11:RXI23 RNM11:RNM23 RDQ11:RDQ23 QTU11:QTU23 QJY11:QJY23 QAC11:QAC23 PQG11:PQG23 PGK11:PGK23 OWO11:OWO23 OMS11:OMS23 OCW11:OCW23 NTA11:NTA23 NJE11:NJE23 MZI11:MZI23 MPM11:MPM23 MFQ11:MFQ23 LVU11:LVU23 LLY11:LLY23 LCC11:LCC23 KSG11:KSG23 KIK11:KIK23 JYO11:JYO23 JOS11:JOS23 JEW11:JEW23 IVA11:IVA23 ILE11:ILE23 IBI11:IBI23 HRM11:HRM23 HHQ11:HHQ23 GXU11:GXU23 GNY11:GNY23 GEC11:GEC23 FUG11:FUG23 FKK11:FKK23 FAO11:FAO23 EQS11:EQS23 EGW11:EGW23 DXA11:DXA23 DNE11:DNE23 DDI11:DDI23 CTM11:CTM23 CJQ11:CJQ23 BZU11:BZU23 BPY11:BPY23 BGC11:BGC23 AWG11:AWG23 AMK11:AMK23 ACO11:ACO23 SS11:SS23 IW11:IW23 WVG11:WVG23 WLK11:WLK23 WBO11:WBO23 VRS11:VRS23 VHW11:VHW23 UYA11:UYA23 UOE11:UOE23 UEI11:UEI23 TUM11:TUM23 TKQ11:TKQ23 TAU11:TAU23 SQY11:SQY23 SHC11:SHC23 RXG11:RXG23 RNK11:RNK23 RDO11:RDO23 QTS11:QTS23 QJW11:QJW23 QAA11:QAA23 PQE11:PQE23 PGI11:PGI23 OWM11:OWM23 OMQ11:OMQ23 OCU11:OCU23 NSY11:NSY23 NJC11:NJC23 MZG11:MZG23 MPK11:MPK23 MFO11:MFO23 LVS11:LVS23 LLW11:LLW23 LCA11:LCA23 KSE11:KSE23 KII11:KII23 JYM11:JYM23 JOQ11:JOQ23 JEU11:JEU23 IUY11:IUY23 ILC11:ILC23 IBG11:IBG23 HRK11:HRK23 HHO11:HHO23 GXS11:GXS23 GNW11:GNW23 GEA11:GEA23 FUE11:FUE23 FKI11:FKI23 FAM11:FAM23 EQQ11:EQQ23 EGU11:EGU23 DWY11:DWY23 DNC11:DNC23 DDG11:DDG23 CTK11:CTK23 CJO11:CJO23 BZS11:BZS23 BPW11:BPW23 BGA11:BGA23 AWE11:AWE23 AMI11:AMI23 ACM11:ACM23 U11:U34 W11:W34" xr:uid="{00000000-0002-0000-0400-000001000000}">
      <formula1>"1,2,3,4"</formula1>
    </dataValidation>
  </dataValidations>
  <pageMargins left="0" right="0" top="0.39370078740157483" bottom="0.59055118110236227" header="0.51181102362204722" footer="0.39370078740157483"/>
  <pageSetup paperSize="9" scale="82" fitToHeight="0" orientation="landscape" r:id="rId1"/>
  <headerFooter alignWithMargins="0">
    <oddFooter>第 &amp;P 頁，共 &amp;N 頁</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6">
    <tabColor rgb="FFFF0000"/>
    <pageSetUpPr fitToPage="1"/>
  </sheetPr>
  <dimension ref="A1:Z39"/>
  <sheetViews>
    <sheetView topLeftCell="M7" zoomScale="97" zoomScaleNormal="97" workbookViewId="0">
      <selection activeCell="N7" sqref="N7:P7"/>
    </sheetView>
  </sheetViews>
  <sheetFormatPr defaultRowHeight="15.5"/>
  <cols>
    <col min="1" max="1" width="7.7265625" style="35" hidden="1" customWidth="1"/>
    <col min="2" max="2" width="11.90625" style="35" hidden="1" customWidth="1"/>
    <col min="3" max="4" width="9.7265625" style="35" hidden="1" customWidth="1"/>
    <col min="5" max="5" width="5.7265625" style="35" hidden="1" customWidth="1"/>
    <col min="6" max="6" width="7.7265625" style="35" hidden="1" customWidth="1"/>
    <col min="7" max="7" width="3.08984375" style="35" hidden="1" customWidth="1"/>
    <col min="8" max="8" width="2.26953125" style="35" hidden="1" customWidth="1"/>
    <col min="9" max="9" width="3.08984375" style="35" hidden="1" customWidth="1"/>
    <col min="10" max="10" width="5.26953125" style="35" hidden="1" customWidth="1"/>
    <col min="11" max="11" width="9.7265625" style="35" hidden="1" customWidth="1"/>
    <col min="12" max="12" width="5.7265625" style="35" hidden="1" customWidth="1"/>
    <col min="13" max="13" width="21.08984375" style="6" customWidth="1"/>
    <col min="14" max="14" width="8.90625" style="6" customWidth="1"/>
    <col min="15" max="15" width="11.36328125" style="6" customWidth="1"/>
    <col min="16" max="16" width="8.90625" style="6" customWidth="1"/>
    <col min="17" max="17" width="8.90625" style="36" customWidth="1"/>
    <col min="18" max="18" width="16.90625" style="6" customWidth="1"/>
    <col min="19" max="19" width="16.90625" style="36" customWidth="1"/>
    <col min="20" max="20" width="10" style="6" customWidth="1"/>
    <col min="21" max="21" width="10" style="36" customWidth="1"/>
    <col min="22" max="22" width="17.7265625" style="6" customWidth="1"/>
    <col min="23" max="23" width="10" style="6" customWidth="1"/>
    <col min="24" max="24" width="17.7265625" style="6" customWidth="1"/>
    <col min="25" max="25" width="10" style="6" customWidth="1"/>
    <col min="26" max="26" width="5.90625" style="6" customWidth="1"/>
    <col min="27" max="261" width="9" style="6"/>
    <col min="262" max="262" width="16.26953125" style="6" customWidth="1"/>
    <col min="263" max="263" width="9" style="6"/>
    <col min="264" max="264" width="11.36328125" style="6" customWidth="1"/>
    <col min="265" max="266" width="9" style="6"/>
    <col min="267" max="267" width="23" style="6" bestFit="1" customWidth="1"/>
    <col min="268" max="268" width="10" style="6" customWidth="1"/>
    <col min="269" max="269" width="6.26953125" style="6" bestFit="1" customWidth="1"/>
    <col min="270" max="270" width="7.26953125" style="6" bestFit="1" customWidth="1"/>
    <col min="271" max="271" width="16.7265625" style="6" customWidth="1"/>
    <col min="272" max="272" width="7.26953125" style="6" bestFit="1" customWidth="1"/>
    <col min="273" max="273" width="16.7265625" style="6" customWidth="1"/>
    <col min="274" max="517" width="9" style="6"/>
    <col min="518" max="518" width="16.26953125" style="6" customWidth="1"/>
    <col min="519" max="519" width="9" style="6"/>
    <col min="520" max="520" width="11.36328125" style="6" customWidth="1"/>
    <col min="521" max="522" width="9" style="6"/>
    <col min="523" max="523" width="23" style="6" bestFit="1" customWidth="1"/>
    <col min="524" max="524" width="10" style="6" customWidth="1"/>
    <col min="525" max="525" width="6.26953125" style="6" bestFit="1" customWidth="1"/>
    <col min="526" max="526" width="7.26953125" style="6" bestFit="1" customWidth="1"/>
    <col min="527" max="527" width="16.7265625" style="6" customWidth="1"/>
    <col min="528" max="528" width="7.26953125" style="6" bestFit="1" customWidth="1"/>
    <col min="529" max="529" width="16.7265625" style="6" customWidth="1"/>
    <col min="530" max="773" width="9" style="6"/>
    <col min="774" max="774" width="16.26953125" style="6" customWidth="1"/>
    <col min="775" max="775" width="9" style="6"/>
    <col min="776" max="776" width="11.36328125" style="6" customWidth="1"/>
    <col min="777" max="778" width="9" style="6"/>
    <col min="779" max="779" width="23" style="6" bestFit="1" customWidth="1"/>
    <col min="780" max="780" width="10" style="6" customWidth="1"/>
    <col min="781" max="781" width="6.26953125" style="6" bestFit="1" customWidth="1"/>
    <col min="782" max="782" width="7.26953125" style="6" bestFit="1" customWidth="1"/>
    <col min="783" max="783" width="16.7265625" style="6" customWidth="1"/>
    <col min="784" max="784" width="7.26953125" style="6" bestFit="1" customWidth="1"/>
    <col min="785" max="785" width="16.7265625" style="6" customWidth="1"/>
    <col min="786" max="1029" width="9" style="6"/>
    <col min="1030" max="1030" width="16.26953125" style="6" customWidth="1"/>
    <col min="1031" max="1031" width="9" style="6"/>
    <col min="1032" max="1032" width="11.36328125" style="6" customWidth="1"/>
    <col min="1033" max="1034" width="9" style="6"/>
    <col min="1035" max="1035" width="23" style="6" bestFit="1" customWidth="1"/>
    <col min="1036" max="1036" width="10" style="6" customWidth="1"/>
    <col min="1037" max="1037" width="6.26953125" style="6" bestFit="1" customWidth="1"/>
    <col min="1038" max="1038" width="7.26953125" style="6" bestFit="1" customWidth="1"/>
    <col min="1039" max="1039" width="16.7265625" style="6" customWidth="1"/>
    <col min="1040" max="1040" width="7.26953125" style="6" bestFit="1" customWidth="1"/>
    <col min="1041" max="1041" width="16.7265625" style="6" customWidth="1"/>
    <col min="1042" max="1285" width="9" style="6"/>
    <col min="1286" max="1286" width="16.26953125" style="6" customWidth="1"/>
    <col min="1287" max="1287" width="9" style="6"/>
    <col min="1288" max="1288" width="11.36328125" style="6" customWidth="1"/>
    <col min="1289" max="1290" width="9" style="6"/>
    <col min="1291" max="1291" width="23" style="6" bestFit="1" customWidth="1"/>
    <col min="1292" max="1292" width="10" style="6" customWidth="1"/>
    <col min="1293" max="1293" width="6.26953125" style="6" bestFit="1" customWidth="1"/>
    <col min="1294" max="1294" width="7.26953125" style="6" bestFit="1" customWidth="1"/>
    <col min="1295" max="1295" width="16.7265625" style="6" customWidth="1"/>
    <col min="1296" max="1296" width="7.26953125" style="6" bestFit="1" customWidth="1"/>
    <col min="1297" max="1297" width="16.7265625" style="6" customWidth="1"/>
    <col min="1298" max="1541" width="9" style="6"/>
    <col min="1542" max="1542" width="16.26953125" style="6" customWidth="1"/>
    <col min="1543" max="1543" width="9" style="6"/>
    <col min="1544" max="1544" width="11.36328125" style="6" customWidth="1"/>
    <col min="1545" max="1546" width="9" style="6"/>
    <col min="1547" max="1547" width="23" style="6" bestFit="1" customWidth="1"/>
    <col min="1548" max="1548" width="10" style="6" customWidth="1"/>
    <col min="1549" max="1549" width="6.26953125" style="6" bestFit="1" customWidth="1"/>
    <col min="1550" max="1550" width="7.26953125" style="6" bestFit="1" customWidth="1"/>
    <col min="1551" max="1551" width="16.7265625" style="6" customWidth="1"/>
    <col min="1552" max="1552" width="7.26953125" style="6" bestFit="1" customWidth="1"/>
    <col min="1553" max="1553" width="16.7265625" style="6" customWidth="1"/>
    <col min="1554" max="1797" width="9" style="6"/>
    <col min="1798" max="1798" width="16.26953125" style="6" customWidth="1"/>
    <col min="1799" max="1799" width="9" style="6"/>
    <col min="1800" max="1800" width="11.36328125" style="6" customWidth="1"/>
    <col min="1801" max="1802" width="9" style="6"/>
    <col min="1803" max="1803" width="23" style="6" bestFit="1" customWidth="1"/>
    <col min="1804" max="1804" width="10" style="6" customWidth="1"/>
    <col min="1805" max="1805" width="6.26953125" style="6" bestFit="1" customWidth="1"/>
    <col min="1806" max="1806" width="7.26953125" style="6" bestFit="1" customWidth="1"/>
    <col min="1807" max="1807" width="16.7265625" style="6" customWidth="1"/>
    <col min="1808" max="1808" width="7.26953125" style="6" bestFit="1" customWidth="1"/>
    <col min="1809" max="1809" width="16.7265625" style="6" customWidth="1"/>
    <col min="1810" max="2053" width="9" style="6"/>
    <col min="2054" max="2054" width="16.26953125" style="6" customWidth="1"/>
    <col min="2055" max="2055" width="9" style="6"/>
    <col min="2056" max="2056" width="11.36328125" style="6" customWidth="1"/>
    <col min="2057" max="2058" width="9" style="6"/>
    <col min="2059" max="2059" width="23" style="6" bestFit="1" customWidth="1"/>
    <col min="2060" max="2060" width="10" style="6" customWidth="1"/>
    <col min="2061" max="2061" width="6.26953125" style="6" bestFit="1" customWidth="1"/>
    <col min="2062" max="2062" width="7.26953125" style="6" bestFit="1" customWidth="1"/>
    <col min="2063" max="2063" width="16.7265625" style="6" customWidth="1"/>
    <col min="2064" max="2064" width="7.26953125" style="6" bestFit="1" customWidth="1"/>
    <col min="2065" max="2065" width="16.7265625" style="6" customWidth="1"/>
    <col min="2066" max="2309" width="9" style="6"/>
    <col min="2310" max="2310" width="16.26953125" style="6" customWidth="1"/>
    <col min="2311" max="2311" width="9" style="6"/>
    <col min="2312" max="2312" width="11.36328125" style="6" customWidth="1"/>
    <col min="2313" max="2314" width="9" style="6"/>
    <col min="2315" max="2315" width="23" style="6" bestFit="1" customWidth="1"/>
    <col min="2316" max="2316" width="10" style="6" customWidth="1"/>
    <col min="2317" max="2317" width="6.26953125" style="6" bestFit="1" customWidth="1"/>
    <col min="2318" max="2318" width="7.26953125" style="6" bestFit="1" customWidth="1"/>
    <col min="2319" max="2319" width="16.7265625" style="6" customWidth="1"/>
    <col min="2320" max="2320" width="7.26953125" style="6" bestFit="1" customWidth="1"/>
    <col min="2321" max="2321" width="16.7265625" style="6" customWidth="1"/>
    <col min="2322" max="2565" width="9" style="6"/>
    <col min="2566" max="2566" width="16.26953125" style="6" customWidth="1"/>
    <col min="2567" max="2567" width="9" style="6"/>
    <col min="2568" max="2568" width="11.36328125" style="6" customWidth="1"/>
    <col min="2569" max="2570" width="9" style="6"/>
    <col min="2571" max="2571" width="23" style="6" bestFit="1" customWidth="1"/>
    <col min="2572" max="2572" width="10" style="6" customWidth="1"/>
    <col min="2573" max="2573" width="6.26953125" style="6" bestFit="1" customWidth="1"/>
    <col min="2574" max="2574" width="7.26953125" style="6" bestFit="1" customWidth="1"/>
    <col min="2575" max="2575" width="16.7265625" style="6" customWidth="1"/>
    <col min="2576" max="2576" width="7.26953125" style="6" bestFit="1" customWidth="1"/>
    <col min="2577" max="2577" width="16.7265625" style="6" customWidth="1"/>
    <col min="2578" max="2821" width="9" style="6"/>
    <col min="2822" max="2822" width="16.26953125" style="6" customWidth="1"/>
    <col min="2823" max="2823" width="9" style="6"/>
    <col min="2824" max="2824" width="11.36328125" style="6" customWidth="1"/>
    <col min="2825" max="2826" width="9" style="6"/>
    <col min="2827" max="2827" width="23" style="6" bestFit="1" customWidth="1"/>
    <col min="2828" max="2828" width="10" style="6" customWidth="1"/>
    <col min="2829" max="2829" width="6.26953125" style="6" bestFit="1" customWidth="1"/>
    <col min="2830" max="2830" width="7.26953125" style="6" bestFit="1" customWidth="1"/>
    <col min="2831" max="2831" width="16.7265625" style="6" customWidth="1"/>
    <col min="2832" max="2832" width="7.26953125" style="6" bestFit="1" customWidth="1"/>
    <col min="2833" max="2833" width="16.7265625" style="6" customWidth="1"/>
    <col min="2834" max="3077" width="9" style="6"/>
    <col min="3078" max="3078" width="16.26953125" style="6" customWidth="1"/>
    <col min="3079" max="3079" width="9" style="6"/>
    <col min="3080" max="3080" width="11.36328125" style="6" customWidth="1"/>
    <col min="3081" max="3082" width="9" style="6"/>
    <col min="3083" max="3083" width="23" style="6" bestFit="1" customWidth="1"/>
    <col min="3084" max="3084" width="10" style="6" customWidth="1"/>
    <col min="3085" max="3085" width="6.26953125" style="6" bestFit="1" customWidth="1"/>
    <col min="3086" max="3086" width="7.26953125" style="6" bestFit="1" customWidth="1"/>
    <col min="3087" max="3087" width="16.7265625" style="6" customWidth="1"/>
    <col min="3088" max="3088" width="7.26953125" style="6" bestFit="1" customWidth="1"/>
    <col min="3089" max="3089" width="16.7265625" style="6" customWidth="1"/>
    <col min="3090" max="3333" width="9" style="6"/>
    <col min="3334" max="3334" width="16.26953125" style="6" customWidth="1"/>
    <col min="3335" max="3335" width="9" style="6"/>
    <col min="3336" max="3336" width="11.36328125" style="6" customWidth="1"/>
    <col min="3337" max="3338" width="9" style="6"/>
    <col min="3339" max="3339" width="23" style="6" bestFit="1" customWidth="1"/>
    <col min="3340" max="3340" width="10" style="6" customWidth="1"/>
    <col min="3341" max="3341" width="6.26953125" style="6" bestFit="1" customWidth="1"/>
    <col min="3342" max="3342" width="7.26953125" style="6" bestFit="1" customWidth="1"/>
    <col min="3343" max="3343" width="16.7265625" style="6" customWidth="1"/>
    <col min="3344" max="3344" width="7.26953125" style="6" bestFit="1" customWidth="1"/>
    <col min="3345" max="3345" width="16.7265625" style="6" customWidth="1"/>
    <col min="3346" max="3589" width="9" style="6"/>
    <col min="3590" max="3590" width="16.26953125" style="6" customWidth="1"/>
    <col min="3591" max="3591" width="9" style="6"/>
    <col min="3592" max="3592" width="11.36328125" style="6" customWidth="1"/>
    <col min="3593" max="3594" width="9" style="6"/>
    <col min="3595" max="3595" width="23" style="6" bestFit="1" customWidth="1"/>
    <col min="3596" max="3596" width="10" style="6" customWidth="1"/>
    <col min="3597" max="3597" width="6.26953125" style="6" bestFit="1" customWidth="1"/>
    <col min="3598" max="3598" width="7.26953125" style="6" bestFit="1" customWidth="1"/>
    <col min="3599" max="3599" width="16.7265625" style="6" customWidth="1"/>
    <col min="3600" max="3600" width="7.26953125" style="6" bestFit="1" customWidth="1"/>
    <col min="3601" max="3601" width="16.7265625" style="6" customWidth="1"/>
    <col min="3602" max="3845" width="9" style="6"/>
    <col min="3846" max="3846" width="16.26953125" style="6" customWidth="1"/>
    <col min="3847" max="3847" width="9" style="6"/>
    <col min="3848" max="3848" width="11.36328125" style="6" customWidth="1"/>
    <col min="3849" max="3850" width="9" style="6"/>
    <col min="3851" max="3851" width="23" style="6" bestFit="1" customWidth="1"/>
    <col min="3852" max="3852" width="10" style="6" customWidth="1"/>
    <col min="3853" max="3853" width="6.26953125" style="6" bestFit="1" customWidth="1"/>
    <col min="3854" max="3854" width="7.26953125" style="6" bestFit="1" customWidth="1"/>
    <col min="3855" max="3855" width="16.7265625" style="6" customWidth="1"/>
    <col min="3856" max="3856" width="7.26953125" style="6" bestFit="1" customWidth="1"/>
    <col min="3857" max="3857" width="16.7265625" style="6" customWidth="1"/>
    <col min="3858" max="4101" width="9" style="6"/>
    <col min="4102" max="4102" width="16.26953125" style="6" customWidth="1"/>
    <col min="4103" max="4103" width="9" style="6"/>
    <col min="4104" max="4104" width="11.36328125" style="6" customWidth="1"/>
    <col min="4105" max="4106" width="9" style="6"/>
    <col min="4107" max="4107" width="23" style="6" bestFit="1" customWidth="1"/>
    <col min="4108" max="4108" width="10" style="6" customWidth="1"/>
    <col min="4109" max="4109" width="6.26953125" style="6" bestFit="1" customWidth="1"/>
    <col min="4110" max="4110" width="7.26953125" style="6" bestFit="1" customWidth="1"/>
    <col min="4111" max="4111" width="16.7265625" style="6" customWidth="1"/>
    <col min="4112" max="4112" width="7.26953125" style="6" bestFit="1" customWidth="1"/>
    <col min="4113" max="4113" width="16.7265625" style="6" customWidth="1"/>
    <col min="4114" max="4357" width="9" style="6"/>
    <col min="4358" max="4358" width="16.26953125" style="6" customWidth="1"/>
    <col min="4359" max="4359" width="9" style="6"/>
    <col min="4360" max="4360" width="11.36328125" style="6" customWidth="1"/>
    <col min="4361" max="4362" width="9" style="6"/>
    <col min="4363" max="4363" width="23" style="6" bestFit="1" customWidth="1"/>
    <col min="4364" max="4364" width="10" style="6" customWidth="1"/>
    <col min="4365" max="4365" width="6.26953125" style="6" bestFit="1" customWidth="1"/>
    <col min="4366" max="4366" width="7.26953125" style="6" bestFit="1" customWidth="1"/>
    <col min="4367" max="4367" width="16.7265625" style="6" customWidth="1"/>
    <col min="4368" max="4368" width="7.26953125" style="6" bestFit="1" customWidth="1"/>
    <col min="4369" max="4369" width="16.7265625" style="6" customWidth="1"/>
    <col min="4370" max="4613" width="9" style="6"/>
    <col min="4614" max="4614" width="16.26953125" style="6" customWidth="1"/>
    <col min="4615" max="4615" width="9" style="6"/>
    <col min="4616" max="4616" width="11.36328125" style="6" customWidth="1"/>
    <col min="4617" max="4618" width="9" style="6"/>
    <col min="4619" max="4619" width="23" style="6" bestFit="1" customWidth="1"/>
    <col min="4620" max="4620" width="10" style="6" customWidth="1"/>
    <col min="4621" max="4621" width="6.26953125" style="6" bestFit="1" customWidth="1"/>
    <col min="4622" max="4622" width="7.26953125" style="6" bestFit="1" customWidth="1"/>
    <col min="4623" max="4623" width="16.7265625" style="6" customWidth="1"/>
    <col min="4624" max="4624" width="7.26953125" style="6" bestFit="1" customWidth="1"/>
    <col min="4625" max="4625" width="16.7265625" style="6" customWidth="1"/>
    <col min="4626" max="4869" width="9" style="6"/>
    <col min="4870" max="4870" width="16.26953125" style="6" customWidth="1"/>
    <col min="4871" max="4871" width="9" style="6"/>
    <col min="4872" max="4872" width="11.36328125" style="6" customWidth="1"/>
    <col min="4873" max="4874" width="9" style="6"/>
    <col min="4875" max="4875" width="23" style="6" bestFit="1" customWidth="1"/>
    <col min="4876" max="4876" width="10" style="6" customWidth="1"/>
    <col min="4877" max="4877" width="6.26953125" style="6" bestFit="1" customWidth="1"/>
    <col min="4878" max="4878" width="7.26953125" style="6" bestFit="1" customWidth="1"/>
    <col min="4879" max="4879" width="16.7265625" style="6" customWidth="1"/>
    <col min="4880" max="4880" width="7.26953125" style="6" bestFit="1" customWidth="1"/>
    <col min="4881" max="4881" width="16.7265625" style="6" customWidth="1"/>
    <col min="4882" max="5125" width="9" style="6"/>
    <col min="5126" max="5126" width="16.26953125" style="6" customWidth="1"/>
    <col min="5127" max="5127" width="9" style="6"/>
    <col min="5128" max="5128" width="11.36328125" style="6" customWidth="1"/>
    <col min="5129" max="5130" width="9" style="6"/>
    <col min="5131" max="5131" width="23" style="6" bestFit="1" customWidth="1"/>
    <col min="5132" max="5132" width="10" style="6" customWidth="1"/>
    <col min="5133" max="5133" width="6.26953125" style="6" bestFit="1" customWidth="1"/>
    <col min="5134" max="5134" width="7.26953125" style="6" bestFit="1" customWidth="1"/>
    <col min="5135" max="5135" width="16.7265625" style="6" customWidth="1"/>
    <col min="5136" max="5136" width="7.26953125" style="6" bestFit="1" customWidth="1"/>
    <col min="5137" max="5137" width="16.7265625" style="6" customWidth="1"/>
    <col min="5138" max="5381" width="9" style="6"/>
    <col min="5382" max="5382" width="16.26953125" style="6" customWidth="1"/>
    <col min="5383" max="5383" width="9" style="6"/>
    <col min="5384" max="5384" width="11.36328125" style="6" customWidth="1"/>
    <col min="5385" max="5386" width="9" style="6"/>
    <col min="5387" max="5387" width="23" style="6" bestFit="1" customWidth="1"/>
    <col min="5388" max="5388" width="10" style="6" customWidth="1"/>
    <col min="5389" max="5389" width="6.26953125" style="6" bestFit="1" customWidth="1"/>
    <col min="5390" max="5390" width="7.26953125" style="6" bestFit="1" customWidth="1"/>
    <col min="5391" max="5391" width="16.7265625" style="6" customWidth="1"/>
    <col min="5392" max="5392" width="7.26953125" style="6" bestFit="1" customWidth="1"/>
    <col min="5393" max="5393" width="16.7265625" style="6" customWidth="1"/>
    <col min="5394" max="5637" width="9" style="6"/>
    <col min="5638" max="5638" width="16.26953125" style="6" customWidth="1"/>
    <col min="5639" max="5639" width="9" style="6"/>
    <col min="5640" max="5640" width="11.36328125" style="6" customWidth="1"/>
    <col min="5641" max="5642" width="9" style="6"/>
    <col min="5643" max="5643" width="23" style="6" bestFit="1" customWidth="1"/>
    <col min="5644" max="5644" width="10" style="6" customWidth="1"/>
    <col min="5645" max="5645" width="6.26953125" style="6" bestFit="1" customWidth="1"/>
    <col min="5646" max="5646" width="7.26953125" style="6" bestFit="1" customWidth="1"/>
    <col min="5647" max="5647" width="16.7265625" style="6" customWidth="1"/>
    <col min="5648" max="5648" width="7.26953125" style="6" bestFit="1" customWidth="1"/>
    <col min="5649" max="5649" width="16.7265625" style="6" customWidth="1"/>
    <col min="5650" max="5893" width="9" style="6"/>
    <col min="5894" max="5894" width="16.26953125" style="6" customWidth="1"/>
    <col min="5895" max="5895" width="9" style="6"/>
    <col min="5896" max="5896" width="11.36328125" style="6" customWidth="1"/>
    <col min="5897" max="5898" width="9" style="6"/>
    <col min="5899" max="5899" width="23" style="6" bestFit="1" customWidth="1"/>
    <col min="5900" max="5900" width="10" style="6" customWidth="1"/>
    <col min="5901" max="5901" width="6.26953125" style="6" bestFit="1" customWidth="1"/>
    <col min="5902" max="5902" width="7.26953125" style="6" bestFit="1" customWidth="1"/>
    <col min="5903" max="5903" width="16.7265625" style="6" customWidth="1"/>
    <col min="5904" max="5904" width="7.26953125" style="6" bestFit="1" customWidth="1"/>
    <col min="5905" max="5905" width="16.7265625" style="6" customWidth="1"/>
    <col min="5906" max="6149" width="9" style="6"/>
    <col min="6150" max="6150" width="16.26953125" style="6" customWidth="1"/>
    <col min="6151" max="6151" width="9" style="6"/>
    <col min="6152" max="6152" width="11.36328125" style="6" customWidth="1"/>
    <col min="6153" max="6154" width="9" style="6"/>
    <col min="6155" max="6155" width="23" style="6" bestFit="1" customWidth="1"/>
    <col min="6156" max="6156" width="10" style="6" customWidth="1"/>
    <col min="6157" max="6157" width="6.26953125" style="6" bestFit="1" customWidth="1"/>
    <col min="6158" max="6158" width="7.26953125" style="6" bestFit="1" customWidth="1"/>
    <col min="6159" max="6159" width="16.7265625" style="6" customWidth="1"/>
    <col min="6160" max="6160" width="7.26953125" style="6" bestFit="1" customWidth="1"/>
    <col min="6161" max="6161" width="16.7265625" style="6" customWidth="1"/>
    <col min="6162" max="6405" width="9" style="6"/>
    <col min="6406" max="6406" width="16.26953125" style="6" customWidth="1"/>
    <col min="6407" max="6407" width="9" style="6"/>
    <col min="6408" max="6408" width="11.36328125" style="6" customWidth="1"/>
    <col min="6409" max="6410" width="9" style="6"/>
    <col min="6411" max="6411" width="23" style="6" bestFit="1" customWidth="1"/>
    <col min="6412" max="6412" width="10" style="6" customWidth="1"/>
    <col min="6413" max="6413" width="6.26953125" style="6" bestFit="1" customWidth="1"/>
    <col min="6414" max="6414" width="7.26953125" style="6" bestFit="1" customWidth="1"/>
    <col min="6415" max="6415" width="16.7265625" style="6" customWidth="1"/>
    <col min="6416" max="6416" width="7.26953125" style="6" bestFit="1" customWidth="1"/>
    <col min="6417" max="6417" width="16.7265625" style="6" customWidth="1"/>
    <col min="6418" max="6661" width="9" style="6"/>
    <col min="6662" max="6662" width="16.26953125" style="6" customWidth="1"/>
    <col min="6663" max="6663" width="9" style="6"/>
    <col min="6664" max="6664" width="11.36328125" style="6" customWidth="1"/>
    <col min="6665" max="6666" width="9" style="6"/>
    <col min="6667" max="6667" width="23" style="6" bestFit="1" customWidth="1"/>
    <col min="6668" max="6668" width="10" style="6" customWidth="1"/>
    <col min="6669" max="6669" width="6.26953125" style="6" bestFit="1" customWidth="1"/>
    <col min="6670" max="6670" width="7.26953125" style="6" bestFit="1" customWidth="1"/>
    <col min="6671" max="6671" width="16.7265625" style="6" customWidth="1"/>
    <col min="6672" max="6672" width="7.26953125" style="6" bestFit="1" customWidth="1"/>
    <col min="6673" max="6673" width="16.7265625" style="6" customWidth="1"/>
    <col min="6674" max="6917" width="9" style="6"/>
    <col min="6918" max="6918" width="16.26953125" style="6" customWidth="1"/>
    <col min="6919" max="6919" width="9" style="6"/>
    <col min="6920" max="6920" width="11.36328125" style="6" customWidth="1"/>
    <col min="6921" max="6922" width="9" style="6"/>
    <col min="6923" max="6923" width="23" style="6" bestFit="1" customWidth="1"/>
    <col min="6924" max="6924" width="10" style="6" customWidth="1"/>
    <col min="6925" max="6925" width="6.26953125" style="6" bestFit="1" customWidth="1"/>
    <col min="6926" max="6926" width="7.26953125" style="6" bestFit="1" customWidth="1"/>
    <col min="6927" max="6927" width="16.7265625" style="6" customWidth="1"/>
    <col min="6928" max="6928" width="7.26953125" style="6" bestFit="1" customWidth="1"/>
    <col min="6929" max="6929" width="16.7265625" style="6" customWidth="1"/>
    <col min="6930" max="7173" width="9" style="6"/>
    <col min="7174" max="7174" width="16.26953125" style="6" customWidth="1"/>
    <col min="7175" max="7175" width="9" style="6"/>
    <col min="7176" max="7176" width="11.36328125" style="6" customWidth="1"/>
    <col min="7177" max="7178" width="9" style="6"/>
    <col min="7179" max="7179" width="23" style="6" bestFit="1" customWidth="1"/>
    <col min="7180" max="7180" width="10" style="6" customWidth="1"/>
    <col min="7181" max="7181" width="6.26953125" style="6" bestFit="1" customWidth="1"/>
    <col min="7182" max="7182" width="7.26953125" style="6" bestFit="1" customWidth="1"/>
    <col min="7183" max="7183" width="16.7265625" style="6" customWidth="1"/>
    <col min="7184" max="7184" width="7.26953125" style="6" bestFit="1" customWidth="1"/>
    <col min="7185" max="7185" width="16.7265625" style="6" customWidth="1"/>
    <col min="7186" max="7429" width="9" style="6"/>
    <col min="7430" max="7430" width="16.26953125" style="6" customWidth="1"/>
    <col min="7431" max="7431" width="9" style="6"/>
    <col min="7432" max="7432" width="11.36328125" style="6" customWidth="1"/>
    <col min="7433" max="7434" width="9" style="6"/>
    <col min="7435" max="7435" width="23" style="6" bestFit="1" customWidth="1"/>
    <col min="7436" max="7436" width="10" style="6" customWidth="1"/>
    <col min="7437" max="7437" width="6.26953125" style="6" bestFit="1" customWidth="1"/>
    <col min="7438" max="7438" width="7.26953125" style="6" bestFit="1" customWidth="1"/>
    <col min="7439" max="7439" width="16.7265625" style="6" customWidth="1"/>
    <col min="7440" max="7440" width="7.26953125" style="6" bestFit="1" customWidth="1"/>
    <col min="7441" max="7441" width="16.7265625" style="6" customWidth="1"/>
    <col min="7442" max="7685" width="9" style="6"/>
    <col min="7686" max="7686" width="16.26953125" style="6" customWidth="1"/>
    <col min="7687" max="7687" width="9" style="6"/>
    <col min="7688" max="7688" width="11.36328125" style="6" customWidth="1"/>
    <col min="7689" max="7690" width="9" style="6"/>
    <col min="7691" max="7691" width="23" style="6" bestFit="1" customWidth="1"/>
    <col min="7692" max="7692" width="10" style="6" customWidth="1"/>
    <col min="7693" max="7693" width="6.26953125" style="6" bestFit="1" customWidth="1"/>
    <col min="7694" max="7694" width="7.26953125" style="6" bestFit="1" customWidth="1"/>
    <col min="7695" max="7695" width="16.7265625" style="6" customWidth="1"/>
    <col min="7696" max="7696" width="7.26953125" style="6" bestFit="1" customWidth="1"/>
    <col min="7697" max="7697" width="16.7265625" style="6" customWidth="1"/>
    <col min="7698" max="7941" width="9" style="6"/>
    <col min="7942" max="7942" width="16.26953125" style="6" customWidth="1"/>
    <col min="7943" max="7943" width="9" style="6"/>
    <col min="7944" max="7944" width="11.36328125" style="6" customWidth="1"/>
    <col min="7945" max="7946" width="9" style="6"/>
    <col min="7947" max="7947" width="23" style="6" bestFit="1" customWidth="1"/>
    <col min="7948" max="7948" width="10" style="6" customWidth="1"/>
    <col min="7949" max="7949" width="6.26953125" style="6" bestFit="1" customWidth="1"/>
    <col min="7950" max="7950" width="7.26953125" style="6" bestFit="1" customWidth="1"/>
    <col min="7951" max="7951" width="16.7265625" style="6" customWidth="1"/>
    <col min="7952" max="7952" width="7.26953125" style="6" bestFit="1" customWidth="1"/>
    <col min="7953" max="7953" width="16.7265625" style="6" customWidth="1"/>
    <col min="7954" max="8197" width="9" style="6"/>
    <col min="8198" max="8198" width="16.26953125" style="6" customWidth="1"/>
    <col min="8199" max="8199" width="9" style="6"/>
    <col min="8200" max="8200" width="11.36328125" style="6" customWidth="1"/>
    <col min="8201" max="8202" width="9" style="6"/>
    <col min="8203" max="8203" width="23" style="6" bestFit="1" customWidth="1"/>
    <col min="8204" max="8204" width="10" style="6" customWidth="1"/>
    <col min="8205" max="8205" width="6.26953125" style="6" bestFit="1" customWidth="1"/>
    <col min="8206" max="8206" width="7.26953125" style="6" bestFit="1" customWidth="1"/>
    <col min="8207" max="8207" width="16.7265625" style="6" customWidth="1"/>
    <col min="8208" max="8208" width="7.26953125" style="6" bestFit="1" customWidth="1"/>
    <col min="8209" max="8209" width="16.7265625" style="6" customWidth="1"/>
    <col min="8210" max="8453" width="9" style="6"/>
    <col min="8454" max="8454" width="16.26953125" style="6" customWidth="1"/>
    <col min="8455" max="8455" width="9" style="6"/>
    <col min="8456" max="8456" width="11.36328125" style="6" customWidth="1"/>
    <col min="8457" max="8458" width="9" style="6"/>
    <col min="8459" max="8459" width="23" style="6" bestFit="1" customWidth="1"/>
    <col min="8460" max="8460" width="10" style="6" customWidth="1"/>
    <col min="8461" max="8461" width="6.26953125" style="6" bestFit="1" customWidth="1"/>
    <col min="8462" max="8462" width="7.26953125" style="6" bestFit="1" customWidth="1"/>
    <col min="8463" max="8463" width="16.7265625" style="6" customWidth="1"/>
    <col min="8464" max="8464" width="7.26953125" style="6" bestFit="1" customWidth="1"/>
    <col min="8465" max="8465" width="16.7265625" style="6" customWidth="1"/>
    <col min="8466" max="8709" width="9" style="6"/>
    <col min="8710" max="8710" width="16.26953125" style="6" customWidth="1"/>
    <col min="8711" max="8711" width="9" style="6"/>
    <col min="8712" max="8712" width="11.36328125" style="6" customWidth="1"/>
    <col min="8713" max="8714" width="9" style="6"/>
    <col min="8715" max="8715" width="23" style="6" bestFit="1" customWidth="1"/>
    <col min="8716" max="8716" width="10" style="6" customWidth="1"/>
    <col min="8717" max="8717" width="6.26953125" style="6" bestFit="1" customWidth="1"/>
    <col min="8718" max="8718" width="7.26953125" style="6" bestFit="1" customWidth="1"/>
    <col min="8719" max="8719" width="16.7265625" style="6" customWidth="1"/>
    <col min="8720" max="8720" width="7.26953125" style="6" bestFit="1" customWidth="1"/>
    <col min="8721" max="8721" width="16.7265625" style="6" customWidth="1"/>
    <col min="8722" max="8965" width="9" style="6"/>
    <col min="8966" max="8966" width="16.26953125" style="6" customWidth="1"/>
    <col min="8967" max="8967" width="9" style="6"/>
    <col min="8968" max="8968" width="11.36328125" style="6" customWidth="1"/>
    <col min="8969" max="8970" width="9" style="6"/>
    <col min="8971" max="8971" width="23" style="6" bestFit="1" customWidth="1"/>
    <col min="8972" max="8972" width="10" style="6" customWidth="1"/>
    <col min="8973" max="8973" width="6.26953125" style="6" bestFit="1" customWidth="1"/>
    <col min="8974" max="8974" width="7.26953125" style="6" bestFit="1" customWidth="1"/>
    <col min="8975" max="8975" width="16.7265625" style="6" customWidth="1"/>
    <col min="8976" max="8976" width="7.26953125" style="6" bestFit="1" customWidth="1"/>
    <col min="8977" max="8977" width="16.7265625" style="6" customWidth="1"/>
    <col min="8978" max="9221" width="9" style="6"/>
    <col min="9222" max="9222" width="16.26953125" style="6" customWidth="1"/>
    <col min="9223" max="9223" width="9" style="6"/>
    <col min="9224" max="9224" width="11.36328125" style="6" customWidth="1"/>
    <col min="9225" max="9226" width="9" style="6"/>
    <col min="9227" max="9227" width="23" style="6" bestFit="1" customWidth="1"/>
    <col min="9228" max="9228" width="10" style="6" customWidth="1"/>
    <col min="9229" max="9229" width="6.26953125" style="6" bestFit="1" customWidth="1"/>
    <col min="9230" max="9230" width="7.26953125" style="6" bestFit="1" customWidth="1"/>
    <col min="9231" max="9231" width="16.7265625" style="6" customWidth="1"/>
    <col min="9232" max="9232" width="7.26953125" style="6" bestFit="1" customWidth="1"/>
    <col min="9233" max="9233" width="16.7265625" style="6" customWidth="1"/>
    <col min="9234" max="9477" width="9" style="6"/>
    <col min="9478" max="9478" width="16.26953125" style="6" customWidth="1"/>
    <col min="9479" max="9479" width="9" style="6"/>
    <col min="9480" max="9480" width="11.36328125" style="6" customWidth="1"/>
    <col min="9481" max="9482" width="9" style="6"/>
    <col min="9483" max="9483" width="23" style="6" bestFit="1" customWidth="1"/>
    <col min="9484" max="9484" width="10" style="6" customWidth="1"/>
    <col min="9485" max="9485" width="6.26953125" style="6" bestFit="1" customWidth="1"/>
    <col min="9486" max="9486" width="7.26953125" style="6" bestFit="1" customWidth="1"/>
    <col min="9487" max="9487" width="16.7265625" style="6" customWidth="1"/>
    <col min="9488" max="9488" width="7.26953125" style="6" bestFit="1" customWidth="1"/>
    <col min="9489" max="9489" width="16.7265625" style="6" customWidth="1"/>
    <col min="9490" max="9733" width="9" style="6"/>
    <col min="9734" max="9734" width="16.26953125" style="6" customWidth="1"/>
    <col min="9735" max="9735" width="9" style="6"/>
    <col min="9736" max="9736" width="11.36328125" style="6" customWidth="1"/>
    <col min="9737" max="9738" width="9" style="6"/>
    <col min="9739" max="9739" width="23" style="6" bestFit="1" customWidth="1"/>
    <col min="9740" max="9740" width="10" style="6" customWidth="1"/>
    <col min="9741" max="9741" width="6.26953125" style="6" bestFit="1" customWidth="1"/>
    <col min="9742" max="9742" width="7.26953125" style="6" bestFit="1" customWidth="1"/>
    <col min="9743" max="9743" width="16.7265625" style="6" customWidth="1"/>
    <col min="9744" max="9744" width="7.26953125" style="6" bestFit="1" customWidth="1"/>
    <col min="9745" max="9745" width="16.7265625" style="6" customWidth="1"/>
    <col min="9746" max="9989" width="9" style="6"/>
    <col min="9990" max="9990" width="16.26953125" style="6" customWidth="1"/>
    <col min="9991" max="9991" width="9" style="6"/>
    <col min="9992" max="9992" width="11.36328125" style="6" customWidth="1"/>
    <col min="9993" max="9994" width="9" style="6"/>
    <col min="9995" max="9995" width="23" style="6" bestFit="1" customWidth="1"/>
    <col min="9996" max="9996" width="10" style="6" customWidth="1"/>
    <col min="9997" max="9997" width="6.26953125" style="6" bestFit="1" customWidth="1"/>
    <col min="9998" max="9998" width="7.26953125" style="6" bestFit="1" customWidth="1"/>
    <col min="9999" max="9999" width="16.7265625" style="6" customWidth="1"/>
    <col min="10000" max="10000" width="7.26953125" style="6" bestFit="1" customWidth="1"/>
    <col min="10001" max="10001" width="16.7265625" style="6" customWidth="1"/>
    <col min="10002" max="10245" width="9" style="6"/>
    <col min="10246" max="10246" width="16.26953125" style="6" customWidth="1"/>
    <col min="10247" max="10247" width="9" style="6"/>
    <col min="10248" max="10248" width="11.36328125" style="6" customWidth="1"/>
    <col min="10249" max="10250" width="9" style="6"/>
    <col min="10251" max="10251" width="23" style="6" bestFit="1" customWidth="1"/>
    <col min="10252" max="10252" width="10" style="6" customWidth="1"/>
    <col min="10253" max="10253" width="6.26953125" style="6" bestFit="1" customWidth="1"/>
    <col min="10254" max="10254" width="7.26953125" style="6" bestFit="1" customWidth="1"/>
    <col min="10255" max="10255" width="16.7265625" style="6" customWidth="1"/>
    <col min="10256" max="10256" width="7.26953125" style="6" bestFit="1" customWidth="1"/>
    <col min="10257" max="10257" width="16.7265625" style="6" customWidth="1"/>
    <col min="10258" max="10501" width="9" style="6"/>
    <col min="10502" max="10502" width="16.26953125" style="6" customWidth="1"/>
    <col min="10503" max="10503" width="9" style="6"/>
    <col min="10504" max="10504" width="11.36328125" style="6" customWidth="1"/>
    <col min="10505" max="10506" width="9" style="6"/>
    <col min="10507" max="10507" width="23" style="6" bestFit="1" customWidth="1"/>
    <col min="10508" max="10508" width="10" style="6" customWidth="1"/>
    <col min="10509" max="10509" width="6.26953125" style="6" bestFit="1" customWidth="1"/>
    <col min="10510" max="10510" width="7.26953125" style="6" bestFit="1" customWidth="1"/>
    <col min="10511" max="10511" width="16.7265625" style="6" customWidth="1"/>
    <col min="10512" max="10512" width="7.26953125" style="6" bestFit="1" customWidth="1"/>
    <col min="10513" max="10513" width="16.7265625" style="6" customWidth="1"/>
    <col min="10514" max="10757" width="9" style="6"/>
    <col min="10758" max="10758" width="16.26953125" style="6" customWidth="1"/>
    <col min="10759" max="10759" width="9" style="6"/>
    <col min="10760" max="10760" width="11.36328125" style="6" customWidth="1"/>
    <col min="10761" max="10762" width="9" style="6"/>
    <col min="10763" max="10763" width="23" style="6" bestFit="1" customWidth="1"/>
    <col min="10764" max="10764" width="10" style="6" customWidth="1"/>
    <col min="10765" max="10765" width="6.26953125" style="6" bestFit="1" customWidth="1"/>
    <col min="10766" max="10766" width="7.26953125" style="6" bestFit="1" customWidth="1"/>
    <col min="10767" max="10767" width="16.7265625" style="6" customWidth="1"/>
    <col min="10768" max="10768" width="7.26953125" style="6" bestFit="1" customWidth="1"/>
    <col min="10769" max="10769" width="16.7265625" style="6" customWidth="1"/>
    <col min="10770" max="11013" width="9" style="6"/>
    <col min="11014" max="11014" width="16.26953125" style="6" customWidth="1"/>
    <col min="11015" max="11015" width="9" style="6"/>
    <col min="11016" max="11016" width="11.36328125" style="6" customWidth="1"/>
    <col min="11017" max="11018" width="9" style="6"/>
    <col min="11019" max="11019" width="23" style="6" bestFit="1" customWidth="1"/>
    <col min="11020" max="11020" width="10" style="6" customWidth="1"/>
    <col min="11021" max="11021" width="6.26953125" style="6" bestFit="1" customWidth="1"/>
    <col min="11022" max="11022" width="7.26953125" style="6" bestFit="1" customWidth="1"/>
    <col min="11023" max="11023" width="16.7265625" style="6" customWidth="1"/>
    <col min="11024" max="11024" width="7.26953125" style="6" bestFit="1" customWidth="1"/>
    <col min="11025" max="11025" width="16.7265625" style="6" customWidth="1"/>
    <col min="11026" max="11269" width="9" style="6"/>
    <col min="11270" max="11270" width="16.26953125" style="6" customWidth="1"/>
    <col min="11271" max="11271" width="9" style="6"/>
    <col min="11272" max="11272" width="11.36328125" style="6" customWidth="1"/>
    <col min="11273" max="11274" width="9" style="6"/>
    <col min="11275" max="11275" width="23" style="6" bestFit="1" customWidth="1"/>
    <col min="11276" max="11276" width="10" style="6" customWidth="1"/>
    <col min="11277" max="11277" width="6.26953125" style="6" bestFit="1" customWidth="1"/>
    <col min="11278" max="11278" width="7.26953125" style="6" bestFit="1" customWidth="1"/>
    <col min="11279" max="11279" width="16.7265625" style="6" customWidth="1"/>
    <col min="11280" max="11280" width="7.26953125" style="6" bestFit="1" customWidth="1"/>
    <col min="11281" max="11281" width="16.7265625" style="6" customWidth="1"/>
    <col min="11282" max="11525" width="9" style="6"/>
    <col min="11526" max="11526" width="16.26953125" style="6" customWidth="1"/>
    <col min="11527" max="11527" width="9" style="6"/>
    <col min="11528" max="11528" width="11.36328125" style="6" customWidth="1"/>
    <col min="11529" max="11530" width="9" style="6"/>
    <col min="11531" max="11531" width="23" style="6" bestFit="1" customWidth="1"/>
    <col min="11532" max="11532" width="10" style="6" customWidth="1"/>
    <col min="11533" max="11533" width="6.26953125" style="6" bestFit="1" customWidth="1"/>
    <col min="11534" max="11534" width="7.26953125" style="6" bestFit="1" customWidth="1"/>
    <col min="11535" max="11535" width="16.7265625" style="6" customWidth="1"/>
    <col min="11536" max="11536" width="7.26953125" style="6" bestFit="1" customWidth="1"/>
    <col min="11537" max="11537" width="16.7265625" style="6" customWidth="1"/>
    <col min="11538" max="11781" width="9" style="6"/>
    <col min="11782" max="11782" width="16.26953125" style="6" customWidth="1"/>
    <col min="11783" max="11783" width="9" style="6"/>
    <col min="11784" max="11784" width="11.36328125" style="6" customWidth="1"/>
    <col min="11785" max="11786" width="9" style="6"/>
    <col min="11787" max="11787" width="23" style="6" bestFit="1" customWidth="1"/>
    <col min="11788" max="11788" width="10" style="6" customWidth="1"/>
    <col min="11789" max="11789" width="6.26953125" style="6" bestFit="1" customWidth="1"/>
    <col min="11790" max="11790" width="7.26953125" style="6" bestFit="1" customWidth="1"/>
    <col min="11791" max="11791" width="16.7265625" style="6" customWidth="1"/>
    <col min="11792" max="11792" width="7.26953125" style="6" bestFit="1" customWidth="1"/>
    <col min="11793" max="11793" width="16.7265625" style="6" customWidth="1"/>
    <col min="11794" max="12037" width="9" style="6"/>
    <col min="12038" max="12038" width="16.26953125" style="6" customWidth="1"/>
    <col min="12039" max="12039" width="9" style="6"/>
    <col min="12040" max="12040" width="11.36328125" style="6" customWidth="1"/>
    <col min="12041" max="12042" width="9" style="6"/>
    <col min="12043" max="12043" width="23" style="6" bestFit="1" customWidth="1"/>
    <col min="12044" max="12044" width="10" style="6" customWidth="1"/>
    <col min="12045" max="12045" width="6.26953125" style="6" bestFit="1" customWidth="1"/>
    <col min="12046" max="12046" width="7.26953125" style="6" bestFit="1" customWidth="1"/>
    <col min="12047" max="12047" width="16.7265625" style="6" customWidth="1"/>
    <col min="12048" max="12048" width="7.26953125" style="6" bestFit="1" customWidth="1"/>
    <col min="12049" max="12049" width="16.7265625" style="6" customWidth="1"/>
    <col min="12050" max="12293" width="9" style="6"/>
    <col min="12294" max="12294" width="16.26953125" style="6" customWidth="1"/>
    <col min="12295" max="12295" width="9" style="6"/>
    <col min="12296" max="12296" width="11.36328125" style="6" customWidth="1"/>
    <col min="12297" max="12298" width="9" style="6"/>
    <col min="12299" max="12299" width="23" style="6" bestFit="1" customWidth="1"/>
    <col min="12300" max="12300" width="10" style="6" customWidth="1"/>
    <col min="12301" max="12301" width="6.26953125" style="6" bestFit="1" customWidth="1"/>
    <col min="12302" max="12302" width="7.26953125" style="6" bestFit="1" customWidth="1"/>
    <col min="12303" max="12303" width="16.7265625" style="6" customWidth="1"/>
    <col min="12304" max="12304" width="7.26953125" style="6" bestFit="1" customWidth="1"/>
    <col min="12305" max="12305" width="16.7265625" style="6" customWidth="1"/>
    <col min="12306" max="12549" width="9" style="6"/>
    <col min="12550" max="12550" width="16.26953125" style="6" customWidth="1"/>
    <col min="12551" max="12551" width="9" style="6"/>
    <col min="12552" max="12552" width="11.36328125" style="6" customWidth="1"/>
    <col min="12553" max="12554" width="9" style="6"/>
    <col min="12555" max="12555" width="23" style="6" bestFit="1" customWidth="1"/>
    <col min="12556" max="12556" width="10" style="6" customWidth="1"/>
    <col min="12557" max="12557" width="6.26953125" style="6" bestFit="1" customWidth="1"/>
    <col min="12558" max="12558" width="7.26953125" style="6" bestFit="1" customWidth="1"/>
    <col min="12559" max="12559" width="16.7265625" style="6" customWidth="1"/>
    <col min="12560" max="12560" width="7.26953125" style="6" bestFit="1" customWidth="1"/>
    <col min="12561" max="12561" width="16.7265625" style="6" customWidth="1"/>
    <col min="12562" max="12805" width="9" style="6"/>
    <col min="12806" max="12806" width="16.26953125" style="6" customWidth="1"/>
    <col min="12807" max="12807" width="9" style="6"/>
    <col min="12808" max="12808" width="11.36328125" style="6" customWidth="1"/>
    <col min="12809" max="12810" width="9" style="6"/>
    <col min="12811" max="12811" width="23" style="6" bestFit="1" customWidth="1"/>
    <col min="12812" max="12812" width="10" style="6" customWidth="1"/>
    <col min="12813" max="12813" width="6.26953125" style="6" bestFit="1" customWidth="1"/>
    <col min="12814" max="12814" width="7.26953125" style="6" bestFit="1" customWidth="1"/>
    <col min="12815" max="12815" width="16.7265625" style="6" customWidth="1"/>
    <col min="12816" max="12816" width="7.26953125" style="6" bestFit="1" customWidth="1"/>
    <col min="12817" max="12817" width="16.7265625" style="6" customWidth="1"/>
    <col min="12818" max="13061" width="9" style="6"/>
    <col min="13062" max="13062" width="16.26953125" style="6" customWidth="1"/>
    <col min="13063" max="13063" width="9" style="6"/>
    <col min="13064" max="13064" width="11.36328125" style="6" customWidth="1"/>
    <col min="13065" max="13066" width="9" style="6"/>
    <col min="13067" max="13067" width="23" style="6" bestFit="1" customWidth="1"/>
    <col min="13068" max="13068" width="10" style="6" customWidth="1"/>
    <col min="13069" max="13069" width="6.26953125" style="6" bestFit="1" customWidth="1"/>
    <col min="13070" max="13070" width="7.26953125" style="6" bestFit="1" customWidth="1"/>
    <col min="13071" max="13071" width="16.7265625" style="6" customWidth="1"/>
    <col min="13072" max="13072" width="7.26953125" style="6" bestFit="1" customWidth="1"/>
    <col min="13073" max="13073" width="16.7265625" style="6" customWidth="1"/>
    <col min="13074" max="13317" width="9" style="6"/>
    <col min="13318" max="13318" width="16.26953125" style="6" customWidth="1"/>
    <col min="13319" max="13319" width="9" style="6"/>
    <col min="13320" max="13320" width="11.36328125" style="6" customWidth="1"/>
    <col min="13321" max="13322" width="9" style="6"/>
    <col min="13323" max="13323" width="23" style="6" bestFit="1" customWidth="1"/>
    <col min="13324" max="13324" width="10" style="6" customWidth="1"/>
    <col min="13325" max="13325" width="6.26953125" style="6" bestFit="1" customWidth="1"/>
    <col min="13326" max="13326" width="7.26953125" style="6" bestFit="1" customWidth="1"/>
    <col min="13327" max="13327" width="16.7265625" style="6" customWidth="1"/>
    <col min="13328" max="13328" width="7.26953125" style="6" bestFit="1" customWidth="1"/>
    <col min="13329" max="13329" width="16.7265625" style="6" customWidth="1"/>
    <col min="13330" max="13573" width="9" style="6"/>
    <col min="13574" max="13574" width="16.26953125" style="6" customWidth="1"/>
    <col min="13575" max="13575" width="9" style="6"/>
    <col min="13576" max="13576" width="11.36328125" style="6" customWidth="1"/>
    <col min="13577" max="13578" width="9" style="6"/>
    <col min="13579" max="13579" width="23" style="6" bestFit="1" customWidth="1"/>
    <col min="13580" max="13580" width="10" style="6" customWidth="1"/>
    <col min="13581" max="13581" width="6.26953125" style="6" bestFit="1" customWidth="1"/>
    <col min="13582" max="13582" width="7.26953125" style="6" bestFit="1" customWidth="1"/>
    <col min="13583" max="13583" width="16.7265625" style="6" customWidth="1"/>
    <col min="13584" max="13584" width="7.26953125" style="6" bestFit="1" customWidth="1"/>
    <col min="13585" max="13585" width="16.7265625" style="6" customWidth="1"/>
    <col min="13586" max="13829" width="9" style="6"/>
    <col min="13830" max="13830" width="16.26953125" style="6" customWidth="1"/>
    <col min="13831" max="13831" width="9" style="6"/>
    <col min="13832" max="13832" width="11.36328125" style="6" customWidth="1"/>
    <col min="13833" max="13834" width="9" style="6"/>
    <col min="13835" max="13835" width="23" style="6" bestFit="1" customWidth="1"/>
    <col min="13836" max="13836" width="10" style="6" customWidth="1"/>
    <col min="13837" max="13837" width="6.26953125" style="6" bestFit="1" customWidth="1"/>
    <col min="13838" max="13838" width="7.26953125" style="6" bestFit="1" customWidth="1"/>
    <col min="13839" max="13839" width="16.7265625" style="6" customWidth="1"/>
    <col min="13840" max="13840" width="7.26953125" style="6" bestFit="1" customWidth="1"/>
    <col min="13841" max="13841" width="16.7265625" style="6" customWidth="1"/>
    <col min="13842" max="14085" width="9" style="6"/>
    <col min="14086" max="14086" width="16.26953125" style="6" customWidth="1"/>
    <col min="14087" max="14087" width="9" style="6"/>
    <col min="14088" max="14088" width="11.36328125" style="6" customWidth="1"/>
    <col min="14089" max="14090" width="9" style="6"/>
    <col min="14091" max="14091" width="23" style="6" bestFit="1" customWidth="1"/>
    <col min="14092" max="14092" width="10" style="6" customWidth="1"/>
    <col min="14093" max="14093" width="6.26953125" style="6" bestFit="1" customWidth="1"/>
    <col min="14094" max="14094" width="7.26953125" style="6" bestFit="1" customWidth="1"/>
    <col min="14095" max="14095" width="16.7265625" style="6" customWidth="1"/>
    <col min="14096" max="14096" width="7.26953125" style="6" bestFit="1" customWidth="1"/>
    <col min="14097" max="14097" width="16.7265625" style="6" customWidth="1"/>
    <col min="14098" max="14341" width="9" style="6"/>
    <col min="14342" max="14342" width="16.26953125" style="6" customWidth="1"/>
    <col min="14343" max="14343" width="9" style="6"/>
    <col min="14344" max="14344" width="11.36328125" style="6" customWidth="1"/>
    <col min="14345" max="14346" width="9" style="6"/>
    <col min="14347" max="14347" width="23" style="6" bestFit="1" customWidth="1"/>
    <col min="14348" max="14348" width="10" style="6" customWidth="1"/>
    <col min="14349" max="14349" width="6.26953125" style="6" bestFit="1" customWidth="1"/>
    <col min="14350" max="14350" width="7.26953125" style="6" bestFit="1" customWidth="1"/>
    <col min="14351" max="14351" width="16.7265625" style="6" customWidth="1"/>
    <col min="14352" max="14352" width="7.26953125" style="6" bestFit="1" customWidth="1"/>
    <col min="14353" max="14353" width="16.7265625" style="6" customWidth="1"/>
    <col min="14354" max="14597" width="9" style="6"/>
    <col min="14598" max="14598" width="16.26953125" style="6" customWidth="1"/>
    <col min="14599" max="14599" width="9" style="6"/>
    <col min="14600" max="14600" width="11.36328125" style="6" customWidth="1"/>
    <col min="14601" max="14602" width="9" style="6"/>
    <col min="14603" max="14603" width="23" style="6" bestFit="1" customWidth="1"/>
    <col min="14604" max="14604" width="10" style="6" customWidth="1"/>
    <col min="14605" max="14605" width="6.26953125" style="6" bestFit="1" customWidth="1"/>
    <col min="14606" max="14606" width="7.26953125" style="6" bestFit="1" customWidth="1"/>
    <col min="14607" max="14607" width="16.7265625" style="6" customWidth="1"/>
    <col min="14608" max="14608" width="7.26953125" style="6" bestFit="1" customWidth="1"/>
    <col min="14609" max="14609" width="16.7265625" style="6" customWidth="1"/>
    <col min="14610" max="14853" width="9" style="6"/>
    <col min="14854" max="14854" width="16.26953125" style="6" customWidth="1"/>
    <col min="14855" max="14855" width="9" style="6"/>
    <col min="14856" max="14856" width="11.36328125" style="6" customWidth="1"/>
    <col min="14857" max="14858" width="9" style="6"/>
    <col min="14859" max="14859" width="23" style="6" bestFit="1" customWidth="1"/>
    <col min="14860" max="14860" width="10" style="6" customWidth="1"/>
    <col min="14861" max="14861" width="6.26953125" style="6" bestFit="1" customWidth="1"/>
    <col min="14862" max="14862" width="7.26953125" style="6" bestFit="1" customWidth="1"/>
    <col min="14863" max="14863" width="16.7265625" style="6" customWidth="1"/>
    <col min="14864" max="14864" width="7.26953125" style="6" bestFit="1" customWidth="1"/>
    <col min="14865" max="14865" width="16.7265625" style="6" customWidth="1"/>
    <col min="14866" max="15109" width="9" style="6"/>
    <col min="15110" max="15110" width="16.26953125" style="6" customWidth="1"/>
    <col min="15111" max="15111" width="9" style="6"/>
    <col min="15112" max="15112" width="11.36328125" style="6" customWidth="1"/>
    <col min="15113" max="15114" width="9" style="6"/>
    <col min="15115" max="15115" width="23" style="6" bestFit="1" customWidth="1"/>
    <col min="15116" max="15116" width="10" style="6" customWidth="1"/>
    <col min="15117" max="15117" width="6.26953125" style="6" bestFit="1" customWidth="1"/>
    <col min="15118" max="15118" width="7.26953125" style="6" bestFit="1" customWidth="1"/>
    <col min="15119" max="15119" width="16.7265625" style="6" customWidth="1"/>
    <col min="15120" max="15120" width="7.26953125" style="6" bestFit="1" customWidth="1"/>
    <col min="15121" max="15121" width="16.7265625" style="6" customWidth="1"/>
    <col min="15122" max="15365" width="9" style="6"/>
    <col min="15366" max="15366" width="16.26953125" style="6" customWidth="1"/>
    <col min="15367" max="15367" width="9" style="6"/>
    <col min="15368" max="15368" width="11.36328125" style="6" customWidth="1"/>
    <col min="15369" max="15370" width="9" style="6"/>
    <col min="15371" max="15371" width="23" style="6" bestFit="1" customWidth="1"/>
    <col min="15372" max="15372" width="10" style="6" customWidth="1"/>
    <col min="15373" max="15373" width="6.26953125" style="6" bestFit="1" customWidth="1"/>
    <col min="15374" max="15374" width="7.26953125" style="6" bestFit="1" customWidth="1"/>
    <col min="15375" max="15375" width="16.7265625" style="6" customWidth="1"/>
    <col min="15376" max="15376" width="7.26953125" style="6" bestFit="1" customWidth="1"/>
    <col min="15377" max="15377" width="16.7265625" style="6" customWidth="1"/>
    <col min="15378" max="15621" width="9" style="6"/>
    <col min="15622" max="15622" width="16.26953125" style="6" customWidth="1"/>
    <col min="15623" max="15623" width="9" style="6"/>
    <col min="15624" max="15624" width="11.36328125" style="6" customWidth="1"/>
    <col min="15625" max="15626" width="9" style="6"/>
    <col min="15627" max="15627" width="23" style="6" bestFit="1" customWidth="1"/>
    <col min="15628" max="15628" width="10" style="6" customWidth="1"/>
    <col min="15629" max="15629" width="6.26953125" style="6" bestFit="1" customWidth="1"/>
    <col min="15630" max="15630" width="7.26953125" style="6" bestFit="1" customWidth="1"/>
    <col min="15631" max="15631" width="16.7265625" style="6" customWidth="1"/>
    <col min="15632" max="15632" width="7.26953125" style="6" bestFit="1" customWidth="1"/>
    <col min="15633" max="15633" width="16.7265625" style="6" customWidth="1"/>
    <col min="15634" max="15877" width="9" style="6"/>
    <col min="15878" max="15878" width="16.26953125" style="6" customWidth="1"/>
    <col min="15879" max="15879" width="9" style="6"/>
    <col min="15880" max="15880" width="11.36328125" style="6" customWidth="1"/>
    <col min="15881" max="15882" width="9" style="6"/>
    <col min="15883" max="15883" width="23" style="6" bestFit="1" customWidth="1"/>
    <col min="15884" max="15884" width="10" style="6" customWidth="1"/>
    <col min="15885" max="15885" width="6.26953125" style="6" bestFit="1" customWidth="1"/>
    <col min="15886" max="15886" width="7.26953125" style="6" bestFit="1" customWidth="1"/>
    <col min="15887" max="15887" width="16.7265625" style="6" customWidth="1"/>
    <col min="15888" max="15888" width="7.26953125" style="6" bestFit="1" customWidth="1"/>
    <col min="15889" max="15889" width="16.7265625" style="6" customWidth="1"/>
    <col min="15890" max="16133" width="9" style="6"/>
    <col min="16134" max="16134" width="16.26953125" style="6" customWidth="1"/>
    <col min="16135" max="16135" width="9" style="6"/>
    <col min="16136" max="16136" width="11.36328125" style="6" customWidth="1"/>
    <col min="16137" max="16138" width="9" style="6"/>
    <col min="16139" max="16139" width="23" style="6" bestFit="1" customWidth="1"/>
    <col min="16140" max="16140" width="10" style="6" customWidth="1"/>
    <col min="16141" max="16141" width="6.26953125" style="6" bestFit="1" customWidth="1"/>
    <col min="16142" max="16142" width="7.26953125" style="6" bestFit="1" customWidth="1"/>
    <col min="16143" max="16143" width="16.7265625" style="6" customWidth="1"/>
    <col min="16144" max="16144" width="7.26953125" style="6" bestFit="1" customWidth="1"/>
    <col min="16145" max="16145" width="16.7265625" style="6" customWidth="1"/>
    <col min="16146" max="16384" width="9" style="6"/>
  </cols>
  <sheetData>
    <row r="1" spans="1:26" s="17" customFormat="1" ht="23.5" customHeight="1">
      <c r="A1" s="35"/>
      <c r="B1" s="35"/>
      <c r="C1" s="35"/>
      <c r="D1" s="35"/>
      <c r="E1" s="35"/>
      <c r="F1" s="35"/>
      <c r="G1" s="35"/>
      <c r="H1" s="35"/>
      <c r="I1" s="35"/>
      <c r="J1" s="35"/>
      <c r="K1" s="35"/>
      <c r="L1" s="35"/>
      <c r="M1" s="147" t="str">
        <f>資訊清單資訊!B3 &amp;資訊清單資訊!B7 &amp;資訊清單資訊!B5</f>
        <v>石油與天然氣輸儲查核與檢測雲端平台資料類(DA)資訊資產風險評鑑</v>
      </c>
      <c r="N1" s="147"/>
      <c r="O1" s="147"/>
      <c r="P1" s="147"/>
      <c r="Q1" s="147"/>
      <c r="R1" s="147"/>
      <c r="S1" s="147"/>
      <c r="T1" s="147"/>
      <c r="U1" s="147"/>
      <c r="V1" s="147"/>
      <c r="W1" s="147"/>
      <c r="X1" s="147"/>
      <c r="Y1" s="147"/>
      <c r="Z1" s="147"/>
    </row>
    <row r="2" spans="1:26">
      <c r="M2" s="37" t="s">
        <v>9</v>
      </c>
      <c r="N2" s="109" t="str">
        <f>資訊清單資訊!B7</f>
        <v>資料類(DA)</v>
      </c>
      <c r="O2" s="110"/>
      <c r="P2" s="111"/>
      <c r="Q2" s="61"/>
      <c r="R2" s="29" t="s">
        <v>11</v>
      </c>
      <c r="S2" s="15">
        <f>IF(ISNA(VLOOKUP($N$3,ALL_LIST,16,FALSE)), "",VLOOKUP($N$3,ALL_LIST,16,FALSE))</f>
        <v>2</v>
      </c>
    </row>
    <row r="3" spans="1:26" ht="31.75" customHeight="1">
      <c r="M3" s="40" t="s">
        <v>5</v>
      </c>
      <c r="N3" s="112" t="s">
        <v>208</v>
      </c>
      <c r="O3" s="113"/>
      <c r="P3" s="114"/>
      <c r="R3" s="28" t="s">
        <v>72</v>
      </c>
      <c r="S3" s="16">
        <f>IF(ISNA(VLOOKUP($N$3,ALL_LIST,8,FALSE)), "",VLOOKUP($N$3,ALL_LIST,8,FALSE))</f>
        <v>2</v>
      </c>
    </row>
    <row r="4" spans="1:26" ht="31.75" customHeight="1">
      <c r="M4" s="38" t="s">
        <v>10</v>
      </c>
      <c r="N4" s="115" t="str">
        <f>IF(ISNA(VLOOKUP($N$3,ALL_LIST,3,FALSE)), "",VLOOKUP($N$3,ALL_LIST,3,FALSE))</f>
        <v>系統開發文件</v>
      </c>
      <c r="O4" s="116"/>
      <c r="P4" s="117"/>
      <c r="Q4" s="61"/>
      <c r="R4" s="28" t="s">
        <v>73</v>
      </c>
      <c r="S4" s="16">
        <f>IF(ISNA(VLOOKUP($N$3,ALL_LIST,10,FALSE)), "",VLOOKUP($N$3,ALL_LIST,10,FALSE))</f>
        <v>2</v>
      </c>
    </row>
    <row r="5" spans="1:26">
      <c r="M5" s="37" t="s">
        <v>6</v>
      </c>
      <c r="N5" s="118" t="str">
        <f>IF(ISNA(VLOOKUP($N$3,ALL_LIST,17,FALSE)), "",VLOOKUP($N$3,ALL_LIST,17,FALSE))</f>
        <v>賴斐瓔 </v>
      </c>
      <c r="O5" s="119"/>
      <c r="P5" s="120"/>
      <c r="Q5" s="61"/>
      <c r="R5" s="28" t="s">
        <v>74</v>
      </c>
      <c r="S5" s="16">
        <f>IF(ISNA(VLOOKUP($N$3,ALL_LIST,12,FALSE)), " ",VLOOKUP($N$3,ALL_LIST,12,FALSE))</f>
        <v>2</v>
      </c>
    </row>
    <row r="6" spans="1:26">
      <c r="M6" s="39" t="s">
        <v>7</v>
      </c>
      <c r="N6" s="121" t="s">
        <v>232</v>
      </c>
      <c r="O6" s="122"/>
      <c r="P6" s="123"/>
      <c r="R6" s="28" t="s">
        <v>75</v>
      </c>
      <c r="S6" s="16" t="str">
        <f>IF(ISNA(VLOOKUP($N$3,ALL_LIST,14,FALSE)), "",VLOOKUP($N$3,ALL_LIST,14,FALSE))</f>
        <v>NA</v>
      </c>
    </row>
    <row r="7" spans="1:26">
      <c r="M7" s="39" t="s">
        <v>8</v>
      </c>
      <c r="N7" s="124" t="s">
        <v>205</v>
      </c>
      <c r="O7" s="125"/>
      <c r="P7" s="126"/>
      <c r="Q7" s="61"/>
      <c r="R7" s="30" t="s">
        <v>12</v>
      </c>
      <c r="S7" s="22">
        <f>MAX(Y11:Y34)</f>
        <v>8</v>
      </c>
    </row>
    <row r="10" spans="1:26" s="18" customFormat="1" ht="16">
      <c r="A10" s="31" t="s">
        <v>13</v>
      </c>
      <c r="B10" s="31" t="s">
        <v>2</v>
      </c>
      <c r="C10" s="31" t="s">
        <v>15</v>
      </c>
      <c r="D10" s="31" t="s">
        <v>16</v>
      </c>
      <c r="E10" s="31" t="s">
        <v>3</v>
      </c>
      <c r="F10" s="31" t="s">
        <v>17</v>
      </c>
      <c r="G10" s="32" t="s">
        <v>18</v>
      </c>
      <c r="H10" s="32" t="s">
        <v>19</v>
      </c>
      <c r="I10" s="32" t="s">
        <v>20</v>
      </c>
      <c r="J10" s="32" t="s">
        <v>21</v>
      </c>
      <c r="K10" s="33" t="s">
        <v>22</v>
      </c>
      <c r="L10" s="34" t="s">
        <v>31</v>
      </c>
      <c r="M10" s="151" t="s">
        <v>23</v>
      </c>
      <c r="N10" s="152"/>
      <c r="O10" s="153"/>
      <c r="P10" s="151" t="s">
        <v>4</v>
      </c>
      <c r="Q10" s="152"/>
      <c r="R10" s="152"/>
      <c r="S10" s="153"/>
      <c r="T10" s="27" t="s">
        <v>24</v>
      </c>
      <c r="U10" s="27" t="s">
        <v>25</v>
      </c>
      <c r="V10" s="27" t="s">
        <v>26</v>
      </c>
      <c r="W10" s="27" t="s">
        <v>27</v>
      </c>
      <c r="X10" s="27" t="s">
        <v>26</v>
      </c>
      <c r="Y10" s="27" t="s">
        <v>28</v>
      </c>
      <c r="Z10" s="27" t="s">
        <v>29</v>
      </c>
    </row>
    <row r="11" spans="1:26" ht="59" customHeight="1">
      <c r="A11" s="52" t="str">
        <f>$N$3</f>
        <v>材1-1-DA-03</v>
      </c>
      <c r="B11" s="52">
        <f t="shared" ref="B11:B34" si="0">VLOOKUP($N$3,ALL_LIST,2,FALSE)</f>
        <v>0</v>
      </c>
      <c r="C11" s="52" t="str">
        <f t="shared" ref="C11:C34" si="1">VLOOKUP($N$3,ALL_LIST,3,FALSE)</f>
        <v>系統開發文件</v>
      </c>
      <c r="D11" s="52" t="str">
        <f t="shared" ref="D11:D34" si="2">VLOOKUP($N$3,ALL_LIST,4,FALSE)</f>
        <v>系統開發文件</v>
      </c>
      <c r="E11" s="52">
        <f t="shared" ref="E11:E34" si="3">VLOOKUP($N$3,ALL_LIST,6,FALSE)</f>
        <v>1</v>
      </c>
      <c r="F11" s="52" t="str">
        <f t="shared" ref="F11:F34" si="4">VLOOKUP($N$3,ALL_LIST,7,FALSE)</f>
        <v>賴斐瓔 </v>
      </c>
      <c r="G11" s="52">
        <f t="shared" ref="G11:G34" si="5">VLOOKUP($N$3,ALL_LIST,8,FALSE)</f>
        <v>2</v>
      </c>
      <c r="H11" s="52">
        <f t="shared" ref="H11:H34" si="6">VLOOKUP($N$3,ALL_LIST,10,FALSE)</f>
        <v>2</v>
      </c>
      <c r="I11" s="52">
        <f t="shared" ref="I11:I34" si="7">VLOOKUP($N$3,ALL_LIST,12,FALSE)</f>
        <v>2</v>
      </c>
      <c r="J11" s="52" t="str">
        <f t="shared" ref="J11:J34" si="8">VLOOKUP($N$3,ALL_LIST,14,FALSE)</f>
        <v>NA</v>
      </c>
      <c r="K11" s="53">
        <f t="shared" ref="K11:K34" si="9">VLOOKUP($N$3,ALL_LIST,16,FALSE)</f>
        <v>2</v>
      </c>
      <c r="L11" s="53">
        <f>$S$7</f>
        <v>8</v>
      </c>
      <c r="M11" s="127" t="s">
        <v>114</v>
      </c>
      <c r="N11" s="128" t="s">
        <v>77</v>
      </c>
      <c r="O11" s="129" t="s">
        <v>77</v>
      </c>
      <c r="P11" s="130" t="s">
        <v>113</v>
      </c>
      <c r="Q11" s="131"/>
      <c r="R11" s="131"/>
      <c r="S11" s="131"/>
      <c r="T11" s="54" t="s">
        <v>161</v>
      </c>
      <c r="U11" s="54">
        <v>2</v>
      </c>
      <c r="V11" s="196" t="s">
        <v>220</v>
      </c>
      <c r="W11" s="54">
        <v>2</v>
      </c>
      <c r="X11" s="55" t="s">
        <v>211</v>
      </c>
      <c r="Y11" s="56">
        <f>IF((T11="N"),"不適用",IF(COUNTA(U11,W11)&lt;2,"評鑑中",$S$2*U11*W11))</f>
        <v>8</v>
      </c>
      <c r="Z11" s="49"/>
    </row>
    <row r="12" spans="1:26" ht="62">
      <c r="A12" s="52" t="str">
        <f t="shared" ref="A12:A34" si="10">$N$3</f>
        <v>材1-1-DA-03</v>
      </c>
      <c r="B12" s="52">
        <f t="shared" si="0"/>
        <v>0</v>
      </c>
      <c r="C12" s="52" t="str">
        <f t="shared" si="1"/>
        <v>系統開發文件</v>
      </c>
      <c r="D12" s="52" t="str">
        <f t="shared" si="2"/>
        <v>系統開發文件</v>
      </c>
      <c r="E12" s="52">
        <f t="shared" si="3"/>
        <v>1</v>
      </c>
      <c r="F12" s="52" t="str">
        <f t="shared" si="4"/>
        <v>賴斐瓔 </v>
      </c>
      <c r="G12" s="52">
        <f t="shared" si="5"/>
        <v>2</v>
      </c>
      <c r="H12" s="52">
        <f t="shared" si="6"/>
        <v>2</v>
      </c>
      <c r="I12" s="52">
        <f t="shared" si="7"/>
        <v>2</v>
      </c>
      <c r="J12" s="52" t="str">
        <f t="shared" si="8"/>
        <v>NA</v>
      </c>
      <c r="K12" s="53">
        <f t="shared" si="9"/>
        <v>2</v>
      </c>
      <c r="L12" s="53">
        <f>$S$7</f>
        <v>8</v>
      </c>
      <c r="M12" s="132" t="s">
        <v>114</v>
      </c>
      <c r="N12" s="133"/>
      <c r="O12" s="134"/>
      <c r="P12" s="135" t="s">
        <v>115</v>
      </c>
      <c r="Q12" s="136"/>
      <c r="R12" s="136"/>
      <c r="S12" s="136"/>
      <c r="T12" s="54" t="s">
        <v>161</v>
      </c>
      <c r="U12" s="54">
        <v>2</v>
      </c>
      <c r="V12" s="197" t="s">
        <v>221</v>
      </c>
      <c r="W12" s="54">
        <v>2</v>
      </c>
      <c r="X12" s="55" t="s">
        <v>211</v>
      </c>
      <c r="Y12" s="56">
        <f t="shared" ref="Y12:Y34" si="11">IF((T12="N"),"不適用",IF(COUNTA(U12,W12)&lt;2,"評鑑中",$S$2*U12*W12))</f>
        <v>8</v>
      </c>
      <c r="Z12" s="49"/>
    </row>
    <row r="13" spans="1:26" ht="46.5">
      <c r="A13" s="52" t="str">
        <f t="shared" si="10"/>
        <v>材1-1-DA-03</v>
      </c>
      <c r="B13" s="52">
        <f t="shared" si="0"/>
        <v>0</v>
      </c>
      <c r="C13" s="52" t="str">
        <f t="shared" si="1"/>
        <v>系統開發文件</v>
      </c>
      <c r="D13" s="52" t="str">
        <f t="shared" si="2"/>
        <v>系統開發文件</v>
      </c>
      <c r="E13" s="52">
        <f t="shared" si="3"/>
        <v>1</v>
      </c>
      <c r="F13" s="52" t="str">
        <f t="shared" si="4"/>
        <v>賴斐瓔 </v>
      </c>
      <c r="G13" s="52">
        <f t="shared" si="5"/>
        <v>2</v>
      </c>
      <c r="H13" s="52">
        <f t="shared" si="6"/>
        <v>2</v>
      </c>
      <c r="I13" s="52">
        <f t="shared" si="7"/>
        <v>2</v>
      </c>
      <c r="J13" s="52" t="str">
        <f t="shared" si="8"/>
        <v>NA</v>
      </c>
      <c r="K13" s="53">
        <f t="shared" si="9"/>
        <v>2</v>
      </c>
      <c r="L13" s="53">
        <f>$S$7</f>
        <v>8</v>
      </c>
      <c r="M13" s="132" t="s">
        <v>114</v>
      </c>
      <c r="N13" s="133"/>
      <c r="O13" s="134"/>
      <c r="P13" s="135" t="s">
        <v>116</v>
      </c>
      <c r="Q13" s="136"/>
      <c r="R13" s="136"/>
      <c r="S13" s="136"/>
      <c r="T13" s="54" t="s">
        <v>166</v>
      </c>
      <c r="U13" s="54">
        <v>2</v>
      </c>
      <c r="V13" s="196" t="s">
        <v>222</v>
      </c>
      <c r="W13" s="54">
        <v>2</v>
      </c>
      <c r="X13" s="55" t="s">
        <v>211</v>
      </c>
      <c r="Y13" s="56">
        <f t="shared" si="11"/>
        <v>8</v>
      </c>
      <c r="Z13" s="49"/>
    </row>
    <row r="14" spans="1:26" ht="33" customHeight="1">
      <c r="A14" s="52" t="str">
        <f t="shared" si="10"/>
        <v>材1-1-DA-03</v>
      </c>
      <c r="B14" s="52">
        <f t="shared" si="0"/>
        <v>0</v>
      </c>
      <c r="C14" s="52" t="str">
        <f t="shared" si="1"/>
        <v>系統開發文件</v>
      </c>
      <c r="D14" s="52" t="str">
        <f t="shared" si="2"/>
        <v>系統開發文件</v>
      </c>
      <c r="E14" s="52">
        <f t="shared" si="3"/>
        <v>1</v>
      </c>
      <c r="F14" s="52" t="str">
        <f t="shared" si="4"/>
        <v>賴斐瓔 </v>
      </c>
      <c r="G14" s="52">
        <f t="shared" si="5"/>
        <v>2</v>
      </c>
      <c r="H14" s="52">
        <f t="shared" si="6"/>
        <v>2</v>
      </c>
      <c r="I14" s="52">
        <f t="shared" si="7"/>
        <v>2</v>
      </c>
      <c r="J14" s="52" t="str">
        <f t="shared" si="8"/>
        <v>NA</v>
      </c>
      <c r="K14" s="53">
        <f t="shared" si="9"/>
        <v>2</v>
      </c>
      <c r="L14" s="53">
        <f>$S$7</f>
        <v>8</v>
      </c>
      <c r="M14" s="148" t="s">
        <v>119</v>
      </c>
      <c r="N14" s="149" t="s">
        <v>117</v>
      </c>
      <c r="O14" s="150" t="s">
        <v>117</v>
      </c>
      <c r="P14" s="135" t="s">
        <v>118</v>
      </c>
      <c r="Q14" s="136"/>
      <c r="R14" s="136"/>
      <c r="S14" s="136"/>
      <c r="T14" s="54" t="s">
        <v>160</v>
      </c>
      <c r="U14" s="54"/>
      <c r="W14" s="54"/>
      <c r="X14" s="55"/>
      <c r="Y14" s="56" t="str">
        <f t="shared" si="11"/>
        <v>不適用</v>
      </c>
      <c r="Z14" s="49"/>
    </row>
    <row r="15" spans="1:26">
      <c r="A15" s="52" t="str">
        <f t="shared" si="10"/>
        <v>材1-1-DA-03</v>
      </c>
      <c r="B15" s="52">
        <f t="shared" si="0"/>
        <v>0</v>
      </c>
      <c r="C15" s="52" t="str">
        <f t="shared" si="1"/>
        <v>系統開發文件</v>
      </c>
      <c r="D15" s="52" t="str">
        <f t="shared" si="2"/>
        <v>系統開發文件</v>
      </c>
      <c r="E15" s="52">
        <f t="shared" si="3"/>
        <v>1</v>
      </c>
      <c r="F15" s="52" t="str">
        <f t="shared" si="4"/>
        <v>賴斐瓔 </v>
      </c>
      <c r="G15" s="52">
        <f t="shared" si="5"/>
        <v>2</v>
      </c>
      <c r="H15" s="52">
        <f t="shared" si="6"/>
        <v>2</v>
      </c>
      <c r="I15" s="52">
        <f t="shared" si="7"/>
        <v>2</v>
      </c>
      <c r="J15" s="52" t="str">
        <f t="shared" si="8"/>
        <v>NA</v>
      </c>
      <c r="K15" s="53">
        <f t="shared" si="9"/>
        <v>2</v>
      </c>
      <c r="L15" s="53">
        <f>$S$7</f>
        <v>8</v>
      </c>
      <c r="M15" s="137" t="s">
        <v>119</v>
      </c>
      <c r="N15" s="138" t="s">
        <v>117</v>
      </c>
      <c r="O15" s="139" t="s">
        <v>117</v>
      </c>
      <c r="P15" s="130" t="s">
        <v>120</v>
      </c>
      <c r="Q15" s="131"/>
      <c r="R15" s="131"/>
      <c r="S15" s="131"/>
      <c r="T15" s="54" t="s">
        <v>160</v>
      </c>
      <c r="U15" s="54"/>
      <c r="V15" s="49"/>
      <c r="W15" s="54"/>
      <c r="X15" s="55"/>
      <c r="Y15" s="56" t="str">
        <f t="shared" si="11"/>
        <v>不適用</v>
      </c>
      <c r="Z15" s="49"/>
    </row>
    <row r="16" spans="1:26">
      <c r="A16" s="52"/>
      <c r="B16" s="52"/>
      <c r="C16" s="52"/>
      <c r="D16" s="52"/>
      <c r="E16" s="52"/>
      <c r="F16" s="52"/>
      <c r="G16" s="52"/>
      <c r="H16" s="52"/>
      <c r="I16" s="52"/>
      <c r="J16" s="52"/>
      <c r="K16" s="53"/>
      <c r="L16" s="53"/>
      <c r="M16" s="140" t="s">
        <v>119</v>
      </c>
      <c r="N16" s="141" t="s">
        <v>117</v>
      </c>
      <c r="O16" s="142" t="s">
        <v>117</v>
      </c>
      <c r="P16" s="143" t="s">
        <v>121</v>
      </c>
      <c r="Q16" s="143"/>
      <c r="R16" s="143"/>
      <c r="S16" s="130"/>
      <c r="T16" s="54" t="s">
        <v>161</v>
      </c>
      <c r="U16" s="54">
        <v>2</v>
      </c>
      <c r="V16" s="49" t="s">
        <v>167</v>
      </c>
      <c r="W16" s="54">
        <v>2</v>
      </c>
      <c r="X16" s="55" t="s">
        <v>211</v>
      </c>
      <c r="Y16" s="56">
        <f t="shared" si="11"/>
        <v>8</v>
      </c>
      <c r="Z16" s="49"/>
    </row>
    <row r="17" spans="1:26" ht="34.65" customHeight="1">
      <c r="A17" s="52" t="str">
        <f t="shared" si="10"/>
        <v>材1-1-DA-03</v>
      </c>
      <c r="B17" s="52">
        <f t="shared" si="0"/>
        <v>0</v>
      </c>
      <c r="C17" s="52" t="str">
        <f t="shared" si="1"/>
        <v>系統開發文件</v>
      </c>
      <c r="D17" s="52" t="str">
        <f t="shared" si="2"/>
        <v>系統開發文件</v>
      </c>
      <c r="E17" s="52">
        <f t="shared" si="3"/>
        <v>1</v>
      </c>
      <c r="F17" s="52" t="str">
        <f t="shared" si="4"/>
        <v>賴斐瓔 </v>
      </c>
      <c r="G17" s="52">
        <f t="shared" si="5"/>
        <v>2</v>
      </c>
      <c r="H17" s="52">
        <f t="shared" si="6"/>
        <v>2</v>
      </c>
      <c r="I17" s="52">
        <f t="shared" si="7"/>
        <v>2</v>
      </c>
      <c r="J17" s="52" t="str">
        <f t="shared" si="8"/>
        <v>NA</v>
      </c>
      <c r="K17" s="53">
        <f t="shared" si="9"/>
        <v>2</v>
      </c>
      <c r="L17" s="53">
        <f t="shared" ref="L17:L28" si="12">$S$7</f>
        <v>8</v>
      </c>
      <c r="M17" s="144" t="s">
        <v>149</v>
      </c>
      <c r="N17" s="145" t="s">
        <v>122</v>
      </c>
      <c r="O17" s="146" t="s">
        <v>122</v>
      </c>
      <c r="P17" s="130" t="s">
        <v>123</v>
      </c>
      <c r="Q17" s="131"/>
      <c r="R17" s="131"/>
      <c r="S17" s="131"/>
      <c r="T17" s="54" t="s">
        <v>166</v>
      </c>
      <c r="U17" s="54">
        <v>2</v>
      </c>
      <c r="V17" s="49" t="s">
        <v>167</v>
      </c>
      <c r="W17" s="54">
        <v>2</v>
      </c>
      <c r="X17" s="55" t="s">
        <v>211</v>
      </c>
      <c r="Y17" s="56">
        <f t="shared" si="11"/>
        <v>8</v>
      </c>
      <c r="Z17" s="49"/>
    </row>
    <row r="18" spans="1:26" ht="37.75" customHeight="1">
      <c r="A18" s="52" t="str">
        <f t="shared" si="10"/>
        <v>材1-1-DA-03</v>
      </c>
      <c r="B18" s="52">
        <f t="shared" si="0"/>
        <v>0</v>
      </c>
      <c r="C18" s="52" t="str">
        <f t="shared" si="1"/>
        <v>系統開發文件</v>
      </c>
      <c r="D18" s="52" t="str">
        <f t="shared" si="2"/>
        <v>系統開發文件</v>
      </c>
      <c r="E18" s="52">
        <f t="shared" si="3"/>
        <v>1</v>
      </c>
      <c r="F18" s="52" t="str">
        <f t="shared" si="4"/>
        <v>賴斐瓔 </v>
      </c>
      <c r="G18" s="52">
        <f t="shared" si="5"/>
        <v>2</v>
      </c>
      <c r="H18" s="52">
        <f t="shared" si="6"/>
        <v>2</v>
      </c>
      <c r="I18" s="52">
        <f t="shared" si="7"/>
        <v>2</v>
      </c>
      <c r="J18" s="52" t="str">
        <f t="shared" si="8"/>
        <v>NA</v>
      </c>
      <c r="K18" s="53">
        <f t="shared" si="9"/>
        <v>2</v>
      </c>
      <c r="L18" s="53">
        <f t="shared" si="12"/>
        <v>8</v>
      </c>
      <c r="M18" s="148" t="s">
        <v>150</v>
      </c>
      <c r="N18" s="149" t="s">
        <v>124</v>
      </c>
      <c r="O18" s="150" t="s">
        <v>124</v>
      </c>
      <c r="P18" s="154" t="s">
        <v>125</v>
      </c>
      <c r="Q18" s="155"/>
      <c r="R18" s="155"/>
      <c r="S18" s="155"/>
      <c r="T18" s="54" t="s">
        <v>166</v>
      </c>
      <c r="U18" s="54">
        <v>2</v>
      </c>
      <c r="V18" s="197" t="s">
        <v>168</v>
      </c>
      <c r="W18" s="54">
        <v>2</v>
      </c>
      <c r="X18" s="55" t="s">
        <v>211</v>
      </c>
      <c r="Y18" s="56">
        <f t="shared" si="11"/>
        <v>8</v>
      </c>
      <c r="Z18" s="49"/>
    </row>
    <row r="19" spans="1:26">
      <c r="A19" s="52" t="str">
        <f t="shared" si="10"/>
        <v>材1-1-DA-03</v>
      </c>
      <c r="B19" s="52">
        <f t="shared" si="0"/>
        <v>0</v>
      </c>
      <c r="C19" s="52" t="str">
        <f t="shared" si="1"/>
        <v>系統開發文件</v>
      </c>
      <c r="D19" s="52" t="str">
        <f t="shared" si="2"/>
        <v>系統開發文件</v>
      </c>
      <c r="E19" s="52">
        <f t="shared" si="3"/>
        <v>1</v>
      </c>
      <c r="F19" s="52" t="str">
        <f t="shared" si="4"/>
        <v>賴斐瓔 </v>
      </c>
      <c r="G19" s="52">
        <f t="shared" si="5"/>
        <v>2</v>
      </c>
      <c r="H19" s="52">
        <f t="shared" si="6"/>
        <v>2</v>
      </c>
      <c r="I19" s="52">
        <f t="shared" si="7"/>
        <v>2</v>
      </c>
      <c r="J19" s="52" t="str">
        <f t="shared" si="8"/>
        <v>NA</v>
      </c>
      <c r="K19" s="53">
        <f t="shared" si="9"/>
        <v>2</v>
      </c>
      <c r="L19" s="53">
        <f t="shared" si="12"/>
        <v>8</v>
      </c>
      <c r="M19" s="140" t="s">
        <v>124</v>
      </c>
      <c r="N19" s="141" t="s">
        <v>124</v>
      </c>
      <c r="O19" s="142" t="s">
        <v>124</v>
      </c>
      <c r="P19" s="135" t="s">
        <v>126</v>
      </c>
      <c r="Q19" s="136"/>
      <c r="R19" s="136"/>
      <c r="S19" s="136"/>
      <c r="T19" s="54" t="s">
        <v>212</v>
      </c>
      <c r="U19" s="54"/>
      <c r="V19" s="49"/>
      <c r="W19" s="54"/>
      <c r="X19" s="55"/>
      <c r="Y19" s="56" t="str">
        <f t="shared" si="11"/>
        <v>不適用</v>
      </c>
      <c r="Z19" s="49"/>
    </row>
    <row r="20" spans="1:26">
      <c r="A20" s="52" t="str">
        <f t="shared" si="10"/>
        <v>材1-1-DA-03</v>
      </c>
      <c r="B20" s="52">
        <f t="shared" si="0"/>
        <v>0</v>
      </c>
      <c r="C20" s="52" t="str">
        <f t="shared" si="1"/>
        <v>系統開發文件</v>
      </c>
      <c r="D20" s="52" t="str">
        <f t="shared" si="2"/>
        <v>系統開發文件</v>
      </c>
      <c r="E20" s="52">
        <f t="shared" si="3"/>
        <v>1</v>
      </c>
      <c r="F20" s="52" t="str">
        <f t="shared" si="4"/>
        <v>賴斐瓔 </v>
      </c>
      <c r="G20" s="52">
        <f t="shared" si="5"/>
        <v>2</v>
      </c>
      <c r="H20" s="52">
        <f t="shared" si="6"/>
        <v>2</v>
      </c>
      <c r="I20" s="52">
        <f t="shared" si="7"/>
        <v>2</v>
      </c>
      <c r="J20" s="52" t="str">
        <f t="shared" si="8"/>
        <v>NA</v>
      </c>
      <c r="K20" s="53">
        <f t="shared" si="9"/>
        <v>2</v>
      </c>
      <c r="L20" s="53">
        <f t="shared" si="12"/>
        <v>8</v>
      </c>
      <c r="M20" s="156" t="s">
        <v>92</v>
      </c>
      <c r="N20" s="157" t="s">
        <v>127</v>
      </c>
      <c r="O20" s="158" t="s">
        <v>127</v>
      </c>
      <c r="P20" s="130" t="s">
        <v>128</v>
      </c>
      <c r="Q20" s="131"/>
      <c r="R20" s="131"/>
      <c r="S20" s="131"/>
      <c r="T20" s="54" t="s">
        <v>166</v>
      </c>
      <c r="U20" s="54">
        <v>2</v>
      </c>
      <c r="V20" s="55" t="s">
        <v>169</v>
      </c>
      <c r="W20" s="54">
        <v>2</v>
      </c>
      <c r="X20" s="55" t="s">
        <v>211</v>
      </c>
      <c r="Y20" s="56">
        <f t="shared" si="11"/>
        <v>8</v>
      </c>
      <c r="Z20" s="49"/>
    </row>
    <row r="21" spans="1:26" ht="31">
      <c r="A21" s="52" t="str">
        <f t="shared" si="10"/>
        <v>材1-1-DA-03</v>
      </c>
      <c r="B21" s="52">
        <f t="shared" si="0"/>
        <v>0</v>
      </c>
      <c r="C21" s="52" t="str">
        <f t="shared" si="1"/>
        <v>系統開發文件</v>
      </c>
      <c r="D21" s="52" t="str">
        <f t="shared" si="2"/>
        <v>系統開發文件</v>
      </c>
      <c r="E21" s="52">
        <f t="shared" si="3"/>
        <v>1</v>
      </c>
      <c r="F21" s="52" t="str">
        <f t="shared" si="4"/>
        <v>賴斐瓔 </v>
      </c>
      <c r="G21" s="52">
        <f t="shared" si="5"/>
        <v>2</v>
      </c>
      <c r="H21" s="52">
        <f t="shared" si="6"/>
        <v>2</v>
      </c>
      <c r="I21" s="52">
        <f t="shared" si="7"/>
        <v>2</v>
      </c>
      <c r="J21" s="52" t="str">
        <f t="shared" si="8"/>
        <v>NA</v>
      </c>
      <c r="K21" s="53">
        <f t="shared" si="9"/>
        <v>2</v>
      </c>
      <c r="L21" s="53">
        <f t="shared" si="12"/>
        <v>8</v>
      </c>
      <c r="M21" s="159" t="s">
        <v>151</v>
      </c>
      <c r="N21" s="160" t="s">
        <v>129</v>
      </c>
      <c r="O21" s="161" t="s">
        <v>129</v>
      </c>
      <c r="P21" s="130" t="s">
        <v>130</v>
      </c>
      <c r="Q21" s="131"/>
      <c r="R21" s="131"/>
      <c r="S21" s="131"/>
      <c r="T21" s="54" t="s">
        <v>161</v>
      </c>
      <c r="U21" s="54">
        <v>2</v>
      </c>
      <c r="V21" s="196" t="s">
        <v>223</v>
      </c>
      <c r="W21" s="54">
        <v>1</v>
      </c>
      <c r="X21" s="55" t="s">
        <v>211</v>
      </c>
      <c r="Y21" s="56">
        <f t="shared" si="11"/>
        <v>4</v>
      </c>
      <c r="Z21" s="49"/>
    </row>
    <row r="22" spans="1:26">
      <c r="A22" s="52" t="str">
        <f t="shared" si="10"/>
        <v>材1-1-DA-03</v>
      </c>
      <c r="B22" s="52">
        <f t="shared" si="0"/>
        <v>0</v>
      </c>
      <c r="C22" s="52" t="str">
        <f t="shared" si="1"/>
        <v>系統開發文件</v>
      </c>
      <c r="D22" s="52" t="str">
        <f t="shared" si="2"/>
        <v>系統開發文件</v>
      </c>
      <c r="E22" s="52">
        <f t="shared" si="3"/>
        <v>1</v>
      </c>
      <c r="F22" s="52" t="str">
        <f t="shared" si="4"/>
        <v>賴斐瓔 </v>
      </c>
      <c r="G22" s="52">
        <f t="shared" si="5"/>
        <v>2</v>
      </c>
      <c r="H22" s="52">
        <f t="shared" si="6"/>
        <v>2</v>
      </c>
      <c r="I22" s="52">
        <f t="shared" si="7"/>
        <v>2</v>
      </c>
      <c r="J22" s="52" t="str">
        <f t="shared" si="8"/>
        <v>NA</v>
      </c>
      <c r="K22" s="53">
        <f t="shared" si="9"/>
        <v>2</v>
      </c>
      <c r="L22" s="53">
        <f t="shared" si="12"/>
        <v>8</v>
      </c>
      <c r="M22" s="162" t="s">
        <v>152</v>
      </c>
      <c r="N22" s="163"/>
      <c r="O22" s="164"/>
      <c r="P22" s="154" t="s">
        <v>131</v>
      </c>
      <c r="Q22" s="155"/>
      <c r="R22" s="155"/>
      <c r="S22" s="155"/>
      <c r="T22" s="54" t="s">
        <v>214</v>
      </c>
      <c r="U22" s="54">
        <v>2</v>
      </c>
      <c r="V22" s="198" t="s">
        <v>231</v>
      </c>
      <c r="W22" s="54">
        <v>1</v>
      </c>
      <c r="X22" s="55" t="s">
        <v>211</v>
      </c>
      <c r="Y22" s="56">
        <f t="shared" si="11"/>
        <v>4</v>
      </c>
      <c r="Z22" s="21"/>
    </row>
    <row r="23" spans="1:26" ht="46.5">
      <c r="A23" s="52" t="str">
        <f t="shared" si="10"/>
        <v>材1-1-DA-03</v>
      </c>
      <c r="B23" s="52">
        <f t="shared" si="0"/>
        <v>0</v>
      </c>
      <c r="C23" s="52" t="str">
        <f t="shared" si="1"/>
        <v>系統開發文件</v>
      </c>
      <c r="D23" s="52" t="str">
        <f t="shared" si="2"/>
        <v>系統開發文件</v>
      </c>
      <c r="E23" s="52">
        <f t="shared" si="3"/>
        <v>1</v>
      </c>
      <c r="F23" s="52" t="str">
        <f t="shared" si="4"/>
        <v>賴斐瓔 </v>
      </c>
      <c r="G23" s="52">
        <f t="shared" si="5"/>
        <v>2</v>
      </c>
      <c r="H23" s="52">
        <f t="shared" si="6"/>
        <v>2</v>
      </c>
      <c r="I23" s="52">
        <f t="shared" si="7"/>
        <v>2</v>
      </c>
      <c r="J23" s="52" t="str">
        <f t="shared" si="8"/>
        <v>NA</v>
      </c>
      <c r="K23" s="53">
        <f t="shared" si="9"/>
        <v>2</v>
      </c>
      <c r="L23" s="53">
        <f t="shared" si="12"/>
        <v>8</v>
      </c>
      <c r="M23" s="162" t="s">
        <v>153</v>
      </c>
      <c r="N23" s="163"/>
      <c r="O23" s="164"/>
      <c r="P23" s="130" t="s">
        <v>132</v>
      </c>
      <c r="Q23" s="131"/>
      <c r="R23" s="131"/>
      <c r="S23" s="131"/>
      <c r="T23" s="54" t="s">
        <v>161</v>
      </c>
      <c r="U23" s="54">
        <v>2</v>
      </c>
      <c r="V23" s="21" t="s">
        <v>170</v>
      </c>
      <c r="W23" s="54">
        <v>1</v>
      </c>
      <c r="X23" s="55" t="s">
        <v>211</v>
      </c>
      <c r="Y23" s="56">
        <f t="shared" si="11"/>
        <v>4</v>
      </c>
      <c r="Z23" s="21"/>
    </row>
    <row r="24" spans="1:26">
      <c r="A24" s="52" t="str">
        <f t="shared" si="10"/>
        <v>材1-1-DA-03</v>
      </c>
      <c r="B24" s="52">
        <f t="shared" si="0"/>
        <v>0</v>
      </c>
      <c r="C24" s="52" t="str">
        <f t="shared" si="1"/>
        <v>系統開發文件</v>
      </c>
      <c r="D24" s="52" t="str">
        <f t="shared" si="2"/>
        <v>系統開發文件</v>
      </c>
      <c r="E24" s="52">
        <f t="shared" si="3"/>
        <v>1</v>
      </c>
      <c r="F24" s="52" t="str">
        <f t="shared" si="4"/>
        <v>賴斐瓔 </v>
      </c>
      <c r="G24" s="52">
        <f t="shared" si="5"/>
        <v>2</v>
      </c>
      <c r="H24" s="52">
        <f t="shared" si="6"/>
        <v>2</v>
      </c>
      <c r="I24" s="52">
        <f t="shared" si="7"/>
        <v>2</v>
      </c>
      <c r="J24" s="52" t="str">
        <f t="shared" si="8"/>
        <v>NA</v>
      </c>
      <c r="K24" s="53">
        <f t="shared" si="9"/>
        <v>2</v>
      </c>
      <c r="L24" s="53">
        <f t="shared" si="12"/>
        <v>8</v>
      </c>
      <c r="M24" s="162" t="s">
        <v>154</v>
      </c>
      <c r="N24" s="163"/>
      <c r="O24" s="164"/>
      <c r="P24" s="130" t="s">
        <v>133</v>
      </c>
      <c r="Q24" s="131"/>
      <c r="R24" s="131"/>
      <c r="S24" s="131"/>
      <c r="T24" s="54" t="s">
        <v>215</v>
      </c>
      <c r="U24" s="54"/>
      <c r="V24" s="21"/>
      <c r="W24" s="54"/>
      <c r="X24" s="57"/>
      <c r="Y24" s="56" t="str">
        <f t="shared" si="11"/>
        <v>不適用</v>
      </c>
      <c r="Z24" s="21"/>
    </row>
    <row r="25" spans="1:26">
      <c r="A25" s="52" t="str">
        <f t="shared" si="10"/>
        <v>材1-1-DA-03</v>
      </c>
      <c r="B25" s="52">
        <f t="shared" si="0"/>
        <v>0</v>
      </c>
      <c r="C25" s="52" t="str">
        <f t="shared" si="1"/>
        <v>系統開發文件</v>
      </c>
      <c r="D25" s="52" t="str">
        <f t="shared" si="2"/>
        <v>系統開發文件</v>
      </c>
      <c r="E25" s="52">
        <f t="shared" si="3"/>
        <v>1</v>
      </c>
      <c r="F25" s="52" t="str">
        <f t="shared" si="4"/>
        <v>賴斐瓔 </v>
      </c>
      <c r="G25" s="52">
        <f t="shared" si="5"/>
        <v>2</v>
      </c>
      <c r="H25" s="52">
        <f t="shared" si="6"/>
        <v>2</v>
      </c>
      <c r="I25" s="52">
        <f t="shared" si="7"/>
        <v>2</v>
      </c>
      <c r="J25" s="52" t="str">
        <f t="shared" si="8"/>
        <v>NA</v>
      </c>
      <c r="K25" s="53">
        <f t="shared" si="9"/>
        <v>2</v>
      </c>
      <c r="L25" s="53">
        <f t="shared" si="12"/>
        <v>8</v>
      </c>
      <c r="M25" s="162" t="s">
        <v>155</v>
      </c>
      <c r="N25" s="163"/>
      <c r="O25" s="164"/>
      <c r="P25" s="130" t="s">
        <v>134</v>
      </c>
      <c r="Q25" s="131"/>
      <c r="R25" s="131"/>
      <c r="S25" s="131"/>
      <c r="T25" s="54" t="s">
        <v>161</v>
      </c>
      <c r="U25" s="54">
        <v>2</v>
      </c>
      <c r="V25" s="21" t="s">
        <v>171</v>
      </c>
      <c r="W25" s="54">
        <v>2</v>
      </c>
      <c r="X25" s="55" t="s">
        <v>211</v>
      </c>
      <c r="Y25" s="56">
        <f t="shared" si="11"/>
        <v>8</v>
      </c>
      <c r="Z25" s="21"/>
    </row>
    <row r="26" spans="1:26" ht="31">
      <c r="A26" s="52" t="str">
        <f t="shared" si="10"/>
        <v>材1-1-DA-03</v>
      </c>
      <c r="B26" s="52">
        <f t="shared" si="0"/>
        <v>0</v>
      </c>
      <c r="C26" s="52" t="str">
        <f t="shared" si="1"/>
        <v>系統開發文件</v>
      </c>
      <c r="D26" s="52" t="str">
        <f t="shared" si="2"/>
        <v>系統開發文件</v>
      </c>
      <c r="E26" s="52">
        <f t="shared" si="3"/>
        <v>1</v>
      </c>
      <c r="F26" s="52" t="str">
        <f t="shared" si="4"/>
        <v>賴斐瓔 </v>
      </c>
      <c r="G26" s="52">
        <f t="shared" si="5"/>
        <v>2</v>
      </c>
      <c r="H26" s="52">
        <f t="shared" si="6"/>
        <v>2</v>
      </c>
      <c r="I26" s="52">
        <f t="shared" si="7"/>
        <v>2</v>
      </c>
      <c r="J26" s="52" t="str">
        <f t="shared" si="8"/>
        <v>NA</v>
      </c>
      <c r="K26" s="53">
        <f t="shared" si="9"/>
        <v>2</v>
      </c>
      <c r="L26" s="53">
        <f t="shared" si="12"/>
        <v>8</v>
      </c>
      <c r="M26" s="165" t="s">
        <v>135</v>
      </c>
      <c r="N26" s="166"/>
      <c r="O26" s="167"/>
      <c r="P26" s="168" t="s">
        <v>136</v>
      </c>
      <c r="Q26" s="169"/>
      <c r="R26" s="169"/>
      <c r="S26" s="169"/>
      <c r="T26" s="54" t="s">
        <v>161</v>
      </c>
      <c r="U26" s="54">
        <v>2</v>
      </c>
      <c r="V26" s="21" t="s">
        <v>172</v>
      </c>
      <c r="W26" s="54">
        <v>2</v>
      </c>
      <c r="X26" s="55" t="s">
        <v>211</v>
      </c>
      <c r="Y26" s="56">
        <f t="shared" si="11"/>
        <v>8</v>
      </c>
      <c r="Z26" s="21"/>
    </row>
    <row r="27" spans="1:26">
      <c r="A27" s="52" t="str">
        <f t="shared" si="10"/>
        <v>材1-1-DA-03</v>
      </c>
      <c r="B27" s="52">
        <f t="shared" si="0"/>
        <v>0</v>
      </c>
      <c r="C27" s="52" t="str">
        <f t="shared" si="1"/>
        <v>系統開發文件</v>
      </c>
      <c r="D27" s="52" t="str">
        <f t="shared" si="2"/>
        <v>系統開發文件</v>
      </c>
      <c r="E27" s="52">
        <f t="shared" si="3"/>
        <v>1</v>
      </c>
      <c r="F27" s="52" t="str">
        <f t="shared" si="4"/>
        <v>賴斐瓔 </v>
      </c>
      <c r="G27" s="52">
        <f t="shared" si="5"/>
        <v>2</v>
      </c>
      <c r="H27" s="52">
        <f t="shared" si="6"/>
        <v>2</v>
      </c>
      <c r="I27" s="52">
        <f t="shared" si="7"/>
        <v>2</v>
      </c>
      <c r="J27" s="52" t="str">
        <f t="shared" si="8"/>
        <v>NA</v>
      </c>
      <c r="K27" s="53">
        <f t="shared" si="9"/>
        <v>2</v>
      </c>
      <c r="L27" s="53">
        <f t="shared" si="12"/>
        <v>8</v>
      </c>
      <c r="M27" s="170" t="s">
        <v>138</v>
      </c>
      <c r="N27" s="171"/>
      <c r="O27" s="172"/>
      <c r="P27" s="150" t="s">
        <v>137</v>
      </c>
      <c r="Q27" s="173"/>
      <c r="R27" s="173"/>
      <c r="S27" s="173"/>
      <c r="T27" s="64" t="s">
        <v>160</v>
      </c>
      <c r="U27" s="64"/>
      <c r="V27" s="58"/>
      <c r="W27" s="64"/>
      <c r="X27" s="65"/>
      <c r="Y27" s="59" t="str">
        <f t="shared" si="11"/>
        <v>不適用</v>
      </c>
      <c r="Z27" s="58"/>
    </row>
    <row r="28" spans="1:26">
      <c r="A28" s="52" t="str">
        <f t="shared" si="10"/>
        <v>材1-1-DA-03</v>
      </c>
      <c r="B28" s="52">
        <f t="shared" si="0"/>
        <v>0</v>
      </c>
      <c r="C28" s="52" t="str">
        <f t="shared" si="1"/>
        <v>系統開發文件</v>
      </c>
      <c r="D28" s="52" t="str">
        <f t="shared" si="2"/>
        <v>系統開發文件</v>
      </c>
      <c r="E28" s="52">
        <f t="shared" si="3"/>
        <v>1</v>
      </c>
      <c r="F28" s="52" t="str">
        <f t="shared" si="4"/>
        <v>賴斐瓔 </v>
      </c>
      <c r="G28" s="52">
        <f t="shared" si="5"/>
        <v>2</v>
      </c>
      <c r="H28" s="52">
        <f t="shared" si="6"/>
        <v>2</v>
      </c>
      <c r="I28" s="52">
        <f t="shared" si="7"/>
        <v>2</v>
      </c>
      <c r="J28" s="52" t="str">
        <f t="shared" si="8"/>
        <v>NA</v>
      </c>
      <c r="K28" s="53">
        <f t="shared" si="9"/>
        <v>2</v>
      </c>
      <c r="L28" s="53">
        <f t="shared" si="12"/>
        <v>8</v>
      </c>
      <c r="M28" s="165" t="s">
        <v>138</v>
      </c>
      <c r="N28" s="166"/>
      <c r="O28" s="167"/>
      <c r="P28" s="130" t="s">
        <v>139</v>
      </c>
      <c r="Q28" s="131"/>
      <c r="R28" s="131"/>
      <c r="S28" s="131"/>
      <c r="T28" s="54" t="s">
        <v>160</v>
      </c>
      <c r="U28" s="54"/>
      <c r="V28" s="21"/>
      <c r="W28" s="54"/>
      <c r="X28" s="57"/>
      <c r="Y28" s="56" t="str">
        <f t="shared" si="11"/>
        <v>不適用</v>
      </c>
      <c r="Z28" s="21"/>
    </row>
    <row r="29" spans="1:26" ht="40.5" customHeight="1">
      <c r="A29" s="52"/>
      <c r="B29" s="52"/>
      <c r="C29" s="52"/>
      <c r="D29" s="52"/>
      <c r="E29" s="52"/>
      <c r="F29" s="52"/>
      <c r="G29" s="52"/>
      <c r="H29" s="52"/>
      <c r="I29" s="52"/>
      <c r="J29" s="52"/>
      <c r="K29" s="53"/>
      <c r="L29" s="53"/>
      <c r="M29" s="174" t="s">
        <v>141</v>
      </c>
      <c r="N29" s="175"/>
      <c r="O29" s="176"/>
      <c r="P29" s="130" t="s">
        <v>140</v>
      </c>
      <c r="Q29" s="131"/>
      <c r="R29" s="131"/>
      <c r="S29" s="131"/>
      <c r="T29" s="54" t="s">
        <v>160</v>
      </c>
      <c r="U29" s="64"/>
      <c r="V29" s="58"/>
      <c r="W29" s="64"/>
      <c r="X29" s="65"/>
      <c r="Y29" s="56" t="str">
        <f t="shared" si="11"/>
        <v>不適用</v>
      </c>
      <c r="Z29" s="58"/>
    </row>
    <row r="30" spans="1:26">
      <c r="A30" s="52"/>
      <c r="B30" s="52"/>
      <c r="C30" s="52"/>
      <c r="D30" s="52"/>
      <c r="E30" s="52"/>
      <c r="F30" s="52"/>
      <c r="G30" s="52"/>
      <c r="H30" s="52"/>
      <c r="I30" s="52"/>
      <c r="J30" s="52"/>
      <c r="K30" s="53"/>
      <c r="L30" s="53"/>
      <c r="M30" s="177" t="s">
        <v>141</v>
      </c>
      <c r="N30" s="178"/>
      <c r="O30" s="179"/>
      <c r="P30" s="130" t="s">
        <v>142</v>
      </c>
      <c r="Q30" s="131"/>
      <c r="R30" s="131"/>
      <c r="S30" s="131"/>
      <c r="T30" s="54" t="s">
        <v>160</v>
      </c>
      <c r="U30" s="64"/>
      <c r="V30" s="58"/>
      <c r="W30" s="64"/>
      <c r="X30" s="65"/>
      <c r="Y30" s="56" t="str">
        <f t="shared" si="11"/>
        <v>不適用</v>
      </c>
      <c r="Z30" s="58"/>
    </row>
    <row r="31" spans="1:26" ht="37.75" customHeight="1">
      <c r="A31" s="52"/>
      <c r="B31" s="52"/>
      <c r="C31" s="52"/>
      <c r="D31" s="52"/>
      <c r="E31" s="52"/>
      <c r="F31" s="52"/>
      <c r="G31" s="52"/>
      <c r="H31" s="52"/>
      <c r="I31" s="52"/>
      <c r="J31" s="52"/>
      <c r="K31" s="53"/>
      <c r="L31" s="53"/>
      <c r="M31" s="185" t="s">
        <v>144</v>
      </c>
      <c r="N31" s="186"/>
      <c r="O31" s="187"/>
      <c r="P31" s="130" t="s">
        <v>143</v>
      </c>
      <c r="Q31" s="131"/>
      <c r="R31" s="131"/>
      <c r="S31" s="131"/>
      <c r="T31" s="54" t="s">
        <v>160</v>
      </c>
      <c r="U31" s="64"/>
      <c r="V31" s="58"/>
      <c r="W31" s="64"/>
      <c r="X31" s="65"/>
      <c r="Y31" s="56" t="str">
        <f t="shared" si="11"/>
        <v>不適用</v>
      </c>
      <c r="Z31" s="58"/>
    </row>
    <row r="32" spans="1:26">
      <c r="A32" s="52"/>
      <c r="B32" s="52"/>
      <c r="C32" s="52"/>
      <c r="D32" s="52"/>
      <c r="E32" s="52"/>
      <c r="F32" s="52"/>
      <c r="G32" s="52"/>
      <c r="H32" s="52"/>
      <c r="I32" s="52"/>
      <c r="J32" s="52"/>
      <c r="K32" s="53"/>
      <c r="L32" s="53"/>
      <c r="M32" s="188" t="s">
        <v>144</v>
      </c>
      <c r="N32" s="189"/>
      <c r="O32" s="190"/>
      <c r="P32" s="130" t="s">
        <v>145</v>
      </c>
      <c r="Q32" s="131"/>
      <c r="R32" s="131"/>
      <c r="S32" s="131"/>
      <c r="T32" s="54" t="s">
        <v>160</v>
      </c>
      <c r="U32" s="64"/>
      <c r="V32" s="58"/>
      <c r="W32" s="64"/>
      <c r="X32" s="65"/>
      <c r="Y32" s="56" t="str">
        <f t="shared" si="11"/>
        <v>不適用</v>
      </c>
      <c r="Z32" s="58"/>
    </row>
    <row r="33" spans="1:26">
      <c r="A33" s="52"/>
      <c r="B33" s="52"/>
      <c r="C33" s="52"/>
      <c r="D33" s="52"/>
      <c r="E33" s="52"/>
      <c r="F33" s="52"/>
      <c r="G33" s="52"/>
      <c r="H33" s="52"/>
      <c r="I33" s="52"/>
      <c r="J33" s="52"/>
      <c r="K33" s="53"/>
      <c r="L33" s="53"/>
      <c r="M33" s="191" t="s">
        <v>156</v>
      </c>
      <c r="N33" s="192"/>
      <c r="O33" s="193"/>
      <c r="P33" s="130" t="s">
        <v>146</v>
      </c>
      <c r="Q33" s="131"/>
      <c r="R33" s="131"/>
      <c r="S33" s="131"/>
      <c r="T33" s="54" t="s">
        <v>160</v>
      </c>
      <c r="U33" s="64"/>
      <c r="V33" s="58"/>
      <c r="W33" s="64"/>
      <c r="X33" s="65"/>
      <c r="Y33" s="56" t="str">
        <f t="shared" si="11"/>
        <v>不適用</v>
      </c>
      <c r="Z33" s="58"/>
    </row>
    <row r="34" spans="1:26">
      <c r="A34" s="52" t="str">
        <f t="shared" si="10"/>
        <v>材1-1-DA-03</v>
      </c>
      <c r="B34" s="52">
        <f t="shared" si="0"/>
        <v>0</v>
      </c>
      <c r="C34" s="52" t="str">
        <f t="shared" si="1"/>
        <v>系統開發文件</v>
      </c>
      <c r="D34" s="52" t="str">
        <f t="shared" si="2"/>
        <v>系統開發文件</v>
      </c>
      <c r="E34" s="52">
        <f t="shared" si="3"/>
        <v>1</v>
      </c>
      <c r="F34" s="52" t="str">
        <f t="shared" si="4"/>
        <v>賴斐瓔 </v>
      </c>
      <c r="G34" s="52">
        <f t="shared" si="5"/>
        <v>2</v>
      </c>
      <c r="H34" s="52">
        <f t="shared" si="6"/>
        <v>2</v>
      </c>
      <c r="I34" s="52">
        <f t="shared" si="7"/>
        <v>2</v>
      </c>
      <c r="J34" s="52" t="str">
        <f t="shared" si="8"/>
        <v>NA</v>
      </c>
      <c r="K34" s="53">
        <f t="shared" si="9"/>
        <v>2</v>
      </c>
      <c r="L34" s="53">
        <f>$S$7</f>
        <v>8</v>
      </c>
      <c r="M34" s="180" t="s">
        <v>147</v>
      </c>
      <c r="N34" s="181"/>
      <c r="O34" s="182"/>
      <c r="P34" s="183" t="s">
        <v>148</v>
      </c>
      <c r="Q34" s="184"/>
      <c r="R34" s="184"/>
      <c r="S34" s="168"/>
      <c r="T34" s="54" t="s">
        <v>160</v>
      </c>
      <c r="U34" s="54"/>
      <c r="V34" s="54"/>
      <c r="W34" s="54"/>
      <c r="X34" s="55"/>
      <c r="Y34" s="60" t="str">
        <f t="shared" si="11"/>
        <v>不適用</v>
      </c>
      <c r="Z34" s="54"/>
    </row>
    <row r="39" spans="1:26">
      <c r="M39" s="7"/>
    </row>
  </sheetData>
  <sheetProtection formatCells="0" formatColumns="0" formatRows="0" insertColumns="0" insertRows="0" insertHyperlinks="0" deleteColumns="0" deleteRows="0" sort="0" autoFilter="0" pivotTables="0"/>
  <autoFilter ref="M10:Z10" xr:uid="{00000000-0009-0000-0000-000005000000}">
    <filterColumn colId="0" showButton="0"/>
    <filterColumn colId="1" showButton="0"/>
    <filterColumn colId="3" showButton="0"/>
    <filterColumn colId="4" showButton="0"/>
    <filterColumn colId="5" showButton="0"/>
  </autoFilter>
  <mergeCells count="57">
    <mergeCell ref="M34:O34"/>
    <mergeCell ref="P34:S34"/>
    <mergeCell ref="M31:O31"/>
    <mergeCell ref="P31:S31"/>
    <mergeCell ref="M32:O32"/>
    <mergeCell ref="P32:S32"/>
    <mergeCell ref="M33:O33"/>
    <mergeCell ref="P33:S33"/>
    <mergeCell ref="M28:O28"/>
    <mergeCell ref="P28:S28"/>
    <mergeCell ref="M29:O29"/>
    <mergeCell ref="P29:S29"/>
    <mergeCell ref="M30:O30"/>
    <mergeCell ref="P30:S30"/>
    <mergeCell ref="M25:O25"/>
    <mergeCell ref="P25:S25"/>
    <mergeCell ref="M26:O26"/>
    <mergeCell ref="P26:S26"/>
    <mergeCell ref="M27:O27"/>
    <mergeCell ref="P27:S27"/>
    <mergeCell ref="M22:O22"/>
    <mergeCell ref="P22:S22"/>
    <mergeCell ref="M23:O23"/>
    <mergeCell ref="P23:S23"/>
    <mergeCell ref="M24:O24"/>
    <mergeCell ref="P24:S24"/>
    <mergeCell ref="M19:O19"/>
    <mergeCell ref="P19:S19"/>
    <mergeCell ref="M20:O20"/>
    <mergeCell ref="P20:S20"/>
    <mergeCell ref="M21:O21"/>
    <mergeCell ref="P21:S21"/>
    <mergeCell ref="M16:O16"/>
    <mergeCell ref="P16:S16"/>
    <mergeCell ref="M17:O17"/>
    <mergeCell ref="P17:S17"/>
    <mergeCell ref="M18:O18"/>
    <mergeCell ref="P18:S18"/>
    <mergeCell ref="M13:O13"/>
    <mergeCell ref="P13:S13"/>
    <mergeCell ref="M14:O14"/>
    <mergeCell ref="P14:S14"/>
    <mergeCell ref="M15:O15"/>
    <mergeCell ref="P15:S15"/>
    <mergeCell ref="M12:O12"/>
    <mergeCell ref="P12:S12"/>
    <mergeCell ref="M1:Z1"/>
    <mergeCell ref="N2:P2"/>
    <mergeCell ref="N3:P3"/>
    <mergeCell ref="N4:P4"/>
    <mergeCell ref="N5:P5"/>
    <mergeCell ref="N6:P6"/>
    <mergeCell ref="N7:P7"/>
    <mergeCell ref="M10:O10"/>
    <mergeCell ref="P10:S10"/>
    <mergeCell ref="M11:O11"/>
    <mergeCell ref="P11:S11"/>
  </mergeCells>
  <phoneticPr fontId="1" type="noConversion"/>
  <dataValidations count="2">
    <dataValidation type="list" allowBlank="1" showInputMessage="1" showErrorMessage="1" sqref="T65546:T65569 JI65546:JI65569 TE65546:TE65569 ADA65546:ADA65569 AMW65546:AMW65569 AWS65546:AWS65569 BGO65546:BGO65569 BQK65546:BQK65569 CAG65546:CAG65569 CKC65546:CKC65569 CTY65546:CTY65569 DDU65546:DDU65569 DNQ65546:DNQ65569 DXM65546:DXM65569 EHI65546:EHI65569 ERE65546:ERE65569 FBA65546:FBA65569 FKW65546:FKW65569 FUS65546:FUS65569 GEO65546:GEO65569 GOK65546:GOK65569 GYG65546:GYG65569 HIC65546:HIC65569 HRY65546:HRY65569 IBU65546:IBU65569 ILQ65546:ILQ65569 IVM65546:IVM65569 JFI65546:JFI65569 JPE65546:JPE65569 JZA65546:JZA65569 KIW65546:KIW65569 KSS65546:KSS65569 LCO65546:LCO65569 LMK65546:LMK65569 LWG65546:LWG65569 MGC65546:MGC65569 MPY65546:MPY65569 MZU65546:MZU65569 NJQ65546:NJQ65569 NTM65546:NTM65569 ODI65546:ODI65569 ONE65546:ONE65569 OXA65546:OXA65569 PGW65546:PGW65569 PQS65546:PQS65569 QAO65546:QAO65569 QKK65546:QKK65569 QUG65546:QUG65569 REC65546:REC65569 RNY65546:RNY65569 RXU65546:RXU65569 SHQ65546:SHQ65569 SRM65546:SRM65569 TBI65546:TBI65569 TLE65546:TLE65569 TVA65546:TVA65569 UEW65546:UEW65569 UOS65546:UOS65569 UYO65546:UYO65569 VIK65546:VIK65569 VSG65546:VSG65569 WCC65546:WCC65569 WLY65546:WLY65569 WVU65546:WVU65569 T131082:T131105 JI131082:JI131105 TE131082:TE131105 ADA131082:ADA131105 AMW131082:AMW131105 AWS131082:AWS131105 BGO131082:BGO131105 BQK131082:BQK131105 CAG131082:CAG131105 CKC131082:CKC131105 CTY131082:CTY131105 DDU131082:DDU131105 DNQ131082:DNQ131105 DXM131082:DXM131105 EHI131082:EHI131105 ERE131082:ERE131105 FBA131082:FBA131105 FKW131082:FKW131105 FUS131082:FUS131105 GEO131082:GEO131105 GOK131082:GOK131105 GYG131082:GYG131105 HIC131082:HIC131105 HRY131082:HRY131105 IBU131082:IBU131105 ILQ131082:ILQ131105 IVM131082:IVM131105 JFI131082:JFI131105 JPE131082:JPE131105 JZA131082:JZA131105 KIW131082:KIW131105 KSS131082:KSS131105 LCO131082:LCO131105 LMK131082:LMK131105 LWG131082:LWG131105 MGC131082:MGC131105 MPY131082:MPY131105 MZU131082:MZU131105 NJQ131082:NJQ131105 NTM131082:NTM131105 ODI131082:ODI131105 ONE131082:ONE131105 OXA131082:OXA131105 PGW131082:PGW131105 PQS131082:PQS131105 QAO131082:QAO131105 QKK131082:QKK131105 QUG131082:QUG131105 REC131082:REC131105 RNY131082:RNY131105 RXU131082:RXU131105 SHQ131082:SHQ131105 SRM131082:SRM131105 TBI131082:TBI131105 TLE131082:TLE131105 TVA131082:TVA131105 UEW131082:UEW131105 UOS131082:UOS131105 UYO131082:UYO131105 VIK131082:VIK131105 VSG131082:VSG131105 WCC131082:WCC131105 WLY131082:WLY131105 WVU131082:WVU131105 T196618:T196641 JI196618:JI196641 TE196618:TE196641 ADA196618:ADA196641 AMW196618:AMW196641 AWS196618:AWS196641 BGO196618:BGO196641 BQK196618:BQK196641 CAG196618:CAG196641 CKC196618:CKC196641 CTY196618:CTY196641 DDU196618:DDU196641 DNQ196618:DNQ196641 DXM196618:DXM196641 EHI196618:EHI196641 ERE196618:ERE196641 FBA196618:FBA196641 FKW196618:FKW196641 FUS196618:FUS196641 GEO196618:GEO196641 GOK196618:GOK196641 GYG196618:GYG196641 HIC196618:HIC196641 HRY196618:HRY196641 IBU196618:IBU196641 ILQ196618:ILQ196641 IVM196618:IVM196641 JFI196618:JFI196641 JPE196618:JPE196641 JZA196618:JZA196641 KIW196618:KIW196641 KSS196618:KSS196641 LCO196618:LCO196641 LMK196618:LMK196641 LWG196618:LWG196641 MGC196618:MGC196641 MPY196618:MPY196641 MZU196618:MZU196641 NJQ196618:NJQ196641 NTM196618:NTM196641 ODI196618:ODI196641 ONE196618:ONE196641 OXA196618:OXA196641 PGW196618:PGW196641 PQS196618:PQS196641 QAO196618:QAO196641 QKK196618:QKK196641 QUG196618:QUG196641 REC196618:REC196641 RNY196618:RNY196641 RXU196618:RXU196641 SHQ196618:SHQ196641 SRM196618:SRM196641 TBI196618:TBI196641 TLE196618:TLE196641 TVA196618:TVA196641 UEW196618:UEW196641 UOS196618:UOS196641 UYO196618:UYO196641 VIK196618:VIK196641 VSG196618:VSG196641 WCC196618:WCC196641 WLY196618:WLY196641 WVU196618:WVU196641 T262154:T262177 JI262154:JI262177 TE262154:TE262177 ADA262154:ADA262177 AMW262154:AMW262177 AWS262154:AWS262177 BGO262154:BGO262177 BQK262154:BQK262177 CAG262154:CAG262177 CKC262154:CKC262177 CTY262154:CTY262177 DDU262154:DDU262177 DNQ262154:DNQ262177 DXM262154:DXM262177 EHI262154:EHI262177 ERE262154:ERE262177 FBA262154:FBA262177 FKW262154:FKW262177 FUS262154:FUS262177 GEO262154:GEO262177 GOK262154:GOK262177 GYG262154:GYG262177 HIC262154:HIC262177 HRY262154:HRY262177 IBU262154:IBU262177 ILQ262154:ILQ262177 IVM262154:IVM262177 JFI262154:JFI262177 JPE262154:JPE262177 JZA262154:JZA262177 KIW262154:KIW262177 KSS262154:KSS262177 LCO262154:LCO262177 LMK262154:LMK262177 LWG262154:LWG262177 MGC262154:MGC262177 MPY262154:MPY262177 MZU262154:MZU262177 NJQ262154:NJQ262177 NTM262154:NTM262177 ODI262154:ODI262177 ONE262154:ONE262177 OXA262154:OXA262177 PGW262154:PGW262177 PQS262154:PQS262177 QAO262154:QAO262177 QKK262154:QKK262177 QUG262154:QUG262177 REC262154:REC262177 RNY262154:RNY262177 RXU262154:RXU262177 SHQ262154:SHQ262177 SRM262154:SRM262177 TBI262154:TBI262177 TLE262154:TLE262177 TVA262154:TVA262177 UEW262154:UEW262177 UOS262154:UOS262177 UYO262154:UYO262177 VIK262154:VIK262177 VSG262154:VSG262177 WCC262154:WCC262177 WLY262154:WLY262177 WVU262154:WVU262177 T327690:T327713 JI327690:JI327713 TE327690:TE327713 ADA327690:ADA327713 AMW327690:AMW327713 AWS327690:AWS327713 BGO327690:BGO327713 BQK327690:BQK327713 CAG327690:CAG327713 CKC327690:CKC327713 CTY327690:CTY327713 DDU327690:DDU327713 DNQ327690:DNQ327713 DXM327690:DXM327713 EHI327690:EHI327713 ERE327690:ERE327713 FBA327690:FBA327713 FKW327690:FKW327713 FUS327690:FUS327713 GEO327690:GEO327713 GOK327690:GOK327713 GYG327690:GYG327713 HIC327690:HIC327713 HRY327690:HRY327713 IBU327690:IBU327713 ILQ327690:ILQ327713 IVM327690:IVM327713 JFI327690:JFI327713 JPE327690:JPE327713 JZA327690:JZA327713 KIW327690:KIW327713 KSS327690:KSS327713 LCO327690:LCO327713 LMK327690:LMK327713 LWG327690:LWG327713 MGC327690:MGC327713 MPY327690:MPY327713 MZU327690:MZU327713 NJQ327690:NJQ327713 NTM327690:NTM327713 ODI327690:ODI327713 ONE327690:ONE327713 OXA327690:OXA327713 PGW327690:PGW327713 PQS327690:PQS327713 QAO327690:QAO327713 QKK327690:QKK327713 QUG327690:QUG327713 REC327690:REC327713 RNY327690:RNY327713 RXU327690:RXU327713 SHQ327690:SHQ327713 SRM327690:SRM327713 TBI327690:TBI327713 TLE327690:TLE327713 TVA327690:TVA327713 UEW327690:UEW327713 UOS327690:UOS327713 UYO327690:UYO327713 VIK327690:VIK327713 VSG327690:VSG327713 WCC327690:WCC327713 WLY327690:WLY327713 WVU327690:WVU327713 T393226:T393249 JI393226:JI393249 TE393226:TE393249 ADA393226:ADA393249 AMW393226:AMW393249 AWS393226:AWS393249 BGO393226:BGO393249 BQK393226:BQK393249 CAG393226:CAG393249 CKC393226:CKC393249 CTY393226:CTY393249 DDU393226:DDU393249 DNQ393226:DNQ393249 DXM393226:DXM393249 EHI393226:EHI393249 ERE393226:ERE393249 FBA393226:FBA393249 FKW393226:FKW393249 FUS393226:FUS393249 GEO393226:GEO393249 GOK393226:GOK393249 GYG393226:GYG393249 HIC393226:HIC393249 HRY393226:HRY393249 IBU393226:IBU393249 ILQ393226:ILQ393249 IVM393226:IVM393249 JFI393226:JFI393249 JPE393226:JPE393249 JZA393226:JZA393249 KIW393226:KIW393249 KSS393226:KSS393249 LCO393226:LCO393249 LMK393226:LMK393249 LWG393226:LWG393249 MGC393226:MGC393249 MPY393226:MPY393249 MZU393226:MZU393249 NJQ393226:NJQ393249 NTM393226:NTM393249 ODI393226:ODI393249 ONE393226:ONE393249 OXA393226:OXA393249 PGW393226:PGW393249 PQS393226:PQS393249 QAO393226:QAO393249 QKK393226:QKK393249 QUG393226:QUG393249 REC393226:REC393249 RNY393226:RNY393249 RXU393226:RXU393249 SHQ393226:SHQ393249 SRM393226:SRM393249 TBI393226:TBI393249 TLE393226:TLE393249 TVA393226:TVA393249 UEW393226:UEW393249 UOS393226:UOS393249 UYO393226:UYO393249 VIK393226:VIK393249 VSG393226:VSG393249 WCC393226:WCC393249 WLY393226:WLY393249 WVU393226:WVU393249 T458762:T458785 JI458762:JI458785 TE458762:TE458785 ADA458762:ADA458785 AMW458762:AMW458785 AWS458762:AWS458785 BGO458762:BGO458785 BQK458762:BQK458785 CAG458762:CAG458785 CKC458762:CKC458785 CTY458762:CTY458785 DDU458762:DDU458785 DNQ458762:DNQ458785 DXM458762:DXM458785 EHI458762:EHI458785 ERE458762:ERE458785 FBA458762:FBA458785 FKW458762:FKW458785 FUS458762:FUS458785 GEO458762:GEO458785 GOK458762:GOK458785 GYG458762:GYG458785 HIC458762:HIC458785 HRY458762:HRY458785 IBU458762:IBU458785 ILQ458762:ILQ458785 IVM458762:IVM458785 JFI458762:JFI458785 JPE458762:JPE458785 JZA458762:JZA458785 KIW458762:KIW458785 KSS458762:KSS458785 LCO458762:LCO458785 LMK458762:LMK458785 LWG458762:LWG458785 MGC458762:MGC458785 MPY458762:MPY458785 MZU458762:MZU458785 NJQ458762:NJQ458785 NTM458762:NTM458785 ODI458762:ODI458785 ONE458762:ONE458785 OXA458762:OXA458785 PGW458762:PGW458785 PQS458762:PQS458785 QAO458762:QAO458785 QKK458762:QKK458785 QUG458762:QUG458785 REC458762:REC458785 RNY458762:RNY458785 RXU458762:RXU458785 SHQ458762:SHQ458785 SRM458762:SRM458785 TBI458762:TBI458785 TLE458762:TLE458785 TVA458762:TVA458785 UEW458762:UEW458785 UOS458762:UOS458785 UYO458762:UYO458785 VIK458762:VIK458785 VSG458762:VSG458785 WCC458762:WCC458785 WLY458762:WLY458785 WVU458762:WVU458785 T524298:T524321 JI524298:JI524321 TE524298:TE524321 ADA524298:ADA524321 AMW524298:AMW524321 AWS524298:AWS524321 BGO524298:BGO524321 BQK524298:BQK524321 CAG524298:CAG524321 CKC524298:CKC524321 CTY524298:CTY524321 DDU524298:DDU524321 DNQ524298:DNQ524321 DXM524298:DXM524321 EHI524298:EHI524321 ERE524298:ERE524321 FBA524298:FBA524321 FKW524298:FKW524321 FUS524298:FUS524321 GEO524298:GEO524321 GOK524298:GOK524321 GYG524298:GYG524321 HIC524298:HIC524321 HRY524298:HRY524321 IBU524298:IBU524321 ILQ524298:ILQ524321 IVM524298:IVM524321 JFI524298:JFI524321 JPE524298:JPE524321 JZA524298:JZA524321 KIW524298:KIW524321 KSS524298:KSS524321 LCO524298:LCO524321 LMK524298:LMK524321 LWG524298:LWG524321 MGC524298:MGC524321 MPY524298:MPY524321 MZU524298:MZU524321 NJQ524298:NJQ524321 NTM524298:NTM524321 ODI524298:ODI524321 ONE524298:ONE524321 OXA524298:OXA524321 PGW524298:PGW524321 PQS524298:PQS524321 QAO524298:QAO524321 QKK524298:QKK524321 QUG524298:QUG524321 REC524298:REC524321 RNY524298:RNY524321 RXU524298:RXU524321 SHQ524298:SHQ524321 SRM524298:SRM524321 TBI524298:TBI524321 TLE524298:TLE524321 TVA524298:TVA524321 UEW524298:UEW524321 UOS524298:UOS524321 UYO524298:UYO524321 VIK524298:VIK524321 VSG524298:VSG524321 WCC524298:WCC524321 WLY524298:WLY524321 WVU524298:WVU524321 T589834:T589857 JI589834:JI589857 TE589834:TE589857 ADA589834:ADA589857 AMW589834:AMW589857 AWS589834:AWS589857 BGO589834:BGO589857 BQK589834:BQK589857 CAG589834:CAG589857 CKC589834:CKC589857 CTY589834:CTY589857 DDU589834:DDU589857 DNQ589834:DNQ589857 DXM589834:DXM589857 EHI589834:EHI589857 ERE589834:ERE589857 FBA589834:FBA589857 FKW589834:FKW589857 FUS589834:FUS589857 GEO589834:GEO589857 GOK589834:GOK589857 GYG589834:GYG589857 HIC589834:HIC589857 HRY589834:HRY589857 IBU589834:IBU589857 ILQ589834:ILQ589857 IVM589834:IVM589857 JFI589834:JFI589857 JPE589834:JPE589857 JZA589834:JZA589857 KIW589834:KIW589857 KSS589834:KSS589857 LCO589834:LCO589857 LMK589834:LMK589857 LWG589834:LWG589857 MGC589834:MGC589857 MPY589834:MPY589857 MZU589834:MZU589857 NJQ589834:NJQ589857 NTM589834:NTM589857 ODI589834:ODI589857 ONE589834:ONE589857 OXA589834:OXA589857 PGW589834:PGW589857 PQS589834:PQS589857 QAO589834:QAO589857 QKK589834:QKK589857 QUG589834:QUG589857 REC589834:REC589857 RNY589834:RNY589857 RXU589834:RXU589857 SHQ589834:SHQ589857 SRM589834:SRM589857 TBI589834:TBI589857 TLE589834:TLE589857 TVA589834:TVA589857 UEW589834:UEW589857 UOS589834:UOS589857 UYO589834:UYO589857 VIK589834:VIK589857 VSG589834:VSG589857 WCC589834:WCC589857 WLY589834:WLY589857 WVU589834:WVU589857 T655370:T655393 JI655370:JI655393 TE655370:TE655393 ADA655370:ADA655393 AMW655370:AMW655393 AWS655370:AWS655393 BGO655370:BGO655393 BQK655370:BQK655393 CAG655370:CAG655393 CKC655370:CKC655393 CTY655370:CTY655393 DDU655370:DDU655393 DNQ655370:DNQ655393 DXM655370:DXM655393 EHI655370:EHI655393 ERE655370:ERE655393 FBA655370:FBA655393 FKW655370:FKW655393 FUS655370:FUS655393 GEO655370:GEO655393 GOK655370:GOK655393 GYG655370:GYG655393 HIC655370:HIC655393 HRY655370:HRY655393 IBU655370:IBU655393 ILQ655370:ILQ655393 IVM655370:IVM655393 JFI655370:JFI655393 JPE655370:JPE655393 JZA655370:JZA655393 KIW655370:KIW655393 KSS655370:KSS655393 LCO655370:LCO655393 LMK655370:LMK655393 LWG655370:LWG655393 MGC655370:MGC655393 MPY655370:MPY655393 MZU655370:MZU655393 NJQ655370:NJQ655393 NTM655370:NTM655393 ODI655370:ODI655393 ONE655370:ONE655393 OXA655370:OXA655393 PGW655370:PGW655393 PQS655370:PQS655393 QAO655370:QAO655393 QKK655370:QKK655393 QUG655370:QUG655393 REC655370:REC655393 RNY655370:RNY655393 RXU655370:RXU655393 SHQ655370:SHQ655393 SRM655370:SRM655393 TBI655370:TBI655393 TLE655370:TLE655393 TVA655370:TVA655393 UEW655370:UEW655393 UOS655370:UOS655393 UYO655370:UYO655393 VIK655370:VIK655393 VSG655370:VSG655393 WCC655370:WCC655393 WLY655370:WLY655393 WVU655370:WVU655393 T720906:T720929 JI720906:JI720929 TE720906:TE720929 ADA720906:ADA720929 AMW720906:AMW720929 AWS720906:AWS720929 BGO720906:BGO720929 BQK720906:BQK720929 CAG720906:CAG720929 CKC720906:CKC720929 CTY720906:CTY720929 DDU720906:DDU720929 DNQ720906:DNQ720929 DXM720906:DXM720929 EHI720906:EHI720929 ERE720906:ERE720929 FBA720906:FBA720929 FKW720906:FKW720929 FUS720906:FUS720929 GEO720906:GEO720929 GOK720906:GOK720929 GYG720906:GYG720929 HIC720906:HIC720929 HRY720906:HRY720929 IBU720906:IBU720929 ILQ720906:ILQ720929 IVM720906:IVM720929 JFI720906:JFI720929 JPE720906:JPE720929 JZA720906:JZA720929 KIW720906:KIW720929 KSS720906:KSS720929 LCO720906:LCO720929 LMK720906:LMK720929 LWG720906:LWG720929 MGC720906:MGC720929 MPY720906:MPY720929 MZU720906:MZU720929 NJQ720906:NJQ720929 NTM720906:NTM720929 ODI720906:ODI720929 ONE720906:ONE720929 OXA720906:OXA720929 PGW720906:PGW720929 PQS720906:PQS720929 QAO720906:QAO720929 QKK720906:QKK720929 QUG720906:QUG720929 REC720906:REC720929 RNY720906:RNY720929 RXU720906:RXU720929 SHQ720906:SHQ720929 SRM720906:SRM720929 TBI720906:TBI720929 TLE720906:TLE720929 TVA720906:TVA720929 UEW720906:UEW720929 UOS720906:UOS720929 UYO720906:UYO720929 VIK720906:VIK720929 VSG720906:VSG720929 WCC720906:WCC720929 WLY720906:WLY720929 WVU720906:WVU720929 T786442:T786465 JI786442:JI786465 TE786442:TE786465 ADA786442:ADA786465 AMW786442:AMW786465 AWS786442:AWS786465 BGO786442:BGO786465 BQK786442:BQK786465 CAG786442:CAG786465 CKC786442:CKC786465 CTY786442:CTY786465 DDU786442:DDU786465 DNQ786442:DNQ786465 DXM786442:DXM786465 EHI786442:EHI786465 ERE786442:ERE786465 FBA786442:FBA786465 FKW786442:FKW786465 FUS786442:FUS786465 GEO786442:GEO786465 GOK786442:GOK786465 GYG786442:GYG786465 HIC786442:HIC786465 HRY786442:HRY786465 IBU786442:IBU786465 ILQ786442:ILQ786465 IVM786442:IVM786465 JFI786442:JFI786465 JPE786442:JPE786465 JZA786442:JZA786465 KIW786442:KIW786465 KSS786442:KSS786465 LCO786442:LCO786465 LMK786442:LMK786465 LWG786442:LWG786465 MGC786442:MGC786465 MPY786442:MPY786465 MZU786442:MZU786465 NJQ786442:NJQ786465 NTM786442:NTM786465 ODI786442:ODI786465 ONE786442:ONE786465 OXA786442:OXA786465 PGW786442:PGW786465 PQS786442:PQS786465 QAO786442:QAO786465 QKK786442:QKK786465 QUG786442:QUG786465 REC786442:REC786465 RNY786442:RNY786465 RXU786442:RXU786465 SHQ786442:SHQ786465 SRM786442:SRM786465 TBI786442:TBI786465 TLE786442:TLE786465 TVA786442:TVA786465 UEW786442:UEW786465 UOS786442:UOS786465 UYO786442:UYO786465 VIK786442:VIK786465 VSG786442:VSG786465 WCC786442:WCC786465 WLY786442:WLY786465 WVU786442:WVU786465 T851978:T852001 JI851978:JI852001 TE851978:TE852001 ADA851978:ADA852001 AMW851978:AMW852001 AWS851978:AWS852001 BGO851978:BGO852001 BQK851978:BQK852001 CAG851978:CAG852001 CKC851978:CKC852001 CTY851978:CTY852001 DDU851978:DDU852001 DNQ851978:DNQ852001 DXM851978:DXM852001 EHI851978:EHI852001 ERE851978:ERE852001 FBA851978:FBA852001 FKW851978:FKW852001 FUS851978:FUS852001 GEO851978:GEO852001 GOK851978:GOK852001 GYG851978:GYG852001 HIC851978:HIC852001 HRY851978:HRY852001 IBU851978:IBU852001 ILQ851978:ILQ852001 IVM851978:IVM852001 JFI851978:JFI852001 JPE851978:JPE852001 JZA851978:JZA852001 KIW851978:KIW852001 KSS851978:KSS852001 LCO851978:LCO852001 LMK851978:LMK852001 LWG851978:LWG852001 MGC851978:MGC852001 MPY851978:MPY852001 MZU851978:MZU852001 NJQ851978:NJQ852001 NTM851978:NTM852001 ODI851978:ODI852001 ONE851978:ONE852001 OXA851978:OXA852001 PGW851978:PGW852001 PQS851978:PQS852001 QAO851978:QAO852001 QKK851978:QKK852001 QUG851978:QUG852001 REC851978:REC852001 RNY851978:RNY852001 RXU851978:RXU852001 SHQ851978:SHQ852001 SRM851978:SRM852001 TBI851978:TBI852001 TLE851978:TLE852001 TVA851978:TVA852001 UEW851978:UEW852001 UOS851978:UOS852001 UYO851978:UYO852001 VIK851978:VIK852001 VSG851978:VSG852001 WCC851978:WCC852001 WLY851978:WLY852001 WVU851978:WVU852001 T917514:T917537 JI917514:JI917537 TE917514:TE917537 ADA917514:ADA917537 AMW917514:AMW917537 AWS917514:AWS917537 BGO917514:BGO917537 BQK917514:BQK917537 CAG917514:CAG917537 CKC917514:CKC917537 CTY917514:CTY917537 DDU917514:DDU917537 DNQ917514:DNQ917537 DXM917514:DXM917537 EHI917514:EHI917537 ERE917514:ERE917537 FBA917514:FBA917537 FKW917514:FKW917537 FUS917514:FUS917537 GEO917514:GEO917537 GOK917514:GOK917537 GYG917514:GYG917537 HIC917514:HIC917537 HRY917514:HRY917537 IBU917514:IBU917537 ILQ917514:ILQ917537 IVM917514:IVM917537 JFI917514:JFI917537 JPE917514:JPE917537 JZA917514:JZA917537 KIW917514:KIW917537 KSS917514:KSS917537 LCO917514:LCO917537 LMK917514:LMK917537 LWG917514:LWG917537 MGC917514:MGC917537 MPY917514:MPY917537 MZU917514:MZU917537 NJQ917514:NJQ917537 NTM917514:NTM917537 ODI917514:ODI917537 ONE917514:ONE917537 OXA917514:OXA917537 PGW917514:PGW917537 PQS917514:PQS917537 QAO917514:QAO917537 QKK917514:QKK917537 QUG917514:QUG917537 REC917514:REC917537 RNY917514:RNY917537 RXU917514:RXU917537 SHQ917514:SHQ917537 SRM917514:SRM917537 TBI917514:TBI917537 TLE917514:TLE917537 TVA917514:TVA917537 UEW917514:UEW917537 UOS917514:UOS917537 UYO917514:UYO917537 VIK917514:VIK917537 VSG917514:VSG917537 WCC917514:WCC917537 WLY917514:WLY917537 WVU917514:WVU917537 T983050:T983073 JI983050:JI983073 TE983050:TE983073 ADA983050:ADA983073 AMW983050:AMW983073 AWS983050:AWS983073 BGO983050:BGO983073 BQK983050:BQK983073 CAG983050:CAG983073 CKC983050:CKC983073 CTY983050:CTY983073 DDU983050:DDU983073 DNQ983050:DNQ983073 DXM983050:DXM983073 EHI983050:EHI983073 ERE983050:ERE983073 FBA983050:FBA983073 FKW983050:FKW983073 FUS983050:FUS983073 GEO983050:GEO983073 GOK983050:GOK983073 GYG983050:GYG983073 HIC983050:HIC983073 HRY983050:HRY983073 IBU983050:IBU983073 ILQ983050:ILQ983073 IVM983050:IVM983073 JFI983050:JFI983073 JPE983050:JPE983073 JZA983050:JZA983073 KIW983050:KIW983073 KSS983050:KSS983073 LCO983050:LCO983073 LMK983050:LMK983073 LWG983050:LWG983073 MGC983050:MGC983073 MPY983050:MPY983073 MZU983050:MZU983073 NJQ983050:NJQ983073 NTM983050:NTM983073 ODI983050:ODI983073 ONE983050:ONE983073 OXA983050:OXA983073 PGW983050:PGW983073 PQS983050:PQS983073 QAO983050:QAO983073 QKK983050:QKK983073 QUG983050:QUG983073 REC983050:REC983073 RNY983050:RNY983073 RXU983050:RXU983073 SHQ983050:SHQ983073 SRM983050:SRM983073 TBI983050:TBI983073 TLE983050:TLE983073 TVA983050:TVA983073 UEW983050:UEW983073 UOS983050:UOS983073 UYO983050:UYO983073 VIK983050:VIK983073 VSG983050:VSG983073 WCC983050:WCC983073 WLY983050:WLY983073 WVU983050:WVU983073 IT11:IT23 WVF11:WVF23 WLJ11:WLJ23 WBN11:WBN23 VRR11:VRR23 VHV11:VHV23 UXZ11:UXZ23 UOD11:UOD23 UEH11:UEH23 TUL11:TUL23 TKP11:TKP23 TAT11:TAT23 SQX11:SQX23 SHB11:SHB23 RXF11:RXF23 RNJ11:RNJ23 RDN11:RDN23 QTR11:QTR23 QJV11:QJV23 PZZ11:PZZ23 PQD11:PQD23 PGH11:PGH23 OWL11:OWL23 OMP11:OMP23 OCT11:OCT23 NSX11:NSX23 NJB11:NJB23 MZF11:MZF23 MPJ11:MPJ23 MFN11:MFN23 LVR11:LVR23 LLV11:LLV23 LBZ11:LBZ23 KSD11:KSD23 KIH11:KIH23 JYL11:JYL23 JOP11:JOP23 JET11:JET23 IUX11:IUX23 ILB11:ILB23 IBF11:IBF23 HRJ11:HRJ23 HHN11:HHN23 GXR11:GXR23 GNV11:GNV23 GDZ11:GDZ23 FUD11:FUD23 FKH11:FKH23 FAL11:FAL23 EQP11:EQP23 EGT11:EGT23 DWX11:DWX23 DNB11:DNB23 DDF11:DDF23 CTJ11:CTJ23 CJN11:CJN23 BZR11:BZR23 BPV11:BPV23 BFZ11:BFZ23 AWD11:AWD23 AMH11:AMH23 ACL11:ACL23 SP11:SP23 T11:T34" xr:uid="{00000000-0002-0000-0500-000000000000}">
      <formula1>"Y,N"</formula1>
    </dataValidation>
    <dataValidation type="list" allowBlank="1" showInputMessage="1" showErrorMessage="1" sqref="WVX983050:WVX983073 JH5:JH7 TD5:TD7 ACZ5:ACZ7 AMV5:AMV7 AWR5:AWR7 BGN5:BGN7 BQJ5:BQJ7 CAF5:CAF7 CKB5:CKB7 CTX5:CTX7 DDT5:DDT7 DNP5:DNP7 DXL5:DXL7 EHH5:EHH7 ERD5:ERD7 FAZ5:FAZ7 FKV5:FKV7 FUR5:FUR7 GEN5:GEN7 GOJ5:GOJ7 GYF5:GYF7 HIB5:HIB7 HRX5:HRX7 IBT5:IBT7 ILP5:ILP7 IVL5:IVL7 JFH5:JFH7 JPD5:JPD7 JYZ5:JYZ7 KIV5:KIV7 KSR5:KSR7 LCN5:LCN7 LMJ5:LMJ7 LWF5:LWF7 MGB5:MGB7 MPX5:MPX7 MZT5:MZT7 NJP5:NJP7 NTL5:NTL7 ODH5:ODH7 OND5:OND7 OWZ5:OWZ7 PGV5:PGV7 PQR5:PQR7 QAN5:QAN7 QKJ5:QKJ7 QUF5:QUF7 REB5:REB7 RNX5:RNX7 RXT5:RXT7 SHP5:SHP7 SRL5:SRL7 TBH5:TBH7 TLD5:TLD7 TUZ5:TUZ7 UEV5:UEV7 UOR5:UOR7 UYN5:UYN7 VIJ5:VIJ7 VSF5:VSF7 WCB5:WCB7 WLX5:WLX7 WVT5:WVT7 S65540:S65542 JH65540:JH65542 TD65540:TD65542 ACZ65540:ACZ65542 AMV65540:AMV65542 AWR65540:AWR65542 BGN65540:BGN65542 BQJ65540:BQJ65542 CAF65540:CAF65542 CKB65540:CKB65542 CTX65540:CTX65542 DDT65540:DDT65542 DNP65540:DNP65542 DXL65540:DXL65542 EHH65540:EHH65542 ERD65540:ERD65542 FAZ65540:FAZ65542 FKV65540:FKV65542 FUR65540:FUR65542 GEN65540:GEN65542 GOJ65540:GOJ65542 GYF65540:GYF65542 HIB65540:HIB65542 HRX65540:HRX65542 IBT65540:IBT65542 ILP65540:ILP65542 IVL65540:IVL65542 JFH65540:JFH65542 JPD65540:JPD65542 JYZ65540:JYZ65542 KIV65540:KIV65542 KSR65540:KSR65542 LCN65540:LCN65542 LMJ65540:LMJ65542 LWF65540:LWF65542 MGB65540:MGB65542 MPX65540:MPX65542 MZT65540:MZT65542 NJP65540:NJP65542 NTL65540:NTL65542 ODH65540:ODH65542 OND65540:OND65542 OWZ65540:OWZ65542 PGV65540:PGV65542 PQR65540:PQR65542 QAN65540:QAN65542 QKJ65540:QKJ65542 QUF65540:QUF65542 REB65540:REB65542 RNX65540:RNX65542 RXT65540:RXT65542 SHP65540:SHP65542 SRL65540:SRL65542 TBH65540:TBH65542 TLD65540:TLD65542 TUZ65540:TUZ65542 UEV65540:UEV65542 UOR65540:UOR65542 UYN65540:UYN65542 VIJ65540:VIJ65542 VSF65540:VSF65542 WCB65540:WCB65542 WLX65540:WLX65542 WVT65540:WVT65542 S131076:S131078 JH131076:JH131078 TD131076:TD131078 ACZ131076:ACZ131078 AMV131076:AMV131078 AWR131076:AWR131078 BGN131076:BGN131078 BQJ131076:BQJ131078 CAF131076:CAF131078 CKB131076:CKB131078 CTX131076:CTX131078 DDT131076:DDT131078 DNP131076:DNP131078 DXL131076:DXL131078 EHH131076:EHH131078 ERD131076:ERD131078 FAZ131076:FAZ131078 FKV131076:FKV131078 FUR131076:FUR131078 GEN131076:GEN131078 GOJ131076:GOJ131078 GYF131076:GYF131078 HIB131076:HIB131078 HRX131076:HRX131078 IBT131076:IBT131078 ILP131076:ILP131078 IVL131076:IVL131078 JFH131076:JFH131078 JPD131076:JPD131078 JYZ131076:JYZ131078 KIV131076:KIV131078 KSR131076:KSR131078 LCN131076:LCN131078 LMJ131076:LMJ131078 LWF131076:LWF131078 MGB131076:MGB131078 MPX131076:MPX131078 MZT131076:MZT131078 NJP131076:NJP131078 NTL131076:NTL131078 ODH131076:ODH131078 OND131076:OND131078 OWZ131076:OWZ131078 PGV131076:PGV131078 PQR131076:PQR131078 QAN131076:QAN131078 QKJ131076:QKJ131078 QUF131076:QUF131078 REB131076:REB131078 RNX131076:RNX131078 RXT131076:RXT131078 SHP131076:SHP131078 SRL131076:SRL131078 TBH131076:TBH131078 TLD131076:TLD131078 TUZ131076:TUZ131078 UEV131076:UEV131078 UOR131076:UOR131078 UYN131076:UYN131078 VIJ131076:VIJ131078 VSF131076:VSF131078 WCB131076:WCB131078 WLX131076:WLX131078 WVT131076:WVT131078 S196612:S196614 JH196612:JH196614 TD196612:TD196614 ACZ196612:ACZ196614 AMV196612:AMV196614 AWR196612:AWR196614 BGN196612:BGN196614 BQJ196612:BQJ196614 CAF196612:CAF196614 CKB196612:CKB196614 CTX196612:CTX196614 DDT196612:DDT196614 DNP196612:DNP196614 DXL196612:DXL196614 EHH196612:EHH196614 ERD196612:ERD196614 FAZ196612:FAZ196614 FKV196612:FKV196614 FUR196612:FUR196614 GEN196612:GEN196614 GOJ196612:GOJ196614 GYF196612:GYF196614 HIB196612:HIB196614 HRX196612:HRX196614 IBT196612:IBT196614 ILP196612:ILP196614 IVL196612:IVL196614 JFH196612:JFH196614 JPD196612:JPD196614 JYZ196612:JYZ196614 KIV196612:KIV196614 KSR196612:KSR196614 LCN196612:LCN196614 LMJ196612:LMJ196614 LWF196612:LWF196614 MGB196612:MGB196614 MPX196612:MPX196614 MZT196612:MZT196614 NJP196612:NJP196614 NTL196612:NTL196614 ODH196612:ODH196614 OND196612:OND196614 OWZ196612:OWZ196614 PGV196612:PGV196614 PQR196612:PQR196614 QAN196612:QAN196614 QKJ196612:QKJ196614 QUF196612:QUF196614 REB196612:REB196614 RNX196612:RNX196614 RXT196612:RXT196614 SHP196612:SHP196614 SRL196612:SRL196614 TBH196612:TBH196614 TLD196612:TLD196614 TUZ196612:TUZ196614 UEV196612:UEV196614 UOR196612:UOR196614 UYN196612:UYN196614 VIJ196612:VIJ196614 VSF196612:VSF196614 WCB196612:WCB196614 WLX196612:WLX196614 WVT196612:WVT196614 S262148:S262150 JH262148:JH262150 TD262148:TD262150 ACZ262148:ACZ262150 AMV262148:AMV262150 AWR262148:AWR262150 BGN262148:BGN262150 BQJ262148:BQJ262150 CAF262148:CAF262150 CKB262148:CKB262150 CTX262148:CTX262150 DDT262148:DDT262150 DNP262148:DNP262150 DXL262148:DXL262150 EHH262148:EHH262150 ERD262148:ERD262150 FAZ262148:FAZ262150 FKV262148:FKV262150 FUR262148:FUR262150 GEN262148:GEN262150 GOJ262148:GOJ262150 GYF262148:GYF262150 HIB262148:HIB262150 HRX262148:HRX262150 IBT262148:IBT262150 ILP262148:ILP262150 IVL262148:IVL262150 JFH262148:JFH262150 JPD262148:JPD262150 JYZ262148:JYZ262150 KIV262148:KIV262150 KSR262148:KSR262150 LCN262148:LCN262150 LMJ262148:LMJ262150 LWF262148:LWF262150 MGB262148:MGB262150 MPX262148:MPX262150 MZT262148:MZT262150 NJP262148:NJP262150 NTL262148:NTL262150 ODH262148:ODH262150 OND262148:OND262150 OWZ262148:OWZ262150 PGV262148:PGV262150 PQR262148:PQR262150 QAN262148:QAN262150 QKJ262148:QKJ262150 QUF262148:QUF262150 REB262148:REB262150 RNX262148:RNX262150 RXT262148:RXT262150 SHP262148:SHP262150 SRL262148:SRL262150 TBH262148:TBH262150 TLD262148:TLD262150 TUZ262148:TUZ262150 UEV262148:UEV262150 UOR262148:UOR262150 UYN262148:UYN262150 VIJ262148:VIJ262150 VSF262148:VSF262150 WCB262148:WCB262150 WLX262148:WLX262150 WVT262148:WVT262150 S327684:S327686 JH327684:JH327686 TD327684:TD327686 ACZ327684:ACZ327686 AMV327684:AMV327686 AWR327684:AWR327686 BGN327684:BGN327686 BQJ327684:BQJ327686 CAF327684:CAF327686 CKB327684:CKB327686 CTX327684:CTX327686 DDT327684:DDT327686 DNP327684:DNP327686 DXL327684:DXL327686 EHH327684:EHH327686 ERD327684:ERD327686 FAZ327684:FAZ327686 FKV327684:FKV327686 FUR327684:FUR327686 GEN327684:GEN327686 GOJ327684:GOJ327686 GYF327684:GYF327686 HIB327684:HIB327686 HRX327684:HRX327686 IBT327684:IBT327686 ILP327684:ILP327686 IVL327684:IVL327686 JFH327684:JFH327686 JPD327684:JPD327686 JYZ327684:JYZ327686 KIV327684:KIV327686 KSR327684:KSR327686 LCN327684:LCN327686 LMJ327684:LMJ327686 LWF327684:LWF327686 MGB327684:MGB327686 MPX327684:MPX327686 MZT327684:MZT327686 NJP327684:NJP327686 NTL327684:NTL327686 ODH327684:ODH327686 OND327684:OND327686 OWZ327684:OWZ327686 PGV327684:PGV327686 PQR327684:PQR327686 QAN327684:QAN327686 QKJ327684:QKJ327686 QUF327684:QUF327686 REB327684:REB327686 RNX327684:RNX327686 RXT327684:RXT327686 SHP327684:SHP327686 SRL327684:SRL327686 TBH327684:TBH327686 TLD327684:TLD327686 TUZ327684:TUZ327686 UEV327684:UEV327686 UOR327684:UOR327686 UYN327684:UYN327686 VIJ327684:VIJ327686 VSF327684:VSF327686 WCB327684:WCB327686 WLX327684:WLX327686 WVT327684:WVT327686 S393220:S393222 JH393220:JH393222 TD393220:TD393222 ACZ393220:ACZ393222 AMV393220:AMV393222 AWR393220:AWR393222 BGN393220:BGN393222 BQJ393220:BQJ393222 CAF393220:CAF393222 CKB393220:CKB393222 CTX393220:CTX393222 DDT393220:DDT393222 DNP393220:DNP393222 DXL393220:DXL393222 EHH393220:EHH393222 ERD393220:ERD393222 FAZ393220:FAZ393222 FKV393220:FKV393222 FUR393220:FUR393222 GEN393220:GEN393222 GOJ393220:GOJ393222 GYF393220:GYF393222 HIB393220:HIB393222 HRX393220:HRX393222 IBT393220:IBT393222 ILP393220:ILP393222 IVL393220:IVL393222 JFH393220:JFH393222 JPD393220:JPD393222 JYZ393220:JYZ393222 KIV393220:KIV393222 KSR393220:KSR393222 LCN393220:LCN393222 LMJ393220:LMJ393222 LWF393220:LWF393222 MGB393220:MGB393222 MPX393220:MPX393222 MZT393220:MZT393222 NJP393220:NJP393222 NTL393220:NTL393222 ODH393220:ODH393222 OND393220:OND393222 OWZ393220:OWZ393222 PGV393220:PGV393222 PQR393220:PQR393222 QAN393220:QAN393222 QKJ393220:QKJ393222 QUF393220:QUF393222 REB393220:REB393222 RNX393220:RNX393222 RXT393220:RXT393222 SHP393220:SHP393222 SRL393220:SRL393222 TBH393220:TBH393222 TLD393220:TLD393222 TUZ393220:TUZ393222 UEV393220:UEV393222 UOR393220:UOR393222 UYN393220:UYN393222 VIJ393220:VIJ393222 VSF393220:VSF393222 WCB393220:WCB393222 WLX393220:WLX393222 WVT393220:WVT393222 S458756:S458758 JH458756:JH458758 TD458756:TD458758 ACZ458756:ACZ458758 AMV458756:AMV458758 AWR458756:AWR458758 BGN458756:BGN458758 BQJ458756:BQJ458758 CAF458756:CAF458758 CKB458756:CKB458758 CTX458756:CTX458758 DDT458756:DDT458758 DNP458756:DNP458758 DXL458756:DXL458758 EHH458756:EHH458758 ERD458756:ERD458758 FAZ458756:FAZ458758 FKV458756:FKV458758 FUR458756:FUR458758 GEN458756:GEN458758 GOJ458756:GOJ458758 GYF458756:GYF458758 HIB458756:HIB458758 HRX458756:HRX458758 IBT458756:IBT458758 ILP458756:ILP458758 IVL458756:IVL458758 JFH458756:JFH458758 JPD458756:JPD458758 JYZ458756:JYZ458758 KIV458756:KIV458758 KSR458756:KSR458758 LCN458756:LCN458758 LMJ458756:LMJ458758 LWF458756:LWF458758 MGB458756:MGB458758 MPX458756:MPX458758 MZT458756:MZT458758 NJP458756:NJP458758 NTL458756:NTL458758 ODH458756:ODH458758 OND458756:OND458758 OWZ458756:OWZ458758 PGV458756:PGV458758 PQR458756:PQR458758 QAN458756:QAN458758 QKJ458756:QKJ458758 QUF458756:QUF458758 REB458756:REB458758 RNX458756:RNX458758 RXT458756:RXT458758 SHP458756:SHP458758 SRL458756:SRL458758 TBH458756:TBH458758 TLD458756:TLD458758 TUZ458756:TUZ458758 UEV458756:UEV458758 UOR458756:UOR458758 UYN458756:UYN458758 VIJ458756:VIJ458758 VSF458756:VSF458758 WCB458756:WCB458758 WLX458756:WLX458758 WVT458756:WVT458758 S524292:S524294 JH524292:JH524294 TD524292:TD524294 ACZ524292:ACZ524294 AMV524292:AMV524294 AWR524292:AWR524294 BGN524292:BGN524294 BQJ524292:BQJ524294 CAF524292:CAF524294 CKB524292:CKB524294 CTX524292:CTX524294 DDT524292:DDT524294 DNP524292:DNP524294 DXL524292:DXL524294 EHH524292:EHH524294 ERD524292:ERD524294 FAZ524292:FAZ524294 FKV524292:FKV524294 FUR524292:FUR524294 GEN524292:GEN524294 GOJ524292:GOJ524294 GYF524292:GYF524294 HIB524292:HIB524294 HRX524292:HRX524294 IBT524292:IBT524294 ILP524292:ILP524294 IVL524292:IVL524294 JFH524292:JFH524294 JPD524292:JPD524294 JYZ524292:JYZ524294 KIV524292:KIV524294 KSR524292:KSR524294 LCN524292:LCN524294 LMJ524292:LMJ524294 LWF524292:LWF524294 MGB524292:MGB524294 MPX524292:MPX524294 MZT524292:MZT524294 NJP524292:NJP524294 NTL524292:NTL524294 ODH524292:ODH524294 OND524292:OND524294 OWZ524292:OWZ524294 PGV524292:PGV524294 PQR524292:PQR524294 QAN524292:QAN524294 QKJ524292:QKJ524294 QUF524292:QUF524294 REB524292:REB524294 RNX524292:RNX524294 RXT524292:RXT524294 SHP524292:SHP524294 SRL524292:SRL524294 TBH524292:TBH524294 TLD524292:TLD524294 TUZ524292:TUZ524294 UEV524292:UEV524294 UOR524292:UOR524294 UYN524292:UYN524294 VIJ524292:VIJ524294 VSF524292:VSF524294 WCB524292:WCB524294 WLX524292:WLX524294 WVT524292:WVT524294 S589828:S589830 JH589828:JH589830 TD589828:TD589830 ACZ589828:ACZ589830 AMV589828:AMV589830 AWR589828:AWR589830 BGN589828:BGN589830 BQJ589828:BQJ589830 CAF589828:CAF589830 CKB589828:CKB589830 CTX589828:CTX589830 DDT589828:DDT589830 DNP589828:DNP589830 DXL589828:DXL589830 EHH589828:EHH589830 ERD589828:ERD589830 FAZ589828:FAZ589830 FKV589828:FKV589830 FUR589828:FUR589830 GEN589828:GEN589830 GOJ589828:GOJ589830 GYF589828:GYF589830 HIB589828:HIB589830 HRX589828:HRX589830 IBT589828:IBT589830 ILP589828:ILP589830 IVL589828:IVL589830 JFH589828:JFH589830 JPD589828:JPD589830 JYZ589828:JYZ589830 KIV589828:KIV589830 KSR589828:KSR589830 LCN589828:LCN589830 LMJ589828:LMJ589830 LWF589828:LWF589830 MGB589828:MGB589830 MPX589828:MPX589830 MZT589828:MZT589830 NJP589828:NJP589830 NTL589828:NTL589830 ODH589828:ODH589830 OND589828:OND589830 OWZ589828:OWZ589830 PGV589828:PGV589830 PQR589828:PQR589830 QAN589828:QAN589830 QKJ589828:QKJ589830 QUF589828:QUF589830 REB589828:REB589830 RNX589828:RNX589830 RXT589828:RXT589830 SHP589828:SHP589830 SRL589828:SRL589830 TBH589828:TBH589830 TLD589828:TLD589830 TUZ589828:TUZ589830 UEV589828:UEV589830 UOR589828:UOR589830 UYN589828:UYN589830 VIJ589828:VIJ589830 VSF589828:VSF589830 WCB589828:WCB589830 WLX589828:WLX589830 WVT589828:WVT589830 S655364:S655366 JH655364:JH655366 TD655364:TD655366 ACZ655364:ACZ655366 AMV655364:AMV655366 AWR655364:AWR655366 BGN655364:BGN655366 BQJ655364:BQJ655366 CAF655364:CAF655366 CKB655364:CKB655366 CTX655364:CTX655366 DDT655364:DDT655366 DNP655364:DNP655366 DXL655364:DXL655366 EHH655364:EHH655366 ERD655364:ERD655366 FAZ655364:FAZ655366 FKV655364:FKV655366 FUR655364:FUR655366 GEN655364:GEN655366 GOJ655364:GOJ655366 GYF655364:GYF655366 HIB655364:HIB655366 HRX655364:HRX655366 IBT655364:IBT655366 ILP655364:ILP655366 IVL655364:IVL655366 JFH655364:JFH655366 JPD655364:JPD655366 JYZ655364:JYZ655366 KIV655364:KIV655366 KSR655364:KSR655366 LCN655364:LCN655366 LMJ655364:LMJ655366 LWF655364:LWF655366 MGB655364:MGB655366 MPX655364:MPX655366 MZT655364:MZT655366 NJP655364:NJP655366 NTL655364:NTL655366 ODH655364:ODH655366 OND655364:OND655366 OWZ655364:OWZ655366 PGV655364:PGV655366 PQR655364:PQR655366 QAN655364:QAN655366 QKJ655364:QKJ655366 QUF655364:QUF655366 REB655364:REB655366 RNX655364:RNX655366 RXT655364:RXT655366 SHP655364:SHP655366 SRL655364:SRL655366 TBH655364:TBH655366 TLD655364:TLD655366 TUZ655364:TUZ655366 UEV655364:UEV655366 UOR655364:UOR655366 UYN655364:UYN655366 VIJ655364:VIJ655366 VSF655364:VSF655366 WCB655364:WCB655366 WLX655364:WLX655366 WVT655364:WVT655366 S720900:S720902 JH720900:JH720902 TD720900:TD720902 ACZ720900:ACZ720902 AMV720900:AMV720902 AWR720900:AWR720902 BGN720900:BGN720902 BQJ720900:BQJ720902 CAF720900:CAF720902 CKB720900:CKB720902 CTX720900:CTX720902 DDT720900:DDT720902 DNP720900:DNP720902 DXL720900:DXL720902 EHH720900:EHH720902 ERD720900:ERD720902 FAZ720900:FAZ720902 FKV720900:FKV720902 FUR720900:FUR720902 GEN720900:GEN720902 GOJ720900:GOJ720902 GYF720900:GYF720902 HIB720900:HIB720902 HRX720900:HRX720902 IBT720900:IBT720902 ILP720900:ILP720902 IVL720900:IVL720902 JFH720900:JFH720902 JPD720900:JPD720902 JYZ720900:JYZ720902 KIV720900:KIV720902 KSR720900:KSR720902 LCN720900:LCN720902 LMJ720900:LMJ720902 LWF720900:LWF720902 MGB720900:MGB720902 MPX720900:MPX720902 MZT720900:MZT720902 NJP720900:NJP720902 NTL720900:NTL720902 ODH720900:ODH720902 OND720900:OND720902 OWZ720900:OWZ720902 PGV720900:PGV720902 PQR720900:PQR720902 QAN720900:QAN720902 QKJ720900:QKJ720902 QUF720900:QUF720902 REB720900:REB720902 RNX720900:RNX720902 RXT720900:RXT720902 SHP720900:SHP720902 SRL720900:SRL720902 TBH720900:TBH720902 TLD720900:TLD720902 TUZ720900:TUZ720902 UEV720900:UEV720902 UOR720900:UOR720902 UYN720900:UYN720902 VIJ720900:VIJ720902 VSF720900:VSF720902 WCB720900:WCB720902 WLX720900:WLX720902 WVT720900:WVT720902 S786436:S786438 JH786436:JH786438 TD786436:TD786438 ACZ786436:ACZ786438 AMV786436:AMV786438 AWR786436:AWR786438 BGN786436:BGN786438 BQJ786436:BQJ786438 CAF786436:CAF786438 CKB786436:CKB786438 CTX786436:CTX786438 DDT786436:DDT786438 DNP786436:DNP786438 DXL786436:DXL786438 EHH786436:EHH786438 ERD786436:ERD786438 FAZ786436:FAZ786438 FKV786436:FKV786438 FUR786436:FUR786438 GEN786436:GEN786438 GOJ786436:GOJ786438 GYF786436:GYF786438 HIB786436:HIB786438 HRX786436:HRX786438 IBT786436:IBT786438 ILP786436:ILP786438 IVL786436:IVL786438 JFH786436:JFH786438 JPD786436:JPD786438 JYZ786436:JYZ786438 KIV786436:KIV786438 KSR786436:KSR786438 LCN786436:LCN786438 LMJ786436:LMJ786438 LWF786436:LWF786438 MGB786436:MGB786438 MPX786436:MPX786438 MZT786436:MZT786438 NJP786436:NJP786438 NTL786436:NTL786438 ODH786436:ODH786438 OND786436:OND786438 OWZ786436:OWZ786438 PGV786436:PGV786438 PQR786436:PQR786438 QAN786436:QAN786438 QKJ786436:QKJ786438 QUF786436:QUF786438 REB786436:REB786438 RNX786436:RNX786438 RXT786436:RXT786438 SHP786436:SHP786438 SRL786436:SRL786438 TBH786436:TBH786438 TLD786436:TLD786438 TUZ786436:TUZ786438 UEV786436:UEV786438 UOR786436:UOR786438 UYN786436:UYN786438 VIJ786436:VIJ786438 VSF786436:VSF786438 WCB786436:WCB786438 WLX786436:WLX786438 WVT786436:WVT786438 S851972:S851974 JH851972:JH851974 TD851972:TD851974 ACZ851972:ACZ851974 AMV851972:AMV851974 AWR851972:AWR851974 BGN851972:BGN851974 BQJ851972:BQJ851974 CAF851972:CAF851974 CKB851972:CKB851974 CTX851972:CTX851974 DDT851972:DDT851974 DNP851972:DNP851974 DXL851972:DXL851974 EHH851972:EHH851974 ERD851972:ERD851974 FAZ851972:FAZ851974 FKV851972:FKV851974 FUR851972:FUR851974 GEN851972:GEN851974 GOJ851972:GOJ851974 GYF851972:GYF851974 HIB851972:HIB851974 HRX851972:HRX851974 IBT851972:IBT851974 ILP851972:ILP851974 IVL851972:IVL851974 JFH851972:JFH851974 JPD851972:JPD851974 JYZ851972:JYZ851974 KIV851972:KIV851974 KSR851972:KSR851974 LCN851972:LCN851974 LMJ851972:LMJ851974 LWF851972:LWF851974 MGB851972:MGB851974 MPX851972:MPX851974 MZT851972:MZT851974 NJP851972:NJP851974 NTL851972:NTL851974 ODH851972:ODH851974 OND851972:OND851974 OWZ851972:OWZ851974 PGV851972:PGV851974 PQR851972:PQR851974 QAN851972:QAN851974 QKJ851972:QKJ851974 QUF851972:QUF851974 REB851972:REB851974 RNX851972:RNX851974 RXT851972:RXT851974 SHP851972:SHP851974 SRL851972:SRL851974 TBH851972:TBH851974 TLD851972:TLD851974 TUZ851972:TUZ851974 UEV851972:UEV851974 UOR851972:UOR851974 UYN851972:UYN851974 VIJ851972:VIJ851974 VSF851972:VSF851974 WCB851972:WCB851974 WLX851972:WLX851974 WVT851972:WVT851974 S917508:S917510 JH917508:JH917510 TD917508:TD917510 ACZ917508:ACZ917510 AMV917508:AMV917510 AWR917508:AWR917510 BGN917508:BGN917510 BQJ917508:BQJ917510 CAF917508:CAF917510 CKB917508:CKB917510 CTX917508:CTX917510 DDT917508:DDT917510 DNP917508:DNP917510 DXL917508:DXL917510 EHH917508:EHH917510 ERD917508:ERD917510 FAZ917508:FAZ917510 FKV917508:FKV917510 FUR917508:FUR917510 GEN917508:GEN917510 GOJ917508:GOJ917510 GYF917508:GYF917510 HIB917508:HIB917510 HRX917508:HRX917510 IBT917508:IBT917510 ILP917508:ILP917510 IVL917508:IVL917510 JFH917508:JFH917510 JPD917508:JPD917510 JYZ917508:JYZ917510 KIV917508:KIV917510 KSR917508:KSR917510 LCN917508:LCN917510 LMJ917508:LMJ917510 LWF917508:LWF917510 MGB917508:MGB917510 MPX917508:MPX917510 MZT917508:MZT917510 NJP917508:NJP917510 NTL917508:NTL917510 ODH917508:ODH917510 OND917508:OND917510 OWZ917508:OWZ917510 PGV917508:PGV917510 PQR917508:PQR917510 QAN917508:QAN917510 QKJ917508:QKJ917510 QUF917508:QUF917510 REB917508:REB917510 RNX917508:RNX917510 RXT917508:RXT917510 SHP917508:SHP917510 SRL917508:SRL917510 TBH917508:TBH917510 TLD917508:TLD917510 TUZ917508:TUZ917510 UEV917508:UEV917510 UOR917508:UOR917510 UYN917508:UYN917510 VIJ917508:VIJ917510 VSF917508:VSF917510 WCB917508:WCB917510 WLX917508:WLX917510 WVT917508:WVT917510 S983044:S983046 JH983044:JH983046 TD983044:TD983046 ACZ983044:ACZ983046 AMV983044:AMV983046 AWR983044:AWR983046 BGN983044:BGN983046 BQJ983044:BQJ983046 CAF983044:CAF983046 CKB983044:CKB983046 CTX983044:CTX983046 DDT983044:DDT983046 DNP983044:DNP983046 DXL983044:DXL983046 EHH983044:EHH983046 ERD983044:ERD983046 FAZ983044:FAZ983046 FKV983044:FKV983046 FUR983044:FUR983046 GEN983044:GEN983046 GOJ983044:GOJ983046 GYF983044:GYF983046 HIB983044:HIB983046 HRX983044:HRX983046 IBT983044:IBT983046 ILP983044:ILP983046 IVL983044:IVL983046 JFH983044:JFH983046 JPD983044:JPD983046 JYZ983044:JYZ983046 KIV983044:KIV983046 KSR983044:KSR983046 LCN983044:LCN983046 LMJ983044:LMJ983046 LWF983044:LWF983046 MGB983044:MGB983046 MPX983044:MPX983046 MZT983044:MZT983046 NJP983044:NJP983046 NTL983044:NTL983046 ODH983044:ODH983046 OND983044:OND983046 OWZ983044:OWZ983046 PGV983044:PGV983046 PQR983044:PQR983046 QAN983044:QAN983046 QKJ983044:QKJ983046 QUF983044:QUF983046 REB983044:REB983046 RNX983044:RNX983046 RXT983044:RXT983046 SHP983044:SHP983046 SRL983044:SRL983046 TBH983044:TBH983046 TLD983044:TLD983046 TUZ983044:TUZ983046 UEV983044:UEV983046 UOR983044:UOR983046 UYN983044:UYN983046 VIJ983044:VIJ983046 VSF983044:VSF983046 WCB983044:WCB983046 WLX983044:WLX983046 WVT983044:WVT983046 U65546:U65569 JJ65546:JJ65569 TF65546:TF65569 ADB65546:ADB65569 AMX65546:AMX65569 AWT65546:AWT65569 BGP65546:BGP65569 BQL65546:BQL65569 CAH65546:CAH65569 CKD65546:CKD65569 CTZ65546:CTZ65569 DDV65546:DDV65569 DNR65546:DNR65569 DXN65546:DXN65569 EHJ65546:EHJ65569 ERF65546:ERF65569 FBB65546:FBB65569 FKX65546:FKX65569 FUT65546:FUT65569 GEP65546:GEP65569 GOL65546:GOL65569 GYH65546:GYH65569 HID65546:HID65569 HRZ65546:HRZ65569 IBV65546:IBV65569 ILR65546:ILR65569 IVN65546:IVN65569 JFJ65546:JFJ65569 JPF65546:JPF65569 JZB65546:JZB65569 KIX65546:KIX65569 KST65546:KST65569 LCP65546:LCP65569 LML65546:LML65569 LWH65546:LWH65569 MGD65546:MGD65569 MPZ65546:MPZ65569 MZV65546:MZV65569 NJR65546:NJR65569 NTN65546:NTN65569 ODJ65546:ODJ65569 ONF65546:ONF65569 OXB65546:OXB65569 PGX65546:PGX65569 PQT65546:PQT65569 QAP65546:QAP65569 QKL65546:QKL65569 QUH65546:QUH65569 RED65546:RED65569 RNZ65546:RNZ65569 RXV65546:RXV65569 SHR65546:SHR65569 SRN65546:SRN65569 TBJ65546:TBJ65569 TLF65546:TLF65569 TVB65546:TVB65569 UEX65546:UEX65569 UOT65546:UOT65569 UYP65546:UYP65569 VIL65546:VIL65569 VSH65546:VSH65569 WCD65546:WCD65569 WLZ65546:WLZ65569 WVV65546:WVV65569 U131082:U131105 JJ131082:JJ131105 TF131082:TF131105 ADB131082:ADB131105 AMX131082:AMX131105 AWT131082:AWT131105 BGP131082:BGP131105 BQL131082:BQL131105 CAH131082:CAH131105 CKD131082:CKD131105 CTZ131082:CTZ131105 DDV131082:DDV131105 DNR131082:DNR131105 DXN131082:DXN131105 EHJ131082:EHJ131105 ERF131082:ERF131105 FBB131082:FBB131105 FKX131082:FKX131105 FUT131082:FUT131105 GEP131082:GEP131105 GOL131082:GOL131105 GYH131082:GYH131105 HID131082:HID131105 HRZ131082:HRZ131105 IBV131082:IBV131105 ILR131082:ILR131105 IVN131082:IVN131105 JFJ131082:JFJ131105 JPF131082:JPF131105 JZB131082:JZB131105 KIX131082:KIX131105 KST131082:KST131105 LCP131082:LCP131105 LML131082:LML131105 LWH131082:LWH131105 MGD131082:MGD131105 MPZ131082:MPZ131105 MZV131082:MZV131105 NJR131082:NJR131105 NTN131082:NTN131105 ODJ131082:ODJ131105 ONF131082:ONF131105 OXB131082:OXB131105 PGX131082:PGX131105 PQT131082:PQT131105 QAP131082:QAP131105 QKL131082:QKL131105 QUH131082:QUH131105 RED131082:RED131105 RNZ131082:RNZ131105 RXV131082:RXV131105 SHR131082:SHR131105 SRN131082:SRN131105 TBJ131082:TBJ131105 TLF131082:TLF131105 TVB131082:TVB131105 UEX131082:UEX131105 UOT131082:UOT131105 UYP131082:UYP131105 VIL131082:VIL131105 VSH131082:VSH131105 WCD131082:WCD131105 WLZ131082:WLZ131105 WVV131082:WVV131105 U196618:U196641 JJ196618:JJ196641 TF196618:TF196641 ADB196618:ADB196641 AMX196618:AMX196641 AWT196618:AWT196641 BGP196618:BGP196641 BQL196618:BQL196641 CAH196618:CAH196641 CKD196618:CKD196641 CTZ196618:CTZ196641 DDV196618:DDV196641 DNR196618:DNR196641 DXN196618:DXN196641 EHJ196618:EHJ196641 ERF196618:ERF196641 FBB196618:FBB196641 FKX196618:FKX196641 FUT196618:FUT196641 GEP196618:GEP196641 GOL196618:GOL196641 GYH196618:GYH196641 HID196618:HID196641 HRZ196618:HRZ196641 IBV196618:IBV196641 ILR196618:ILR196641 IVN196618:IVN196641 JFJ196618:JFJ196641 JPF196618:JPF196641 JZB196618:JZB196641 KIX196618:KIX196641 KST196618:KST196641 LCP196618:LCP196641 LML196618:LML196641 LWH196618:LWH196641 MGD196618:MGD196641 MPZ196618:MPZ196641 MZV196618:MZV196641 NJR196618:NJR196641 NTN196618:NTN196641 ODJ196618:ODJ196641 ONF196618:ONF196641 OXB196618:OXB196641 PGX196618:PGX196641 PQT196618:PQT196641 QAP196618:QAP196641 QKL196618:QKL196641 QUH196618:QUH196641 RED196618:RED196641 RNZ196618:RNZ196641 RXV196618:RXV196641 SHR196618:SHR196641 SRN196618:SRN196641 TBJ196618:TBJ196641 TLF196618:TLF196641 TVB196618:TVB196641 UEX196618:UEX196641 UOT196618:UOT196641 UYP196618:UYP196641 VIL196618:VIL196641 VSH196618:VSH196641 WCD196618:WCD196641 WLZ196618:WLZ196641 WVV196618:WVV196641 U262154:U262177 JJ262154:JJ262177 TF262154:TF262177 ADB262154:ADB262177 AMX262154:AMX262177 AWT262154:AWT262177 BGP262154:BGP262177 BQL262154:BQL262177 CAH262154:CAH262177 CKD262154:CKD262177 CTZ262154:CTZ262177 DDV262154:DDV262177 DNR262154:DNR262177 DXN262154:DXN262177 EHJ262154:EHJ262177 ERF262154:ERF262177 FBB262154:FBB262177 FKX262154:FKX262177 FUT262154:FUT262177 GEP262154:GEP262177 GOL262154:GOL262177 GYH262154:GYH262177 HID262154:HID262177 HRZ262154:HRZ262177 IBV262154:IBV262177 ILR262154:ILR262177 IVN262154:IVN262177 JFJ262154:JFJ262177 JPF262154:JPF262177 JZB262154:JZB262177 KIX262154:KIX262177 KST262154:KST262177 LCP262154:LCP262177 LML262154:LML262177 LWH262154:LWH262177 MGD262154:MGD262177 MPZ262154:MPZ262177 MZV262154:MZV262177 NJR262154:NJR262177 NTN262154:NTN262177 ODJ262154:ODJ262177 ONF262154:ONF262177 OXB262154:OXB262177 PGX262154:PGX262177 PQT262154:PQT262177 QAP262154:QAP262177 QKL262154:QKL262177 QUH262154:QUH262177 RED262154:RED262177 RNZ262154:RNZ262177 RXV262154:RXV262177 SHR262154:SHR262177 SRN262154:SRN262177 TBJ262154:TBJ262177 TLF262154:TLF262177 TVB262154:TVB262177 UEX262154:UEX262177 UOT262154:UOT262177 UYP262154:UYP262177 VIL262154:VIL262177 VSH262154:VSH262177 WCD262154:WCD262177 WLZ262154:WLZ262177 WVV262154:WVV262177 U327690:U327713 JJ327690:JJ327713 TF327690:TF327713 ADB327690:ADB327713 AMX327690:AMX327713 AWT327690:AWT327713 BGP327690:BGP327713 BQL327690:BQL327713 CAH327690:CAH327713 CKD327690:CKD327713 CTZ327690:CTZ327713 DDV327690:DDV327713 DNR327690:DNR327713 DXN327690:DXN327713 EHJ327690:EHJ327713 ERF327690:ERF327713 FBB327690:FBB327713 FKX327690:FKX327713 FUT327690:FUT327713 GEP327690:GEP327713 GOL327690:GOL327713 GYH327690:GYH327713 HID327690:HID327713 HRZ327690:HRZ327713 IBV327690:IBV327713 ILR327690:ILR327713 IVN327690:IVN327713 JFJ327690:JFJ327713 JPF327690:JPF327713 JZB327690:JZB327713 KIX327690:KIX327713 KST327690:KST327713 LCP327690:LCP327713 LML327690:LML327713 LWH327690:LWH327713 MGD327690:MGD327713 MPZ327690:MPZ327713 MZV327690:MZV327713 NJR327690:NJR327713 NTN327690:NTN327713 ODJ327690:ODJ327713 ONF327690:ONF327713 OXB327690:OXB327713 PGX327690:PGX327713 PQT327690:PQT327713 QAP327690:QAP327713 QKL327690:QKL327713 QUH327690:QUH327713 RED327690:RED327713 RNZ327690:RNZ327713 RXV327690:RXV327713 SHR327690:SHR327713 SRN327690:SRN327713 TBJ327690:TBJ327713 TLF327690:TLF327713 TVB327690:TVB327713 UEX327690:UEX327713 UOT327690:UOT327713 UYP327690:UYP327713 VIL327690:VIL327713 VSH327690:VSH327713 WCD327690:WCD327713 WLZ327690:WLZ327713 WVV327690:WVV327713 U393226:U393249 JJ393226:JJ393249 TF393226:TF393249 ADB393226:ADB393249 AMX393226:AMX393249 AWT393226:AWT393249 BGP393226:BGP393249 BQL393226:BQL393249 CAH393226:CAH393249 CKD393226:CKD393249 CTZ393226:CTZ393249 DDV393226:DDV393249 DNR393226:DNR393249 DXN393226:DXN393249 EHJ393226:EHJ393249 ERF393226:ERF393249 FBB393226:FBB393249 FKX393226:FKX393249 FUT393226:FUT393249 GEP393226:GEP393249 GOL393226:GOL393249 GYH393226:GYH393249 HID393226:HID393249 HRZ393226:HRZ393249 IBV393226:IBV393249 ILR393226:ILR393249 IVN393226:IVN393249 JFJ393226:JFJ393249 JPF393226:JPF393249 JZB393226:JZB393249 KIX393226:KIX393249 KST393226:KST393249 LCP393226:LCP393249 LML393226:LML393249 LWH393226:LWH393249 MGD393226:MGD393249 MPZ393226:MPZ393249 MZV393226:MZV393249 NJR393226:NJR393249 NTN393226:NTN393249 ODJ393226:ODJ393249 ONF393226:ONF393249 OXB393226:OXB393249 PGX393226:PGX393249 PQT393226:PQT393249 QAP393226:QAP393249 QKL393226:QKL393249 QUH393226:QUH393249 RED393226:RED393249 RNZ393226:RNZ393249 RXV393226:RXV393249 SHR393226:SHR393249 SRN393226:SRN393249 TBJ393226:TBJ393249 TLF393226:TLF393249 TVB393226:TVB393249 UEX393226:UEX393249 UOT393226:UOT393249 UYP393226:UYP393249 VIL393226:VIL393249 VSH393226:VSH393249 WCD393226:WCD393249 WLZ393226:WLZ393249 WVV393226:WVV393249 U458762:U458785 JJ458762:JJ458785 TF458762:TF458785 ADB458762:ADB458785 AMX458762:AMX458785 AWT458762:AWT458785 BGP458762:BGP458785 BQL458762:BQL458785 CAH458762:CAH458785 CKD458762:CKD458785 CTZ458762:CTZ458785 DDV458762:DDV458785 DNR458762:DNR458785 DXN458762:DXN458785 EHJ458762:EHJ458785 ERF458762:ERF458785 FBB458762:FBB458785 FKX458762:FKX458785 FUT458762:FUT458785 GEP458762:GEP458785 GOL458762:GOL458785 GYH458762:GYH458785 HID458762:HID458785 HRZ458762:HRZ458785 IBV458762:IBV458785 ILR458762:ILR458785 IVN458762:IVN458785 JFJ458762:JFJ458785 JPF458762:JPF458785 JZB458762:JZB458785 KIX458762:KIX458785 KST458762:KST458785 LCP458762:LCP458785 LML458762:LML458785 LWH458762:LWH458785 MGD458762:MGD458785 MPZ458762:MPZ458785 MZV458762:MZV458785 NJR458762:NJR458785 NTN458762:NTN458785 ODJ458762:ODJ458785 ONF458762:ONF458785 OXB458762:OXB458785 PGX458762:PGX458785 PQT458762:PQT458785 QAP458762:QAP458785 QKL458762:QKL458785 QUH458762:QUH458785 RED458762:RED458785 RNZ458762:RNZ458785 RXV458762:RXV458785 SHR458762:SHR458785 SRN458762:SRN458785 TBJ458762:TBJ458785 TLF458762:TLF458785 TVB458762:TVB458785 UEX458762:UEX458785 UOT458762:UOT458785 UYP458762:UYP458785 VIL458762:VIL458785 VSH458762:VSH458785 WCD458762:WCD458785 WLZ458762:WLZ458785 WVV458762:WVV458785 U524298:U524321 JJ524298:JJ524321 TF524298:TF524321 ADB524298:ADB524321 AMX524298:AMX524321 AWT524298:AWT524321 BGP524298:BGP524321 BQL524298:BQL524321 CAH524298:CAH524321 CKD524298:CKD524321 CTZ524298:CTZ524321 DDV524298:DDV524321 DNR524298:DNR524321 DXN524298:DXN524321 EHJ524298:EHJ524321 ERF524298:ERF524321 FBB524298:FBB524321 FKX524298:FKX524321 FUT524298:FUT524321 GEP524298:GEP524321 GOL524298:GOL524321 GYH524298:GYH524321 HID524298:HID524321 HRZ524298:HRZ524321 IBV524298:IBV524321 ILR524298:ILR524321 IVN524298:IVN524321 JFJ524298:JFJ524321 JPF524298:JPF524321 JZB524298:JZB524321 KIX524298:KIX524321 KST524298:KST524321 LCP524298:LCP524321 LML524298:LML524321 LWH524298:LWH524321 MGD524298:MGD524321 MPZ524298:MPZ524321 MZV524298:MZV524321 NJR524298:NJR524321 NTN524298:NTN524321 ODJ524298:ODJ524321 ONF524298:ONF524321 OXB524298:OXB524321 PGX524298:PGX524321 PQT524298:PQT524321 QAP524298:QAP524321 QKL524298:QKL524321 QUH524298:QUH524321 RED524298:RED524321 RNZ524298:RNZ524321 RXV524298:RXV524321 SHR524298:SHR524321 SRN524298:SRN524321 TBJ524298:TBJ524321 TLF524298:TLF524321 TVB524298:TVB524321 UEX524298:UEX524321 UOT524298:UOT524321 UYP524298:UYP524321 VIL524298:VIL524321 VSH524298:VSH524321 WCD524298:WCD524321 WLZ524298:WLZ524321 WVV524298:WVV524321 U589834:U589857 JJ589834:JJ589857 TF589834:TF589857 ADB589834:ADB589857 AMX589834:AMX589857 AWT589834:AWT589857 BGP589834:BGP589857 BQL589834:BQL589857 CAH589834:CAH589857 CKD589834:CKD589857 CTZ589834:CTZ589857 DDV589834:DDV589857 DNR589834:DNR589857 DXN589834:DXN589857 EHJ589834:EHJ589857 ERF589834:ERF589857 FBB589834:FBB589857 FKX589834:FKX589857 FUT589834:FUT589857 GEP589834:GEP589857 GOL589834:GOL589857 GYH589834:GYH589857 HID589834:HID589857 HRZ589834:HRZ589857 IBV589834:IBV589857 ILR589834:ILR589857 IVN589834:IVN589857 JFJ589834:JFJ589857 JPF589834:JPF589857 JZB589834:JZB589857 KIX589834:KIX589857 KST589834:KST589857 LCP589834:LCP589857 LML589834:LML589857 LWH589834:LWH589857 MGD589834:MGD589857 MPZ589834:MPZ589857 MZV589834:MZV589857 NJR589834:NJR589857 NTN589834:NTN589857 ODJ589834:ODJ589857 ONF589834:ONF589857 OXB589834:OXB589857 PGX589834:PGX589857 PQT589834:PQT589857 QAP589834:QAP589857 QKL589834:QKL589857 QUH589834:QUH589857 RED589834:RED589857 RNZ589834:RNZ589857 RXV589834:RXV589857 SHR589834:SHR589857 SRN589834:SRN589857 TBJ589834:TBJ589857 TLF589834:TLF589857 TVB589834:TVB589857 UEX589834:UEX589857 UOT589834:UOT589857 UYP589834:UYP589857 VIL589834:VIL589857 VSH589834:VSH589857 WCD589834:WCD589857 WLZ589834:WLZ589857 WVV589834:WVV589857 U655370:U655393 JJ655370:JJ655393 TF655370:TF655393 ADB655370:ADB655393 AMX655370:AMX655393 AWT655370:AWT655393 BGP655370:BGP655393 BQL655370:BQL655393 CAH655370:CAH655393 CKD655370:CKD655393 CTZ655370:CTZ655393 DDV655370:DDV655393 DNR655370:DNR655393 DXN655370:DXN655393 EHJ655370:EHJ655393 ERF655370:ERF655393 FBB655370:FBB655393 FKX655370:FKX655393 FUT655370:FUT655393 GEP655370:GEP655393 GOL655370:GOL655393 GYH655370:GYH655393 HID655370:HID655393 HRZ655370:HRZ655393 IBV655370:IBV655393 ILR655370:ILR655393 IVN655370:IVN655393 JFJ655370:JFJ655393 JPF655370:JPF655393 JZB655370:JZB655393 KIX655370:KIX655393 KST655370:KST655393 LCP655370:LCP655393 LML655370:LML655393 LWH655370:LWH655393 MGD655370:MGD655393 MPZ655370:MPZ655393 MZV655370:MZV655393 NJR655370:NJR655393 NTN655370:NTN655393 ODJ655370:ODJ655393 ONF655370:ONF655393 OXB655370:OXB655393 PGX655370:PGX655393 PQT655370:PQT655393 QAP655370:QAP655393 QKL655370:QKL655393 QUH655370:QUH655393 RED655370:RED655393 RNZ655370:RNZ655393 RXV655370:RXV655393 SHR655370:SHR655393 SRN655370:SRN655393 TBJ655370:TBJ655393 TLF655370:TLF655393 TVB655370:TVB655393 UEX655370:UEX655393 UOT655370:UOT655393 UYP655370:UYP655393 VIL655370:VIL655393 VSH655370:VSH655393 WCD655370:WCD655393 WLZ655370:WLZ655393 WVV655370:WVV655393 U720906:U720929 JJ720906:JJ720929 TF720906:TF720929 ADB720906:ADB720929 AMX720906:AMX720929 AWT720906:AWT720929 BGP720906:BGP720929 BQL720906:BQL720929 CAH720906:CAH720929 CKD720906:CKD720929 CTZ720906:CTZ720929 DDV720906:DDV720929 DNR720906:DNR720929 DXN720906:DXN720929 EHJ720906:EHJ720929 ERF720906:ERF720929 FBB720906:FBB720929 FKX720906:FKX720929 FUT720906:FUT720929 GEP720906:GEP720929 GOL720906:GOL720929 GYH720906:GYH720929 HID720906:HID720929 HRZ720906:HRZ720929 IBV720906:IBV720929 ILR720906:ILR720929 IVN720906:IVN720929 JFJ720906:JFJ720929 JPF720906:JPF720929 JZB720906:JZB720929 KIX720906:KIX720929 KST720906:KST720929 LCP720906:LCP720929 LML720906:LML720929 LWH720906:LWH720929 MGD720906:MGD720929 MPZ720906:MPZ720929 MZV720906:MZV720929 NJR720906:NJR720929 NTN720906:NTN720929 ODJ720906:ODJ720929 ONF720906:ONF720929 OXB720906:OXB720929 PGX720906:PGX720929 PQT720906:PQT720929 QAP720906:QAP720929 QKL720906:QKL720929 QUH720906:QUH720929 RED720906:RED720929 RNZ720906:RNZ720929 RXV720906:RXV720929 SHR720906:SHR720929 SRN720906:SRN720929 TBJ720906:TBJ720929 TLF720906:TLF720929 TVB720906:TVB720929 UEX720906:UEX720929 UOT720906:UOT720929 UYP720906:UYP720929 VIL720906:VIL720929 VSH720906:VSH720929 WCD720906:WCD720929 WLZ720906:WLZ720929 WVV720906:WVV720929 U786442:U786465 JJ786442:JJ786465 TF786442:TF786465 ADB786442:ADB786465 AMX786442:AMX786465 AWT786442:AWT786465 BGP786442:BGP786465 BQL786442:BQL786465 CAH786442:CAH786465 CKD786442:CKD786465 CTZ786442:CTZ786465 DDV786442:DDV786465 DNR786442:DNR786465 DXN786442:DXN786465 EHJ786442:EHJ786465 ERF786442:ERF786465 FBB786442:FBB786465 FKX786442:FKX786465 FUT786442:FUT786465 GEP786442:GEP786465 GOL786442:GOL786465 GYH786442:GYH786465 HID786442:HID786465 HRZ786442:HRZ786465 IBV786442:IBV786465 ILR786442:ILR786465 IVN786442:IVN786465 JFJ786442:JFJ786465 JPF786442:JPF786465 JZB786442:JZB786465 KIX786442:KIX786465 KST786442:KST786465 LCP786442:LCP786465 LML786442:LML786465 LWH786442:LWH786465 MGD786442:MGD786465 MPZ786442:MPZ786465 MZV786442:MZV786465 NJR786442:NJR786465 NTN786442:NTN786465 ODJ786442:ODJ786465 ONF786442:ONF786465 OXB786442:OXB786465 PGX786442:PGX786465 PQT786442:PQT786465 QAP786442:QAP786465 QKL786442:QKL786465 QUH786442:QUH786465 RED786442:RED786465 RNZ786442:RNZ786465 RXV786442:RXV786465 SHR786442:SHR786465 SRN786442:SRN786465 TBJ786442:TBJ786465 TLF786442:TLF786465 TVB786442:TVB786465 UEX786442:UEX786465 UOT786442:UOT786465 UYP786442:UYP786465 VIL786442:VIL786465 VSH786442:VSH786465 WCD786442:WCD786465 WLZ786442:WLZ786465 WVV786442:WVV786465 U851978:U852001 JJ851978:JJ852001 TF851978:TF852001 ADB851978:ADB852001 AMX851978:AMX852001 AWT851978:AWT852001 BGP851978:BGP852001 BQL851978:BQL852001 CAH851978:CAH852001 CKD851978:CKD852001 CTZ851978:CTZ852001 DDV851978:DDV852001 DNR851978:DNR852001 DXN851978:DXN852001 EHJ851978:EHJ852001 ERF851978:ERF852001 FBB851978:FBB852001 FKX851978:FKX852001 FUT851978:FUT852001 GEP851978:GEP852001 GOL851978:GOL852001 GYH851978:GYH852001 HID851978:HID852001 HRZ851978:HRZ852001 IBV851978:IBV852001 ILR851978:ILR852001 IVN851978:IVN852001 JFJ851978:JFJ852001 JPF851978:JPF852001 JZB851978:JZB852001 KIX851978:KIX852001 KST851978:KST852001 LCP851978:LCP852001 LML851978:LML852001 LWH851978:LWH852001 MGD851978:MGD852001 MPZ851978:MPZ852001 MZV851978:MZV852001 NJR851978:NJR852001 NTN851978:NTN852001 ODJ851978:ODJ852001 ONF851978:ONF852001 OXB851978:OXB852001 PGX851978:PGX852001 PQT851978:PQT852001 QAP851978:QAP852001 QKL851978:QKL852001 QUH851978:QUH852001 RED851978:RED852001 RNZ851978:RNZ852001 RXV851978:RXV852001 SHR851978:SHR852001 SRN851978:SRN852001 TBJ851978:TBJ852001 TLF851978:TLF852001 TVB851978:TVB852001 UEX851978:UEX852001 UOT851978:UOT852001 UYP851978:UYP852001 VIL851978:VIL852001 VSH851978:VSH852001 WCD851978:WCD852001 WLZ851978:WLZ852001 WVV851978:WVV852001 U917514:U917537 JJ917514:JJ917537 TF917514:TF917537 ADB917514:ADB917537 AMX917514:AMX917537 AWT917514:AWT917537 BGP917514:BGP917537 BQL917514:BQL917537 CAH917514:CAH917537 CKD917514:CKD917537 CTZ917514:CTZ917537 DDV917514:DDV917537 DNR917514:DNR917537 DXN917514:DXN917537 EHJ917514:EHJ917537 ERF917514:ERF917537 FBB917514:FBB917537 FKX917514:FKX917537 FUT917514:FUT917537 GEP917514:GEP917537 GOL917514:GOL917537 GYH917514:GYH917537 HID917514:HID917537 HRZ917514:HRZ917537 IBV917514:IBV917537 ILR917514:ILR917537 IVN917514:IVN917537 JFJ917514:JFJ917537 JPF917514:JPF917537 JZB917514:JZB917537 KIX917514:KIX917537 KST917514:KST917537 LCP917514:LCP917537 LML917514:LML917537 LWH917514:LWH917537 MGD917514:MGD917537 MPZ917514:MPZ917537 MZV917514:MZV917537 NJR917514:NJR917537 NTN917514:NTN917537 ODJ917514:ODJ917537 ONF917514:ONF917537 OXB917514:OXB917537 PGX917514:PGX917537 PQT917514:PQT917537 QAP917514:QAP917537 QKL917514:QKL917537 QUH917514:QUH917537 RED917514:RED917537 RNZ917514:RNZ917537 RXV917514:RXV917537 SHR917514:SHR917537 SRN917514:SRN917537 TBJ917514:TBJ917537 TLF917514:TLF917537 TVB917514:TVB917537 UEX917514:UEX917537 UOT917514:UOT917537 UYP917514:UYP917537 VIL917514:VIL917537 VSH917514:VSH917537 WCD917514:WCD917537 WLZ917514:WLZ917537 WVV917514:WVV917537 U983050:U983073 JJ983050:JJ983073 TF983050:TF983073 ADB983050:ADB983073 AMX983050:AMX983073 AWT983050:AWT983073 BGP983050:BGP983073 BQL983050:BQL983073 CAH983050:CAH983073 CKD983050:CKD983073 CTZ983050:CTZ983073 DDV983050:DDV983073 DNR983050:DNR983073 DXN983050:DXN983073 EHJ983050:EHJ983073 ERF983050:ERF983073 FBB983050:FBB983073 FKX983050:FKX983073 FUT983050:FUT983073 GEP983050:GEP983073 GOL983050:GOL983073 GYH983050:GYH983073 HID983050:HID983073 HRZ983050:HRZ983073 IBV983050:IBV983073 ILR983050:ILR983073 IVN983050:IVN983073 JFJ983050:JFJ983073 JPF983050:JPF983073 JZB983050:JZB983073 KIX983050:KIX983073 KST983050:KST983073 LCP983050:LCP983073 LML983050:LML983073 LWH983050:LWH983073 MGD983050:MGD983073 MPZ983050:MPZ983073 MZV983050:MZV983073 NJR983050:NJR983073 NTN983050:NTN983073 ODJ983050:ODJ983073 ONF983050:ONF983073 OXB983050:OXB983073 PGX983050:PGX983073 PQT983050:PQT983073 QAP983050:QAP983073 QKL983050:QKL983073 QUH983050:QUH983073 RED983050:RED983073 RNZ983050:RNZ983073 RXV983050:RXV983073 SHR983050:SHR983073 SRN983050:SRN983073 TBJ983050:TBJ983073 TLF983050:TLF983073 TVB983050:TVB983073 UEX983050:UEX983073 UOT983050:UOT983073 UYP983050:UYP983073 VIL983050:VIL983073 VSH983050:VSH983073 WCD983050:WCD983073 WLZ983050:WLZ983073 WVV983050:WVV983073 JL65546:JL65569 TH65546:TH65569 ADD65546:ADD65569 AMZ65546:AMZ65569 AWV65546:AWV65569 BGR65546:BGR65569 BQN65546:BQN65569 CAJ65546:CAJ65569 CKF65546:CKF65569 CUB65546:CUB65569 DDX65546:DDX65569 DNT65546:DNT65569 DXP65546:DXP65569 EHL65546:EHL65569 ERH65546:ERH65569 FBD65546:FBD65569 FKZ65546:FKZ65569 FUV65546:FUV65569 GER65546:GER65569 GON65546:GON65569 GYJ65546:GYJ65569 HIF65546:HIF65569 HSB65546:HSB65569 IBX65546:IBX65569 ILT65546:ILT65569 IVP65546:IVP65569 JFL65546:JFL65569 JPH65546:JPH65569 JZD65546:JZD65569 KIZ65546:KIZ65569 KSV65546:KSV65569 LCR65546:LCR65569 LMN65546:LMN65569 LWJ65546:LWJ65569 MGF65546:MGF65569 MQB65546:MQB65569 MZX65546:MZX65569 NJT65546:NJT65569 NTP65546:NTP65569 ODL65546:ODL65569 ONH65546:ONH65569 OXD65546:OXD65569 PGZ65546:PGZ65569 PQV65546:PQV65569 QAR65546:QAR65569 QKN65546:QKN65569 QUJ65546:QUJ65569 REF65546:REF65569 ROB65546:ROB65569 RXX65546:RXX65569 SHT65546:SHT65569 SRP65546:SRP65569 TBL65546:TBL65569 TLH65546:TLH65569 TVD65546:TVD65569 UEZ65546:UEZ65569 UOV65546:UOV65569 UYR65546:UYR65569 VIN65546:VIN65569 VSJ65546:VSJ65569 WCF65546:WCF65569 WMB65546:WMB65569 WVX65546:WVX65569 JL131082:JL131105 TH131082:TH131105 ADD131082:ADD131105 AMZ131082:AMZ131105 AWV131082:AWV131105 BGR131082:BGR131105 BQN131082:BQN131105 CAJ131082:CAJ131105 CKF131082:CKF131105 CUB131082:CUB131105 DDX131082:DDX131105 DNT131082:DNT131105 DXP131082:DXP131105 EHL131082:EHL131105 ERH131082:ERH131105 FBD131082:FBD131105 FKZ131082:FKZ131105 FUV131082:FUV131105 GER131082:GER131105 GON131082:GON131105 GYJ131082:GYJ131105 HIF131082:HIF131105 HSB131082:HSB131105 IBX131082:IBX131105 ILT131082:ILT131105 IVP131082:IVP131105 JFL131082:JFL131105 JPH131082:JPH131105 JZD131082:JZD131105 KIZ131082:KIZ131105 KSV131082:KSV131105 LCR131082:LCR131105 LMN131082:LMN131105 LWJ131082:LWJ131105 MGF131082:MGF131105 MQB131082:MQB131105 MZX131082:MZX131105 NJT131082:NJT131105 NTP131082:NTP131105 ODL131082:ODL131105 ONH131082:ONH131105 OXD131082:OXD131105 PGZ131082:PGZ131105 PQV131082:PQV131105 QAR131082:QAR131105 QKN131082:QKN131105 QUJ131082:QUJ131105 REF131082:REF131105 ROB131082:ROB131105 RXX131082:RXX131105 SHT131082:SHT131105 SRP131082:SRP131105 TBL131082:TBL131105 TLH131082:TLH131105 TVD131082:TVD131105 UEZ131082:UEZ131105 UOV131082:UOV131105 UYR131082:UYR131105 VIN131082:VIN131105 VSJ131082:VSJ131105 WCF131082:WCF131105 WMB131082:WMB131105 WVX131082:WVX131105 JL196618:JL196641 TH196618:TH196641 ADD196618:ADD196641 AMZ196618:AMZ196641 AWV196618:AWV196641 BGR196618:BGR196641 BQN196618:BQN196641 CAJ196618:CAJ196641 CKF196618:CKF196641 CUB196618:CUB196641 DDX196618:DDX196641 DNT196618:DNT196641 DXP196618:DXP196641 EHL196618:EHL196641 ERH196618:ERH196641 FBD196618:FBD196641 FKZ196618:FKZ196641 FUV196618:FUV196641 GER196618:GER196641 GON196618:GON196641 GYJ196618:GYJ196641 HIF196618:HIF196641 HSB196618:HSB196641 IBX196618:IBX196641 ILT196618:ILT196641 IVP196618:IVP196641 JFL196618:JFL196641 JPH196618:JPH196641 JZD196618:JZD196641 KIZ196618:KIZ196641 KSV196618:KSV196641 LCR196618:LCR196641 LMN196618:LMN196641 LWJ196618:LWJ196641 MGF196618:MGF196641 MQB196618:MQB196641 MZX196618:MZX196641 NJT196618:NJT196641 NTP196618:NTP196641 ODL196618:ODL196641 ONH196618:ONH196641 OXD196618:OXD196641 PGZ196618:PGZ196641 PQV196618:PQV196641 QAR196618:QAR196641 QKN196618:QKN196641 QUJ196618:QUJ196641 REF196618:REF196641 ROB196618:ROB196641 RXX196618:RXX196641 SHT196618:SHT196641 SRP196618:SRP196641 TBL196618:TBL196641 TLH196618:TLH196641 TVD196618:TVD196641 UEZ196618:UEZ196641 UOV196618:UOV196641 UYR196618:UYR196641 VIN196618:VIN196641 VSJ196618:VSJ196641 WCF196618:WCF196641 WMB196618:WMB196641 WVX196618:WVX196641 JL262154:JL262177 TH262154:TH262177 ADD262154:ADD262177 AMZ262154:AMZ262177 AWV262154:AWV262177 BGR262154:BGR262177 BQN262154:BQN262177 CAJ262154:CAJ262177 CKF262154:CKF262177 CUB262154:CUB262177 DDX262154:DDX262177 DNT262154:DNT262177 DXP262154:DXP262177 EHL262154:EHL262177 ERH262154:ERH262177 FBD262154:FBD262177 FKZ262154:FKZ262177 FUV262154:FUV262177 GER262154:GER262177 GON262154:GON262177 GYJ262154:GYJ262177 HIF262154:HIF262177 HSB262154:HSB262177 IBX262154:IBX262177 ILT262154:ILT262177 IVP262154:IVP262177 JFL262154:JFL262177 JPH262154:JPH262177 JZD262154:JZD262177 KIZ262154:KIZ262177 KSV262154:KSV262177 LCR262154:LCR262177 LMN262154:LMN262177 LWJ262154:LWJ262177 MGF262154:MGF262177 MQB262154:MQB262177 MZX262154:MZX262177 NJT262154:NJT262177 NTP262154:NTP262177 ODL262154:ODL262177 ONH262154:ONH262177 OXD262154:OXD262177 PGZ262154:PGZ262177 PQV262154:PQV262177 QAR262154:QAR262177 QKN262154:QKN262177 QUJ262154:QUJ262177 REF262154:REF262177 ROB262154:ROB262177 RXX262154:RXX262177 SHT262154:SHT262177 SRP262154:SRP262177 TBL262154:TBL262177 TLH262154:TLH262177 TVD262154:TVD262177 UEZ262154:UEZ262177 UOV262154:UOV262177 UYR262154:UYR262177 VIN262154:VIN262177 VSJ262154:VSJ262177 WCF262154:WCF262177 WMB262154:WMB262177 WVX262154:WVX262177 JL327690:JL327713 TH327690:TH327713 ADD327690:ADD327713 AMZ327690:AMZ327713 AWV327690:AWV327713 BGR327690:BGR327713 BQN327690:BQN327713 CAJ327690:CAJ327713 CKF327690:CKF327713 CUB327690:CUB327713 DDX327690:DDX327713 DNT327690:DNT327713 DXP327690:DXP327713 EHL327690:EHL327713 ERH327690:ERH327713 FBD327690:FBD327713 FKZ327690:FKZ327713 FUV327690:FUV327713 GER327690:GER327713 GON327690:GON327713 GYJ327690:GYJ327713 HIF327690:HIF327713 HSB327690:HSB327713 IBX327690:IBX327713 ILT327690:ILT327713 IVP327690:IVP327713 JFL327690:JFL327713 JPH327690:JPH327713 JZD327690:JZD327713 KIZ327690:KIZ327713 KSV327690:KSV327713 LCR327690:LCR327713 LMN327690:LMN327713 LWJ327690:LWJ327713 MGF327690:MGF327713 MQB327690:MQB327713 MZX327690:MZX327713 NJT327690:NJT327713 NTP327690:NTP327713 ODL327690:ODL327713 ONH327690:ONH327713 OXD327690:OXD327713 PGZ327690:PGZ327713 PQV327690:PQV327713 QAR327690:QAR327713 QKN327690:QKN327713 QUJ327690:QUJ327713 REF327690:REF327713 ROB327690:ROB327713 RXX327690:RXX327713 SHT327690:SHT327713 SRP327690:SRP327713 TBL327690:TBL327713 TLH327690:TLH327713 TVD327690:TVD327713 UEZ327690:UEZ327713 UOV327690:UOV327713 UYR327690:UYR327713 VIN327690:VIN327713 VSJ327690:VSJ327713 WCF327690:WCF327713 WMB327690:WMB327713 WVX327690:WVX327713 JL393226:JL393249 TH393226:TH393249 ADD393226:ADD393249 AMZ393226:AMZ393249 AWV393226:AWV393249 BGR393226:BGR393249 BQN393226:BQN393249 CAJ393226:CAJ393249 CKF393226:CKF393249 CUB393226:CUB393249 DDX393226:DDX393249 DNT393226:DNT393249 DXP393226:DXP393249 EHL393226:EHL393249 ERH393226:ERH393249 FBD393226:FBD393249 FKZ393226:FKZ393249 FUV393226:FUV393249 GER393226:GER393249 GON393226:GON393249 GYJ393226:GYJ393249 HIF393226:HIF393249 HSB393226:HSB393249 IBX393226:IBX393249 ILT393226:ILT393249 IVP393226:IVP393249 JFL393226:JFL393249 JPH393226:JPH393249 JZD393226:JZD393249 KIZ393226:KIZ393249 KSV393226:KSV393249 LCR393226:LCR393249 LMN393226:LMN393249 LWJ393226:LWJ393249 MGF393226:MGF393249 MQB393226:MQB393249 MZX393226:MZX393249 NJT393226:NJT393249 NTP393226:NTP393249 ODL393226:ODL393249 ONH393226:ONH393249 OXD393226:OXD393249 PGZ393226:PGZ393249 PQV393226:PQV393249 QAR393226:QAR393249 QKN393226:QKN393249 QUJ393226:QUJ393249 REF393226:REF393249 ROB393226:ROB393249 RXX393226:RXX393249 SHT393226:SHT393249 SRP393226:SRP393249 TBL393226:TBL393249 TLH393226:TLH393249 TVD393226:TVD393249 UEZ393226:UEZ393249 UOV393226:UOV393249 UYR393226:UYR393249 VIN393226:VIN393249 VSJ393226:VSJ393249 WCF393226:WCF393249 WMB393226:WMB393249 WVX393226:WVX393249 JL458762:JL458785 TH458762:TH458785 ADD458762:ADD458785 AMZ458762:AMZ458785 AWV458762:AWV458785 BGR458762:BGR458785 BQN458762:BQN458785 CAJ458762:CAJ458785 CKF458762:CKF458785 CUB458762:CUB458785 DDX458762:DDX458785 DNT458762:DNT458785 DXP458762:DXP458785 EHL458762:EHL458785 ERH458762:ERH458785 FBD458762:FBD458785 FKZ458762:FKZ458785 FUV458762:FUV458785 GER458762:GER458785 GON458762:GON458785 GYJ458762:GYJ458785 HIF458762:HIF458785 HSB458762:HSB458785 IBX458762:IBX458785 ILT458762:ILT458785 IVP458762:IVP458785 JFL458762:JFL458785 JPH458762:JPH458785 JZD458762:JZD458785 KIZ458762:KIZ458785 KSV458762:KSV458785 LCR458762:LCR458785 LMN458762:LMN458785 LWJ458762:LWJ458785 MGF458762:MGF458785 MQB458762:MQB458785 MZX458762:MZX458785 NJT458762:NJT458785 NTP458762:NTP458785 ODL458762:ODL458785 ONH458762:ONH458785 OXD458762:OXD458785 PGZ458762:PGZ458785 PQV458762:PQV458785 QAR458762:QAR458785 QKN458762:QKN458785 QUJ458762:QUJ458785 REF458762:REF458785 ROB458762:ROB458785 RXX458762:RXX458785 SHT458762:SHT458785 SRP458762:SRP458785 TBL458762:TBL458785 TLH458762:TLH458785 TVD458762:TVD458785 UEZ458762:UEZ458785 UOV458762:UOV458785 UYR458762:UYR458785 VIN458762:VIN458785 VSJ458762:VSJ458785 WCF458762:WCF458785 WMB458762:WMB458785 WVX458762:WVX458785 JL524298:JL524321 TH524298:TH524321 ADD524298:ADD524321 AMZ524298:AMZ524321 AWV524298:AWV524321 BGR524298:BGR524321 BQN524298:BQN524321 CAJ524298:CAJ524321 CKF524298:CKF524321 CUB524298:CUB524321 DDX524298:DDX524321 DNT524298:DNT524321 DXP524298:DXP524321 EHL524298:EHL524321 ERH524298:ERH524321 FBD524298:FBD524321 FKZ524298:FKZ524321 FUV524298:FUV524321 GER524298:GER524321 GON524298:GON524321 GYJ524298:GYJ524321 HIF524298:HIF524321 HSB524298:HSB524321 IBX524298:IBX524321 ILT524298:ILT524321 IVP524298:IVP524321 JFL524298:JFL524321 JPH524298:JPH524321 JZD524298:JZD524321 KIZ524298:KIZ524321 KSV524298:KSV524321 LCR524298:LCR524321 LMN524298:LMN524321 LWJ524298:LWJ524321 MGF524298:MGF524321 MQB524298:MQB524321 MZX524298:MZX524321 NJT524298:NJT524321 NTP524298:NTP524321 ODL524298:ODL524321 ONH524298:ONH524321 OXD524298:OXD524321 PGZ524298:PGZ524321 PQV524298:PQV524321 QAR524298:QAR524321 QKN524298:QKN524321 QUJ524298:QUJ524321 REF524298:REF524321 ROB524298:ROB524321 RXX524298:RXX524321 SHT524298:SHT524321 SRP524298:SRP524321 TBL524298:TBL524321 TLH524298:TLH524321 TVD524298:TVD524321 UEZ524298:UEZ524321 UOV524298:UOV524321 UYR524298:UYR524321 VIN524298:VIN524321 VSJ524298:VSJ524321 WCF524298:WCF524321 WMB524298:WMB524321 WVX524298:WVX524321 JL589834:JL589857 TH589834:TH589857 ADD589834:ADD589857 AMZ589834:AMZ589857 AWV589834:AWV589857 BGR589834:BGR589857 BQN589834:BQN589857 CAJ589834:CAJ589857 CKF589834:CKF589857 CUB589834:CUB589857 DDX589834:DDX589857 DNT589834:DNT589857 DXP589834:DXP589857 EHL589834:EHL589857 ERH589834:ERH589857 FBD589834:FBD589857 FKZ589834:FKZ589857 FUV589834:FUV589857 GER589834:GER589857 GON589834:GON589857 GYJ589834:GYJ589857 HIF589834:HIF589857 HSB589834:HSB589857 IBX589834:IBX589857 ILT589834:ILT589857 IVP589834:IVP589857 JFL589834:JFL589857 JPH589834:JPH589857 JZD589834:JZD589857 KIZ589834:KIZ589857 KSV589834:KSV589857 LCR589834:LCR589857 LMN589834:LMN589857 LWJ589834:LWJ589857 MGF589834:MGF589857 MQB589834:MQB589857 MZX589834:MZX589857 NJT589834:NJT589857 NTP589834:NTP589857 ODL589834:ODL589857 ONH589834:ONH589857 OXD589834:OXD589857 PGZ589834:PGZ589857 PQV589834:PQV589857 QAR589834:QAR589857 QKN589834:QKN589857 QUJ589834:QUJ589857 REF589834:REF589857 ROB589834:ROB589857 RXX589834:RXX589857 SHT589834:SHT589857 SRP589834:SRP589857 TBL589834:TBL589857 TLH589834:TLH589857 TVD589834:TVD589857 UEZ589834:UEZ589857 UOV589834:UOV589857 UYR589834:UYR589857 VIN589834:VIN589857 VSJ589834:VSJ589857 WCF589834:WCF589857 WMB589834:WMB589857 WVX589834:WVX589857 JL655370:JL655393 TH655370:TH655393 ADD655370:ADD655393 AMZ655370:AMZ655393 AWV655370:AWV655393 BGR655370:BGR655393 BQN655370:BQN655393 CAJ655370:CAJ655393 CKF655370:CKF655393 CUB655370:CUB655393 DDX655370:DDX655393 DNT655370:DNT655393 DXP655370:DXP655393 EHL655370:EHL655393 ERH655370:ERH655393 FBD655370:FBD655393 FKZ655370:FKZ655393 FUV655370:FUV655393 GER655370:GER655393 GON655370:GON655393 GYJ655370:GYJ655393 HIF655370:HIF655393 HSB655370:HSB655393 IBX655370:IBX655393 ILT655370:ILT655393 IVP655370:IVP655393 JFL655370:JFL655393 JPH655370:JPH655393 JZD655370:JZD655393 KIZ655370:KIZ655393 KSV655370:KSV655393 LCR655370:LCR655393 LMN655370:LMN655393 LWJ655370:LWJ655393 MGF655370:MGF655393 MQB655370:MQB655393 MZX655370:MZX655393 NJT655370:NJT655393 NTP655370:NTP655393 ODL655370:ODL655393 ONH655370:ONH655393 OXD655370:OXD655393 PGZ655370:PGZ655393 PQV655370:PQV655393 QAR655370:QAR655393 QKN655370:QKN655393 QUJ655370:QUJ655393 REF655370:REF655393 ROB655370:ROB655393 RXX655370:RXX655393 SHT655370:SHT655393 SRP655370:SRP655393 TBL655370:TBL655393 TLH655370:TLH655393 TVD655370:TVD655393 UEZ655370:UEZ655393 UOV655370:UOV655393 UYR655370:UYR655393 VIN655370:VIN655393 VSJ655370:VSJ655393 WCF655370:WCF655393 WMB655370:WMB655393 WVX655370:WVX655393 JL720906:JL720929 TH720906:TH720929 ADD720906:ADD720929 AMZ720906:AMZ720929 AWV720906:AWV720929 BGR720906:BGR720929 BQN720906:BQN720929 CAJ720906:CAJ720929 CKF720906:CKF720929 CUB720906:CUB720929 DDX720906:DDX720929 DNT720906:DNT720929 DXP720906:DXP720929 EHL720906:EHL720929 ERH720906:ERH720929 FBD720906:FBD720929 FKZ720906:FKZ720929 FUV720906:FUV720929 GER720906:GER720929 GON720906:GON720929 GYJ720906:GYJ720929 HIF720906:HIF720929 HSB720906:HSB720929 IBX720906:IBX720929 ILT720906:ILT720929 IVP720906:IVP720929 JFL720906:JFL720929 JPH720906:JPH720929 JZD720906:JZD720929 KIZ720906:KIZ720929 KSV720906:KSV720929 LCR720906:LCR720929 LMN720906:LMN720929 LWJ720906:LWJ720929 MGF720906:MGF720929 MQB720906:MQB720929 MZX720906:MZX720929 NJT720906:NJT720929 NTP720906:NTP720929 ODL720906:ODL720929 ONH720906:ONH720929 OXD720906:OXD720929 PGZ720906:PGZ720929 PQV720906:PQV720929 QAR720906:QAR720929 QKN720906:QKN720929 QUJ720906:QUJ720929 REF720906:REF720929 ROB720906:ROB720929 RXX720906:RXX720929 SHT720906:SHT720929 SRP720906:SRP720929 TBL720906:TBL720929 TLH720906:TLH720929 TVD720906:TVD720929 UEZ720906:UEZ720929 UOV720906:UOV720929 UYR720906:UYR720929 VIN720906:VIN720929 VSJ720906:VSJ720929 WCF720906:WCF720929 WMB720906:WMB720929 WVX720906:WVX720929 JL786442:JL786465 TH786442:TH786465 ADD786442:ADD786465 AMZ786442:AMZ786465 AWV786442:AWV786465 BGR786442:BGR786465 BQN786442:BQN786465 CAJ786442:CAJ786465 CKF786442:CKF786465 CUB786442:CUB786465 DDX786442:DDX786465 DNT786442:DNT786465 DXP786442:DXP786465 EHL786442:EHL786465 ERH786442:ERH786465 FBD786442:FBD786465 FKZ786442:FKZ786465 FUV786442:FUV786465 GER786442:GER786465 GON786442:GON786465 GYJ786442:GYJ786465 HIF786442:HIF786465 HSB786442:HSB786465 IBX786442:IBX786465 ILT786442:ILT786465 IVP786442:IVP786465 JFL786442:JFL786465 JPH786442:JPH786465 JZD786442:JZD786465 KIZ786442:KIZ786465 KSV786442:KSV786465 LCR786442:LCR786465 LMN786442:LMN786465 LWJ786442:LWJ786465 MGF786442:MGF786465 MQB786442:MQB786465 MZX786442:MZX786465 NJT786442:NJT786465 NTP786442:NTP786465 ODL786442:ODL786465 ONH786442:ONH786465 OXD786442:OXD786465 PGZ786442:PGZ786465 PQV786442:PQV786465 QAR786442:QAR786465 QKN786442:QKN786465 QUJ786442:QUJ786465 REF786442:REF786465 ROB786442:ROB786465 RXX786442:RXX786465 SHT786442:SHT786465 SRP786442:SRP786465 TBL786442:TBL786465 TLH786442:TLH786465 TVD786442:TVD786465 UEZ786442:UEZ786465 UOV786442:UOV786465 UYR786442:UYR786465 VIN786442:VIN786465 VSJ786442:VSJ786465 WCF786442:WCF786465 WMB786442:WMB786465 WVX786442:WVX786465 JL851978:JL852001 TH851978:TH852001 ADD851978:ADD852001 AMZ851978:AMZ852001 AWV851978:AWV852001 BGR851978:BGR852001 BQN851978:BQN852001 CAJ851978:CAJ852001 CKF851978:CKF852001 CUB851978:CUB852001 DDX851978:DDX852001 DNT851978:DNT852001 DXP851978:DXP852001 EHL851978:EHL852001 ERH851978:ERH852001 FBD851978:FBD852001 FKZ851978:FKZ852001 FUV851978:FUV852001 GER851978:GER852001 GON851978:GON852001 GYJ851978:GYJ852001 HIF851978:HIF852001 HSB851978:HSB852001 IBX851978:IBX852001 ILT851978:ILT852001 IVP851978:IVP852001 JFL851978:JFL852001 JPH851978:JPH852001 JZD851978:JZD852001 KIZ851978:KIZ852001 KSV851978:KSV852001 LCR851978:LCR852001 LMN851978:LMN852001 LWJ851978:LWJ852001 MGF851978:MGF852001 MQB851978:MQB852001 MZX851978:MZX852001 NJT851978:NJT852001 NTP851978:NTP852001 ODL851978:ODL852001 ONH851978:ONH852001 OXD851978:OXD852001 PGZ851978:PGZ852001 PQV851978:PQV852001 QAR851978:QAR852001 QKN851978:QKN852001 QUJ851978:QUJ852001 REF851978:REF852001 ROB851978:ROB852001 RXX851978:RXX852001 SHT851978:SHT852001 SRP851978:SRP852001 TBL851978:TBL852001 TLH851978:TLH852001 TVD851978:TVD852001 UEZ851978:UEZ852001 UOV851978:UOV852001 UYR851978:UYR852001 VIN851978:VIN852001 VSJ851978:VSJ852001 WCF851978:WCF852001 WMB851978:WMB852001 WVX851978:WVX852001 JL917514:JL917537 TH917514:TH917537 ADD917514:ADD917537 AMZ917514:AMZ917537 AWV917514:AWV917537 BGR917514:BGR917537 BQN917514:BQN917537 CAJ917514:CAJ917537 CKF917514:CKF917537 CUB917514:CUB917537 DDX917514:DDX917537 DNT917514:DNT917537 DXP917514:DXP917537 EHL917514:EHL917537 ERH917514:ERH917537 FBD917514:FBD917537 FKZ917514:FKZ917537 FUV917514:FUV917537 GER917514:GER917537 GON917514:GON917537 GYJ917514:GYJ917537 HIF917514:HIF917537 HSB917514:HSB917537 IBX917514:IBX917537 ILT917514:ILT917537 IVP917514:IVP917537 JFL917514:JFL917537 JPH917514:JPH917537 JZD917514:JZD917537 KIZ917514:KIZ917537 KSV917514:KSV917537 LCR917514:LCR917537 LMN917514:LMN917537 LWJ917514:LWJ917537 MGF917514:MGF917537 MQB917514:MQB917537 MZX917514:MZX917537 NJT917514:NJT917537 NTP917514:NTP917537 ODL917514:ODL917537 ONH917514:ONH917537 OXD917514:OXD917537 PGZ917514:PGZ917537 PQV917514:PQV917537 QAR917514:QAR917537 QKN917514:QKN917537 QUJ917514:QUJ917537 REF917514:REF917537 ROB917514:ROB917537 RXX917514:RXX917537 SHT917514:SHT917537 SRP917514:SRP917537 TBL917514:TBL917537 TLH917514:TLH917537 TVD917514:TVD917537 UEZ917514:UEZ917537 UOV917514:UOV917537 UYR917514:UYR917537 VIN917514:VIN917537 VSJ917514:VSJ917537 WCF917514:WCF917537 WMB917514:WMB917537 WVX917514:WVX917537 JL983050:JL983073 TH983050:TH983073 ADD983050:ADD983073 AMZ983050:AMZ983073 AWV983050:AWV983073 BGR983050:BGR983073 BQN983050:BQN983073 CAJ983050:CAJ983073 CKF983050:CKF983073 CUB983050:CUB983073 DDX983050:DDX983073 DNT983050:DNT983073 DXP983050:DXP983073 EHL983050:EHL983073 ERH983050:ERH983073 FBD983050:FBD983073 FKZ983050:FKZ983073 FUV983050:FUV983073 GER983050:GER983073 GON983050:GON983073 GYJ983050:GYJ983073 HIF983050:HIF983073 HSB983050:HSB983073 IBX983050:IBX983073 ILT983050:ILT983073 IVP983050:IVP983073 JFL983050:JFL983073 JPH983050:JPH983073 JZD983050:JZD983073 KIZ983050:KIZ983073 KSV983050:KSV983073 LCR983050:LCR983073 LMN983050:LMN983073 LWJ983050:LWJ983073 MGF983050:MGF983073 MQB983050:MQB983073 MZX983050:MZX983073 NJT983050:NJT983073 NTP983050:NTP983073 ODL983050:ODL983073 ONH983050:ONH983073 OXD983050:OXD983073 PGZ983050:PGZ983073 PQV983050:PQV983073 QAR983050:QAR983073 QKN983050:QKN983073 QUJ983050:QUJ983073 REF983050:REF983073 ROB983050:ROB983073 RXX983050:RXX983073 SHT983050:SHT983073 SRP983050:SRP983073 TBL983050:TBL983073 TLH983050:TLH983073 TVD983050:TVD983073 UEZ983050:UEZ983073 UOV983050:UOV983073 UYR983050:UYR983073 VIN983050:VIN983073 VSJ983050:VSJ983073 WCF983050:WCF983073 WMB983050:WMB983073 SQ11:SQ23 IU11:IU23 WVI11:WVI23 WLM11:WLM23 WBQ11:WBQ23 VRU11:VRU23 VHY11:VHY23 UYC11:UYC23 UOG11:UOG23 UEK11:UEK23 TUO11:TUO23 TKS11:TKS23 TAW11:TAW23 SRA11:SRA23 SHE11:SHE23 RXI11:RXI23 RNM11:RNM23 RDQ11:RDQ23 QTU11:QTU23 QJY11:QJY23 QAC11:QAC23 PQG11:PQG23 PGK11:PGK23 OWO11:OWO23 OMS11:OMS23 OCW11:OCW23 NTA11:NTA23 NJE11:NJE23 MZI11:MZI23 MPM11:MPM23 MFQ11:MFQ23 LVU11:LVU23 LLY11:LLY23 LCC11:LCC23 KSG11:KSG23 KIK11:KIK23 JYO11:JYO23 JOS11:JOS23 JEW11:JEW23 IVA11:IVA23 ILE11:ILE23 IBI11:IBI23 HRM11:HRM23 HHQ11:HHQ23 GXU11:GXU23 GNY11:GNY23 GEC11:GEC23 FUG11:FUG23 FKK11:FKK23 FAO11:FAO23 EQS11:EQS23 EGW11:EGW23 DXA11:DXA23 DNE11:DNE23 DDI11:DDI23 CTM11:CTM23 CJQ11:CJQ23 BZU11:BZU23 BPY11:BPY23 BGC11:BGC23 AWG11:AWG23 AMK11:AMK23 ACO11:ACO23 SS11:SS23 IW11:IW23 WVG11:WVG23 WLK11:WLK23 WBO11:WBO23 VRS11:VRS23 VHW11:VHW23 UYA11:UYA23 UOE11:UOE23 UEI11:UEI23 TUM11:TUM23 TKQ11:TKQ23 TAU11:TAU23 SQY11:SQY23 SHC11:SHC23 RXG11:RXG23 RNK11:RNK23 RDO11:RDO23 QTS11:QTS23 QJW11:QJW23 QAA11:QAA23 PQE11:PQE23 PGI11:PGI23 OWM11:OWM23 OMQ11:OMQ23 OCU11:OCU23 NSY11:NSY23 NJC11:NJC23 MZG11:MZG23 MPK11:MPK23 MFO11:MFO23 LVS11:LVS23 LLW11:LLW23 LCA11:LCA23 KSE11:KSE23 KII11:KII23 JYM11:JYM23 JOQ11:JOQ23 JEU11:JEU23 IUY11:IUY23 ILC11:ILC23 IBG11:IBG23 HRK11:HRK23 HHO11:HHO23 GXS11:GXS23 GNW11:GNW23 GEA11:GEA23 FUE11:FUE23 FKI11:FKI23 FAM11:FAM23 EQQ11:EQQ23 EGU11:EGU23 DWY11:DWY23 DNC11:DNC23 DDG11:DDG23 CTK11:CTK23 CJO11:CJO23 BZS11:BZS23 BPW11:BPW23 BGA11:BGA23 AWE11:AWE23 AMI11:AMI23 ACM11:ACM23 U11:U34 W11:W34" xr:uid="{00000000-0002-0000-0500-000001000000}">
      <formula1>"1,2,3,4"</formula1>
    </dataValidation>
  </dataValidations>
  <pageMargins left="0" right="0" top="0.39370078740157483" bottom="0.59055118110236227" header="0.51181102362204722" footer="0.39370078740157483"/>
  <pageSetup paperSize="9" scale="82" fitToHeight="0" orientation="landscape" r:id="rId1"/>
  <headerFooter alignWithMargins="0">
    <oddFooter>第 &amp;P 頁，共 &amp;N 頁</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7">
    <tabColor rgb="FFFF0000"/>
    <pageSetUpPr fitToPage="1"/>
  </sheetPr>
  <dimension ref="A1:Z39"/>
  <sheetViews>
    <sheetView topLeftCell="M16" zoomScale="97" zoomScaleNormal="97" workbookViewId="0">
      <selection activeCell="N7" sqref="N7:P7"/>
    </sheetView>
  </sheetViews>
  <sheetFormatPr defaultRowHeight="15.5"/>
  <cols>
    <col min="1" max="1" width="7.7265625" style="35" hidden="1" customWidth="1"/>
    <col min="2" max="2" width="11.90625" style="35" hidden="1" customWidth="1"/>
    <col min="3" max="4" width="9.7265625" style="35" hidden="1" customWidth="1"/>
    <col min="5" max="5" width="5.7265625" style="35" hidden="1" customWidth="1"/>
    <col min="6" max="6" width="7.7265625" style="35" hidden="1" customWidth="1"/>
    <col min="7" max="7" width="3.08984375" style="35" hidden="1" customWidth="1"/>
    <col min="8" max="8" width="2.26953125" style="35" hidden="1" customWidth="1"/>
    <col min="9" max="9" width="3.08984375" style="35" hidden="1" customWidth="1"/>
    <col min="10" max="10" width="5.26953125" style="35" hidden="1" customWidth="1"/>
    <col min="11" max="11" width="9.7265625" style="35" hidden="1" customWidth="1"/>
    <col min="12" max="12" width="5.7265625" style="35" hidden="1" customWidth="1"/>
    <col min="13" max="13" width="21.08984375" style="6" customWidth="1"/>
    <col min="14" max="14" width="8.90625" style="6" customWidth="1"/>
    <col min="15" max="15" width="11.36328125" style="6" customWidth="1"/>
    <col min="16" max="16" width="8.90625" style="6" customWidth="1"/>
    <col min="17" max="17" width="8.90625" style="36" customWidth="1"/>
    <col min="18" max="18" width="16.90625" style="6" customWidth="1"/>
    <col min="19" max="19" width="16.90625" style="36" customWidth="1"/>
    <col min="20" max="20" width="10" style="6" customWidth="1"/>
    <col min="21" max="21" width="10" style="36" customWidth="1"/>
    <col min="22" max="22" width="17.7265625" style="6" customWidth="1"/>
    <col min="23" max="23" width="10" style="6" customWidth="1"/>
    <col min="24" max="24" width="17.7265625" style="6" customWidth="1"/>
    <col min="25" max="25" width="10" style="6" customWidth="1"/>
    <col min="26" max="26" width="5.90625" style="6" customWidth="1"/>
    <col min="27" max="261" width="9" style="6"/>
    <col min="262" max="262" width="16.26953125" style="6" customWidth="1"/>
    <col min="263" max="263" width="9" style="6"/>
    <col min="264" max="264" width="11.36328125" style="6" customWidth="1"/>
    <col min="265" max="266" width="9" style="6"/>
    <col min="267" max="267" width="23" style="6" bestFit="1" customWidth="1"/>
    <col min="268" max="268" width="10" style="6" customWidth="1"/>
    <col min="269" max="269" width="6.26953125" style="6" bestFit="1" customWidth="1"/>
    <col min="270" max="270" width="7.26953125" style="6" bestFit="1" customWidth="1"/>
    <col min="271" max="271" width="16.7265625" style="6" customWidth="1"/>
    <col min="272" max="272" width="7.26953125" style="6" bestFit="1" customWidth="1"/>
    <col min="273" max="273" width="16.7265625" style="6" customWidth="1"/>
    <col min="274" max="517" width="9" style="6"/>
    <col min="518" max="518" width="16.26953125" style="6" customWidth="1"/>
    <col min="519" max="519" width="9" style="6"/>
    <col min="520" max="520" width="11.36328125" style="6" customWidth="1"/>
    <col min="521" max="522" width="9" style="6"/>
    <col min="523" max="523" width="23" style="6" bestFit="1" customWidth="1"/>
    <col min="524" max="524" width="10" style="6" customWidth="1"/>
    <col min="525" max="525" width="6.26953125" style="6" bestFit="1" customWidth="1"/>
    <col min="526" max="526" width="7.26953125" style="6" bestFit="1" customWidth="1"/>
    <col min="527" max="527" width="16.7265625" style="6" customWidth="1"/>
    <col min="528" max="528" width="7.26953125" style="6" bestFit="1" customWidth="1"/>
    <col min="529" max="529" width="16.7265625" style="6" customWidth="1"/>
    <col min="530" max="773" width="9" style="6"/>
    <col min="774" max="774" width="16.26953125" style="6" customWidth="1"/>
    <col min="775" max="775" width="9" style="6"/>
    <col min="776" max="776" width="11.36328125" style="6" customWidth="1"/>
    <col min="777" max="778" width="9" style="6"/>
    <col min="779" max="779" width="23" style="6" bestFit="1" customWidth="1"/>
    <col min="780" max="780" width="10" style="6" customWidth="1"/>
    <col min="781" max="781" width="6.26953125" style="6" bestFit="1" customWidth="1"/>
    <col min="782" max="782" width="7.26953125" style="6" bestFit="1" customWidth="1"/>
    <col min="783" max="783" width="16.7265625" style="6" customWidth="1"/>
    <col min="784" max="784" width="7.26953125" style="6" bestFit="1" customWidth="1"/>
    <col min="785" max="785" width="16.7265625" style="6" customWidth="1"/>
    <col min="786" max="1029" width="9" style="6"/>
    <col min="1030" max="1030" width="16.26953125" style="6" customWidth="1"/>
    <col min="1031" max="1031" width="9" style="6"/>
    <col min="1032" max="1032" width="11.36328125" style="6" customWidth="1"/>
    <col min="1033" max="1034" width="9" style="6"/>
    <col min="1035" max="1035" width="23" style="6" bestFit="1" customWidth="1"/>
    <col min="1036" max="1036" width="10" style="6" customWidth="1"/>
    <col min="1037" max="1037" width="6.26953125" style="6" bestFit="1" customWidth="1"/>
    <col min="1038" max="1038" width="7.26953125" style="6" bestFit="1" customWidth="1"/>
    <col min="1039" max="1039" width="16.7265625" style="6" customWidth="1"/>
    <col min="1040" max="1040" width="7.26953125" style="6" bestFit="1" customWidth="1"/>
    <col min="1041" max="1041" width="16.7265625" style="6" customWidth="1"/>
    <col min="1042" max="1285" width="9" style="6"/>
    <col min="1286" max="1286" width="16.26953125" style="6" customWidth="1"/>
    <col min="1287" max="1287" width="9" style="6"/>
    <col min="1288" max="1288" width="11.36328125" style="6" customWidth="1"/>
    <col min="1289" max="1290" width="9" style="6"/>
    <col min="1291" max="1291" width="23" style="6" bestFit="1" customWidth="1"/>
    <col min="1292" max="1292" width="10" style="6" customWidth="1"/>
    <col min="1293" max="1293" width="6.26953125" style="6" bestFit="1" customWidth="1"/>
    <col min="1294" max="1294" width="7.26953125" style="6" bestFit="1" customWidth="1"/>
    <col min="1295" max="1295" width="16.7265625" style="6" customWidth="1"/>
    <col min="1296" max="1296" width="7.26953125" style="6" bestFit="1" customWidth="1"/>
    <col min="1297" max="1297" width="16.7265625" style="6" customWidth="1"/>
    <col min="1298" max="1541" width="9" style="6"/>
    <col min="1542" max="1542" width="16.26953125" style="6" customWidth="1"/>
    <col min="1543" max="1543" width="9" style="6"/>
    <col min="1544" max="1544" width="11.36328125" style="6" customWidth="1"/>
    <col min="1545" max="1546" width="9" style="6"/>
    <col min="1547" max="1547" width="23" style="6" bestFit="1" customWidth="1"/>
    <col min="1548" max="1548" width="10" style="6" customWidth="1"/>
    <col min="1549" max="1549" width="6.26953125" style="6" bestFit="1" customWidth="1"/>
    <col min="1550" max="1550" width="7.26953125" style="6" bestFit="1" customWidth="1"/>
    <col min="1551" max="1551" width="16.7265625" style="6" customWidth="1"/>
    <col min="1552" max="1552" width="7.26953125" style="6" bestFit="1" customWidth="1"/>
    <col min="1553" max="1553" width="16.7265625" style="6" customWidth="1"/>
    <col min="1554" max="1797" width="9" style="6"/>
    <col min="1798" max="1798" width="16.26953125" style="6" customWidth="1"/>
    <col min="1799" max="1799" width="9" style="6"/>
    <col min="1800" max="1800" width="11.36328125" style="6" customWidth="1"/>
    <col min="1801" max="1802" width="9" style="6"/>
    <col min="1803" max="1803" width="23" style="6" bestFit="1" customWidth="1"/>
    <col min="1804" max="1804" width="10" style="6" customWidth="1"/>
    <col min="1805" max="1805" width="6.26953125" style="6" bestFit="1" customWidth="1"/>
    <col min="1806" max="1806" width="7.26953125" style="6" bestFit="1" customWidth="1"/>
    <col min="1807" max="1807" width="16.7265625" style="6" customWidth="1"/>
    <col min="1808" max="1808" width="7.26953125" style="6" bestFit="1" customWidth="1"/>
    <col min="1809" max="1809" width="16.7265625" style="6" customWidth="1"/>
    <col min="1810" max="2053" width="9" style="6"/>
    <col min="2054" max="2054" width="16.26953125" style="6" customWidth="1"/>
    <col min="2055" max="2055" width="9" style="6"/>
    <col min="2056" max="2056" width="11.36328125" style="6" customWidth="1"/>
    <col min="2057" max="2058" width="9" style="6"/>
    <col min="2059" max="2059" width="23" style="6" bestFit="1" customWidth="1"/>
    <col min="2060" max="2060" width="10" style="6" customWidth="1"/>
    <col min="2061" max="2061" width="6.26953125" style="6" bestFit="1" customWidth="1"/>
    <col min="2062" max="2062" width="7.26953125" style="6" bestFit="1" customWidth="1"/>
    <col min="2063" max="2063" width="16.7265625" style="6" customWidth="1"/>
    <col min="2064" max="2064" width="7.26953125" style="6" bestFit="1" customWidth="1"/>
    <col min="2065" max="2065" width="16.7265625" style="6" customWidth="1"/>
    <col min="2066" max="2309" width="9" style="6"/>
    <col min="2310" max="2310" width="16.26953125" style="6" customWidth="1"/>
    <col min="2311" max="2311" width="9" style="6"/>
    <col min="2312" max="2312" width="11.36328125" style="6" customWidth="1"/>
    <col min="2313" max="2314" width="9" style="6"/>
    <col min="2315" max="2315" width="23" style="6" bestFit="1" customWidth="1"/>
    <col min="2316" max="2316" width="10" style="6" customWidth="1"/>
    <col min="2317" max="2317" width="6.26953125" style="6" bestFit="1" customWidth="1"/>
    <col min="2318" max="2318" width="7.26953125" style="6" bestFit="1" customWidth="1"/>
    <col min="2319" max="2319" width="16.7265625" style="6" customWidth="1"/>
    <col min="2320" max="2320" width="7.26953125" style="6" bestFit="1" customWidth="1"/>
    <col min="2321" max="2321" width="16.7265625" style="6" customWidth="1"/>
    <col min="2322" max="2565" width="9" style="6"/>
    <col min="2566" max="2566" width="16.26953125" style="6" customWidth="1"/>
    <col min="2567" max="2567" width="9" style="6"/>
    <col min="2568" max="2568" width="11.36328125" style="6" customWidth="1"/>
    <col min="2569" max="2570" width="9" style="6"/>
    <col min="2571" max="2571" width="23" style="6" bestFit="1" customWidth="1"/>
    <col min="2572" max="2572" width="10" style="6" customWidth="1"/>
    <col min="2573" max="2573" width="6.26953125" style="6" bestFit="1" customWidth="1"/>
    <col min="2574" max="2574" width="7.26953125" style="6" bestFit="1" customWidth="1"/>
    <col min="2575" max="2575" width="16.7265625" style="6" customWidth="1"/>
    <col min="2576" max="2576" width="7.26953125" style="6" bestFit="1" customWidth="1"/>
    <col min="2577" max="2577" width="16.7265625" style="6" customWidth="1"/>
    <col min="2578" max="2821" width="9" style="6"/>
    <col min="2822" max="2822" width="16.26953125" style="6" customWidth="1"/>
    <col min="2823" max="2823" width="9" style="6"/>
    <col min="2824" max="2824" width="11.36328125" style="6" customWidth="1"/>
    <col min="2825" max="2826" width="9" style="6"/>
    <col min="2827" max="2827" width="23" style="6" bestFit="1" customWidth="1"/>
    <col min="2828" max="2828" width="10" style="6" customWidth="1"/>
    <col min="2829" max="2829" width="6.26953125" style="6" bestFit="1" customWidth="1"/>
    <col min="2830" max="2830" width="7.26953125" style="6" bestFit="1" customWidth="1"/>
    <col min="2831" max="2831" width="16.7265625" style="6" customWidth="1"/>
    <col min="2832" max="2832" width="7.26953125" style="6" bestFit="1" customWidth="1"/>
    <col min="2833" max="2833" width="16.7265625" style="6" customWidth="1"/>
    <col min="2834" max="3077" width="9" style="6"/>
    <col min="3078" max="3078" width="16.26953125" style="6" customWidth="1"/>
    <col min="3079" max="3079" width="9" style="6"/>
    <col min="3080" max="3080" width="11.36328125" style="6" customWidth="1"/>
    <col min="3081" max="3082" width="9" style="6"/>
    <col min="3083" max="3083" width="23" style="6" bestFit="1" customWidth="1"/>
    <col min="3084" max="3084" width="10" style="6" customWidth="1"/>
    <col min="3085" max="3085" width="6.26953125" style="6" bestFit="1" customWidth="1"/>
    <col min="3086" max="3086" width="7.26953125" style="6" bestFit="1" customWidth="1"/>
    <col min="3087" max="3087" width="16.7265625" style="6" customWidth="1"/>
    <col min="3088" max="3088" width="7.26953125" style="6" bestFit="1" customWidth="1"/>
    <col min="3089" max="3089" width="16.7265625" style="6" customWidth="1"/>
    <col min="3090" max="3333" width="9" style="6"/>
    <col min="3334" max="3334" width="16.26953125" style="6" customWidth="1"/>
    <col min="3335" max="3335" width="9" style="6"/>
    <col min="3336" max="3336" width="11.36328125" style="6" customWidth="1"/>
    <col min="3337" max="3338" width="9" style="6"/>
    <col min="3339" max="3339" width="23" style="6" bestFit="1" customWidth="1"/>
    <col min="3340" max="3340" width="10" style="6" customWidth="1"/>
    <col min="3341" max="3341" width="6.26953125" style="6" bestFit="1" customWidth="1"/>
    <col min="3342" max="3342" width="7.26953125" style="6" bestFit="1" customWidth="1"/>
    <col min="3343" max="3343" width="16.7265625" style="6" customWidth="1"/>
    <col min="3344" max="3344" width="7.26953125" style="6" bestFit="1" customWidth="1"/>
    <col min="3345" max="3345" width="16.7265625" style="6" customWidth="1"/>
    <col min="3346" max="3589" width="9" style="6"/>
    <col min="3590" max="3590" width="16.26953125" style="6" customWidth="1"/>
    <col min="3591" max="3591" width="9" style="6"/>
    <col min="3592" max="3592" width="11.36328125" style="6" customWidth="1"/>
    <col min="3593" max="3594" width="9" style="6"/>
    <col min="3595" max="3595" width="23" style="6" bestFit="1" customWidth="1"/>
    <col min="3596" max="3596" width="10" style="6" customWidth="1"/>
    <col min="3597" max="3597" width="6.26953125" style="6" bestFit="1" customWidth="1"/>
    <col min="3598" max="3598" width="7.26953125" style="6" bestFit="1" customWidth="1"/>
    <col min="3599" max="3599" width="16.7265625" style="6" customWidth="1"/>
    <col min="3600" max="3600" width="7.26953125" style="6" bestFit="1" customWidth="1"/>
    <col min="3601" max="3601" width="16.7265625" style="6" customWidth="1"/>
    <col min="3602" max="3845" width="9" style="6"/>
    <col min="3846" max="3846" width="16.26953125" style="6" customWidth="1"/>
    <col min="3847" max="3847" width="9" style="6"/>
    <col min="3848" max="3848" width="11.36328125" style="6" customWidth="1"/>
    <col min="3849" max="3850" width="9" style="6"/>
    <col min="3851" max="3851" width="23" style="6" bestFit="1" customWidth="1"/>
    <col min="3852" max="3852" width="10" style="6" customWidth="1"/>
    <col min="3853" max="3853" width="6.26953125" style="6" bestFit="1" customWidth="1"/>
    <col min="3854" max="3854" width="7.26953125" style="6" bestFit="1" customWidth="1"/>
    <col min="3855" max="3855" width="16.7265625" style="6" customWidth="1"/>
    <col min="3856" max="3856" width="7.26953125" style="6" bestFit="1" customWidth="1"/>
    <col min="3857" max="3857" width="16.7265625" style="6" customWidth="1"/>
    <col min="3858" max="4101" width="9" style="6"/>
    <col min="4102" max="4102" width="16.26953125" style="6" customWidth="1"/>
    <col min="4103" max="4103" width="9" style="6"/>
    <col min="4104" max="4104" width="11.36328125" style="6" customWidth="1"/>
    <col min="4105" max="4106" width="9" style="6"/>
    <col min="4107" max="4107" width="23" style="6" bestFit="1" customWidth="1"/>
    <col min="4108" max="4108" width="10" style="6" customWidth="1"/>
    <col min="4109" max="4109" width="6.26953125" style="6" bestFit="1" customWidth="1"/>
    <col min="4110" max="4110" width="7.26953125" style="6" bestFit="1" customWidth="1"/>
    <col min="4111" max="4111" width="16.7265625" style="6" customWidth="1"/>
    <col min="4112" max="4112" width="7.26953125" style="6" bestFit="1" customWidth="1"/>
    <col min="4113" max="4113" width="16.7265625" style="6" customWidth="1"/>
    <col min="4114" max="4357" width="9" style="6"/>
    <col min="4358" max="4358" width="16.26953125" style="6" customWidth="1"/>
    <col min="4359" max="4359" width="9" style="6"/>
    <col min="4360" max="4360" width="11.36328125" style="6" customWidth="1"/>
    <col min="4361" max="4362" width="9" style="6"/>
    <col min="4363" max="4363" width="23" style="6" bestFit="1" customWidth="1"/>
    <col min="4364" max="4364" width="10" style="6" customWidth="1"/>
    <col min="4365" max="4365" width="6.26953125" style="6" bestFit="1" customWidth="1"/>
    <col min="4366" max="4366" width="7.26953125" style="6" bestFit="1" customWidth="1"/>
    <col min="4367" max="4367" width="16.7265625" style="6" customWidth="1"/>
    <col min="4368" max="4368" width="7.26953125" style="6" bestFit="1" customWidth="1"/>
    <col min="4369" max="4369" width="16.7265625" style="6" customWidth="1"/>
    <col min="4370" max="4613" width="9" style="6"/>
    <col min="4614" max="4614" width="16.26953125" style="6" customWidth="1"/>
    <col min="4615" max="4615" width="9" style="6"/>
    <col min="4616" max="4616" width="11.36328125" style="6" customWidth="1"/>
    <col min="4617" max="4618" width="9" style="6"/>
    <col min="4619" max="4619" width="23" style="6" bestFit="1" customWidth="1"/>
    <col min="4620" max="4620" width="10" style="6" customWidth="1"/>
    <col min="4621" max="4621" width="6.26953125" style="6" bestFit="1" customWidth="1"/>
    <col min="4622" max="4622" width="7.26953125" style="6" bestFit="1" customWidth="1"/>
    <col min="4623" max="4623" width="16.7265625" style="6" customWidth="1"/>
    <col min="4624" max="4624" width="7.26953125" style="6" bestFit="1" customWidth="1"/>
    <col min="4625" max="4625" width="16.7265625" style="6" customWidth="1"/>
    <col min="4626" max="4869" width="9" style="6"/>
    <col min="4870" max="4870" width="16.26953125" style="6" customWidth="1"/>
    <col min="4871" max="4871" width="9" style="6"/>
    <col min="4872" max="4872" width="11.36328125" style="6" customWidth="1"/>
    <col min="4873" max="4874" width="9" style="6"/>
    <col min="4875" max="4875" width="23" style="6" bestFit="1" customWidth="1"/>
    <col min="4876" max="4876" width="10" style="6" customWidth="1"/>
    <col min="4877" max="4877" width="6.26953125" style="6" bestFit="1" customWidth="1"/>
    <col min="4878" max="4878" width="7.26953125" style="6" bestFit="1" customWidth="1"/>
    <col min="4879" max="4879" width="16.7265625" style="6" customWidth="1"/>
    <col min="4880" max="4880" width="7.26953125" style="6" bestFit="1" customWidth="1"/>
    <col min="4881" max="4881" width="16.7265625" style="6" customWidth="1"/>
    <col min="4882" max="5125" width="9" style="6"/>
    <col min="5126" max="5126" width="16.26953125" style="6" customWidth="1"/>
    <col min="5127" max="5127" width="9" style="6"/>
    <col min="5128" max="5128" width="11.36328125" style="6" customWidth="1"/>
    <col min="5129" max="5130" width="9" style="6"/>
    <col min="5131" max="5131" width="23" style="6" bestFit="1" customWidth="1"/>
    <col min="5132" max="5132" width="10" style="6" customWidth="1"/>
    <col min="5133" max="5133" width="6.26953125" style="6" bestFit="1" customWidth="1"/>
    <col min="5134" max="5134" width="7.26953125" style="6" bestFit="1" customWidth="1"/>
    <col min="5135" max="5135" width="16.7265625" style="6" customWidth="1"/>
    <col min="5136" max="5136" width="7.26953125" style="6" bestFit="1" customWidth="1"/>
    <col min="5137" max="5137" width="16.7265625" style="6" customWidth="1"/>
    <col min="5138" max="5381" width="9" style="6"/>
    <col min="5382" max="5382" width="16.26953125" style="6" customWidth="1"/>
    <col min="5383" max="5383" width="9" style="6"/>
    <col min="5384" max="5384" width="11.36328125" style="6" customWidth="1"/>
    <col min="5385" max="5386" width="9" style="6"/>
    <col min="5387" max="5387" width="23" style="6" bestFit="1" customWidth="1"/>
    <col min="5388" max="5388" width="10" style="6" customWidth="1"/>
    <col min="5389" max="5389" width="6.26953125" style="6" bestFit="1" customWidth="1"/>
    <col min="5390" max="5390" width="7.26953125" style="6" bestFit="1" customWidth="1"/>
    <col min="5391" max="5391" width="16.7265625" style="6" customWidth="1"/>
    <col min="5392" max="5392" width="7.26953125" style="6" bestFit="1" customWidth="1"/>
    <col min="5393" max="5393" width="16.7265625" style="6" customWidth="1"/>
    <col min="5394" max="5637" width="9" style="6"/>
    <col min="5638" max="5638" width="16.26953125" style="6" customWidth="1"/>
    <col min="5639" max="5639" width="9" style="6"/>
    <col min="5640" max="5640" width="11.36328125" style="6" customWidth="1"/>
    <col min="5641" max="5642" width="9" style="6"/>
    <col min="5643" max="5643" width="23" style="6" bestFit="1" customWidth="1"/>
    <col min="5644" max="5644" width="10" style="6" customWidth="1"/>
    <col min="5645" max="5645" width="6.26953125" style="6" bestFit="1" customWidth="1"/>
    <col min="5646" max="5646" width="7.26953125" style="6" bestFit="1" customWidth="1"/>
    <col min="5647" max="5647" width="16.7265625" style="6" customWidth="1"/>
    <col min="5648" max="5648" width="7.26953125" style="6" bestFit="1" customWidth="1"/>
    <col min="5649" max="5649" width="16.7265625" style="6" customWidth="1"/>
    <col min="5650" max="5893" width="9" style="6"/>
    <col min="5894" max="5894" width="16.26953125" style="6" customWidth="1"/>
    <col min="5895" max="5895" width="9" style="6"/>
    <col min="5896" max="5896" width="11.36328125" style="6" customWidth="1"/>
    <col min="5897" max="5898" width="9" style="6"/>
    <col min="5899" max="5899" width="23" style="6" bestFit="1" customWidth="1"/>
    <col min="5900" max="5900" width="10" style="6" customWidth="1"/>
    <col min="5901" max="5901" width="6.26953125" style="6" bestFit="1" customWidth="1"/>
    <col min="5902" max="5902" width="7.26953125" style="6" bestFit="1" customWidth="1"/>
    <col min="5903" max="5903" width="16.7265625" style="6" customWidth="1"/>
    <col min="5904" max="5904" width="7.26953125" style="6" bestFit="1" customWidth="1"/>
    <col min="5905" max="5905" width="16.7265625" style="6" customWidth="1"/>
    <col min="5906" max="6149" width="9" style="6"/>
    <col min="6150" max="6150" width="16.26953125" style="6" customWidth="1"/>
    <col min="6151" max="6151" width="9" style="6"/>
    <col min="6152" max="6152" width="11.36328125" style="6" customWidth="1"/>
    <col min="6153" max="6154" width="9" style="6"/>
    <col min="6155" max="6155" width="23" style="6" bestFit="1" customWidth="1"/>
    <col min="6156" max="6156" width="10" style="6" customWidth="1"/>
    <col min="6157" max="6157" width="6.26953125" style="6" bestFit="1" customWidth="1"/>
    <col min="6158" max="6158" width="7.26953125" style="6" bestFit="1" customWidth="1"/>
    <col min="6159" max="6159" width="16.7265625" style="6" customWidth="1"/>
    <col min="6160" max="6160" width="7.26953125" style="6" bestFit="1" customWidth="1"/>
    <col min="6161" max="6161" width="16.7265625" style="6" customWidth="1"/>
    <col min="6162" max="6405" width="9" style="6"/>
    <col min="6406" max="6406" width="16.26953125" style="6" customWidth="1"/>
    <col min="6407" max="6407" width="9" style="6"/>
    <col min="6408" max="6408" width="11.36328125" style="6" customWidth="1"/>
    <col min="6409" max="6410" width="9" style="6"/>
    <col min="6411" max="6411" width="23" style="6" bestFit="1" customWidth="1"/>
    <col min="6412" max="6412" width="10" style="6" customWidth="1"/>
    <col min="6413" max="6413" width="6.26953125" style="6" bestFit="1" customWidth="1"/>
    <col min="6414" max="6414" width="7.26953125" style="6" bestFit="1" customWidth="1"/>
    <col min="6415" max="6415" width="16.7265625" style="6" customWidth="1"/>
    <col min="6416" max="6416" width="7.26953125" style="6" bestFit="1" customWidth="1"/>
    <col min="6417" max="6417" width="16.7265625" style="6" customWidth="1"/>
    <col min="6418" max="6661" width="9" style="6"/>
    <col min="6662" max="6662" width="16.26953125" style="6" customWidth="1"/>
    <col min="6663" max="6663" width="9" style="6"/>
    <col min="6664" max="6664" width="11.36328125" style="6" customWidth="1"/>
    <col min="6665" max="6666" width="9" style="6"/>
    <col min="6667" max="6667" width="23" style="6" bestFit="1" customWidth="1"/>
    <col min="6668" max="6668" width="10" style="6" customWidth="1"/>
    <col min="6669" max="6669" width="6.26953125" style="6" bestFit="1" customWidth="1"/>
    <col min="6670" max="6670" width="7.26953125" style="6" bestFit="1" customWidth="1"/>
    <col min="6671" max="6671" width="16.7265625" style="6" customWidth="1"/>
    <col min="6672" max="6672" width="7.26953125" style="6" bestFit="1" customWidth="1"/>
    <col min="6673" max="6673" width="16.7265625" style="6" customWidth="1"/>
    <col min="6674" max="6917" width="9" style="6"/>
    <col min="6918" max="6918" width="16.26953125" style="6" customWidth="1"/>
    <col min="6919" max="6919" width="9" style="6"/>
    <col min="6920" max="6920" width="11.36328125" style="6" customWidth="1"/>
    <col min="6921" max="6922" width="9" style="6"/>
    <col min="6923" max="6923" width="23" style="6" bestFit="1" customWidth="1"/>
    <col min="6924" max="6924" width="10" style="6" customWidth="1"/>
    <col min="6925" max="6925" width="6.26953125" style="6" bestFit="1" customWidth="1"/>
    <col min="6926" max="6926" width="7.26953125" style="6" bestFit="1" customWidth="1"/>
    <col min="6927" max="6927" width="16.7265625" style="6" customWidth="1"/>
    <col min="6928" max="6928" width="7.26953125" style="6" bestFit="1" customWidth="1"/>
    <col min="6929" max="6929" width="16.7265625" style="6" customWidth="1"/>
    <col min="6930" max="7173" width="9" style="6"/>
    <col min="7174" max="7174" width="16.26953125" style="6" customWidth="1"/>
    <col min="7175" max="7175" width="9" style="6"/>
    <col min="7176" max="7176" width="11.36328125" style="6" customWidth="1"/>
    <col min="7177" max="7178" width="9" style="6"/>
    <col min="7179" max="7179" width="23" style="6" bestFit="1" customWidth="1"/>
    <col min="7180" max="7180" width="10" style="6" customWidth="1"/>
    <col min="7181" max="7181" width="6.26953125" style="6" bestFit="1" customWidth="1"/>
    <col min="7182" max="7182" width="7.26953125" style="6" bestFit="1" customWidth="1"/>
    <col min="7183" max="7183" width="16.7265625" style="6" customWidth="1"/>
    <col min="7184" max="7184" width="7.26953125" style="6" bestFit="1" customWidth="1"/>
    <col min="7185" max="7185" width="16.7265625" style="6" customWidth="1"/>
    <col min="7186" max="7429" width="9" style="6"/>
    <col min="7430" max="7430" width="16.26953125" style="6" customWidth="1"/>
    <col min="7431" max="7431" width="9" style="6"/>
    <col min="7432" max="7432" width="11.36328125" style="6" customWidth="1"/>
    <col min="7433" max="7434" width="9" style="6"/>
    <col min="7435" max="7435" width="23" style="6" bestFit="1" customWidth="1"/>
    <col min="7436" max="7436" width="10" style="6" customWidth="1"/>
    <col min="7437" max="7437" width="6.26953125" style="6" bestFit="1" customWidth="1"/>
    <col min="7438" max="7438" width="7.26953125" style="6" bestFit="1" customWidth="1"/>
    <col min="7439" max="7439" width="16.7265625" style="6" customWidth="1"/>
    <col min="7440" max="7440" width="7.26953125" style="6" bestFit="1" customWidth="1"/>
    <col min="7441" max="7441" width="16.7265625" style="6" customWidth="1"/>
    <col min="7442" max="7685" width="9" style="6"/>
    <col min="7686" max="7686" width="16.26953125" style="6" customWidth="1"/>
    <col min="7687" max="7687" width="9" style="6"/>
    <col min="7688" max="7688" width="11.36328125" style="6" customWidth="1"/>
    <col min="7689" max="7690" width="9" style="6"/>
    <col min="7691" max="7691" width="23" style="6" bestFit="1" customWidth="1"/>
    <col min="7692" max="7692" width="10" style="6" customWidth="1"/>
    <col min="7693" max="7693" width="6.26953125" style="6" bestFit="1" customWidth="1"/>
    <col min="7694" max="7694" width="7.26953125" style="6" bestFit="1" customWidth="1"/>
    <col min="7695" max="7695" width="16.7265625" style="6" customWidth="1"/>
    <col min="7696" max="7696" width="7.26953125" style="6" bestFit="1" customWidth="1"/>
    <col min="7697" max="7697" width="16.7265625" style="6" customWidth="1"/>
    <col min="7698" max="7941" width="9" style="6"/>
    <col min="7942" max="7942" width="16.26953125" style="6" customWidth="1"/>
    <col min="7943" max="7943" width="9" style="6"/>
    <col min="7944" max="7944" width="11.36328125" style="6" customWidth="1"/>
    <col min="7945" max="7946" width="9" style="6"/>
    <col min="7947" max="7947" width="23" style="6" bestFit="1" customWidth="1"/>
    <col min="7948" max="7948" width="10" style="6" customWidth="1"/>
    <col min="7949" max="7949" width="6.26953125" style="6" bestFit="1" customWidth="1"/>
    <col min="7950" max="7950" width="7.26953125" style="6" bestFit="1" customWidth="1"/>
    <col min="7951" max="7951" width="16.7265625" style="6" customWidth="1"/>
    <col min="7952" max="7952" width="7.26953125" style="6" bestFit="1" customWidth="1"/>
    <col min="7953" max="7953" width="16.7265625" style="6" customWidth="1"/>
    <col min="7954" max="8197" width="9" style="6"/>
    <col min="8198" max="8198" width="16.26953125" style="6" customWidth="1"/>
    <col min="8199" max="8199" width="9" style="6"/>
    <col min="8200" max="8200" width="11.36328125" style="6" customWidth="1"/>
    <col min="8201" max="8202" width="9" style="6"/>
    <col min="8203" max="8203" width="23" style="6" bestFit="1" customWidth="1"/>
    <col min="8204" max="8204" width="10" style="6" customWidth="1"/>
    <col min="8205" max="8205" width="6.26953125" style="6" bestFit="1" customWidth="1"/>
    <col min="8206" max="8206" width="7.26953125" style="6" bestFit="1" customWidth="1"/>
    <col min="8207" max="8207" width="16.7265625" style="6" customWidth="1"/>
    <col min="8208" max="8208" width="7.26953125" style="6" bestFit="1" customWidth="1"/>
    <col min="8209" max="8209" width="16.7265625" style="6" customWidth="1"/>
    <col min="8210" max="8453" width="9" style="6"/>
    <col min="8454" max="8454" width="16.26953125" style="6" customWidth="1"/>
    <col min="8455" max="8455" width="9" style="6"/>
    <col min="8456" max="8456" width="11.36328125" style="6" customWidth="1"/>
    <col min="8457" max="8458" width="9" style="6"/>
    <col min="8459" max="8459" width="23" style="6" bestFit="1" customWidth="1"/>
    <col min="8460" max="8460" width="10" style="6" customWidth="1"/>
    <col min="8461" max="8461" width="6.26953125" style="6" bestFit="1" customWidth="1"/>
    <col min="8462" max="8462" width="7.26953125" style="6" bestFit="1" customWidth="1"/>
    <col min="8463" max="8463" width="16.7265625" style="6" customWidth="1"/>
    <col min="8464" max="8464" width="7.26953125" style="6" bestFit="1" customWidth="1"/>
    <col min="8465" max="8465" width="16.7265625" style="6" customWidth="1"/>
    <col min="8466" max="8709" width="9" style="6"/>
    <col min="8710" max="8710" width="16.26953125" style="6" customWidth="1"/>
    <col min="8711" max="8711" width="9" style="6"/>
    <col min="8712" max="8712" width="11.36328125" style="6" customWidth="1"/>
    <col min="8713" max="8714" width="9" style="6"/>
    <col min="8715" max="8715" width="23" style="6" bestFit="1" customWidth="1"/>
    <col min="8716" max="8716" width="10" style="6" customWidth="1"/>
    <col min="8717" max="8717" width="6.26953125" style="6" bestFit="1" customWidth="1"/>
    <col min="8718" max="8718" width="7.26953125" style="6" bestFit="1" customWidth="1"/>
    <col min="8719" max="8719" width="16.7265625" style="6" customWidth="1"/>
    <col min="8720" max="8720" width="7.26953125" style="6" bestFit="1" customWidth="1"/>
    <col min="8721" max="8721" width="16.7265625" style="6" customWidth="1"/>
    <col min="8722" max="8965" width="9" style="6"/>
    <col min="8966" max="8966" width="16.26953125" style="6" customWidth="1"/>
    <col min="8967" max="8967" width="9" style="6"/>
    <col min="8968" max="8968" width="11.36328125" style="6" customWidth="1"/>
    <col min="8969" max="8970" width="9" style="6"/>
    <col min="8971" max="8971" width="23" style="6" bestFit="1" customWidth="1"/>
    <col min="8972" max="8972" width="10" style="6" customWidth="1"/>
    <col min="8973" max="8973" width="6.26953125" style="6" bestFit="1" customWidth="1"/>
    <col min="8974" max="8974" width="7.26953125" style="6" bestFit="1" customWidth="1"/>
    <col min="8975" max="8975" width="16.7265625" style="6" customWidth="1"/>
    <col min="8976" max="8976" width="7.26953125" style="6" bestFit="1" customWidth="1"/>
    <col min="8977" max="8977" width="16.7265625" style="6" customWidth="1"/>
    <col min="8978" max="9221" width="9" style="6"/>
    <col min="9222" max="9222" width="16.26953125" style="6" customWidth="1"/>
    <col min="9223" max="9223" width="9" style="6"/>
    <col min="9224" max="9224" width="11.36328125" style="6" customWidth="1"/>
    <col min="9225" max="9226" width="9" style="6"/>
    <col min="9227" max="9227" width="23" style="6" bestFit="1" customWidth="1"/>
    <col min="9228" max="9228" width="10" style="6" customWidth="1"/>
    <col min="9229" max="9229" width="6.26953125" style="6" bestFit="1" customWidth="1"/>
    <col min="9230" max="9230" width="7.26953125" style="6" bestFit="1" customWidth="1"/>
    <col min="9231" max="9231" width="16.7265625" style="6" customWidth="1"/>
    <col min="9232" max="9232" width="7.26953125" style="6" bestFit="1" customWidth="1"/>
    <col min="9233" max="9233" width="16.7265625" style="6" customWidth="1"/>
    <col min="9234" max="9477" width="9" style="6"/>
    <col min="9478" max="9478" width="16.26953125" style="6" customWidth="1"/>
    <col min="9479" max="9479" width="9" style="6"/>
    <col min="9480" max="9480" width="11.36328125" style="6" customWidth="1"/>
    <col min="9481" max="9482" width="9" style="6"/>
    <col min="9483" max="9483" width="23" style="6" bestFit="1" customWidth="1"/>
    <col min="9484" max="9484" width="10" style="6" customWidth="1"/>
    <col min="9485" max="9485" width="6.26953125" style="6" bestFit="1" customWidth="1"/>
    <col min="9486" max="9486" width="7.26953125" style="6" bestFit="1" customWidth="1"/>
    <col min="9487" max="9487" width="16.7265625" style="6" customWidth="1"/>
    <col min="9488" max="9488" width="7.26953125" style="6" bestFit="1" customWidth="1"/>
    <col min="9489" max="9489" width="16.7265625" style="6" customWidth="1"/>
    <col min="9490" max="9733" width="9" style="6"/>
    <col min="9734" max="9734" width="16.26953125" style="6" customWidth="1"/>
    <col min="9735" max="9735" width="9" style="6"/>
    <col min="9736" max="9736" width="11.36328125" style="6" customWidth="1"/>
    <col min="9737" max="9738" width="9" style="6"/>
    <col min="9739" max="9739" width="23" style="6" bestFit="1" customWidth="1"/>
    <col min="9740" max="9740" width="10" style="6" customWidth="1"/>
    <col min="9741" max="9741" width="6.26953125" style="6" bestFit="1" customWidth="1"/>
    <col min="9742" max="9742" width="7.26953125" style="6" bestFit="1" customWidth="1"/>
    <col min="9743" max="9743" width="16.7265625" style="6" customWidth="1"/>
    <col min="9744" max="9744" width="7.26953125" style="6" bestFit="1" customWidth="1"/>
    <col min="9745" max="9745" width="16.7265625" style="6" customWidth="1"/>
    <col min="9746" max="9989" width="9" style="6"/>
    <col min="9990" max="9990" width="16.26953125" style="6" customWidth="1"/>
    <col min="9991" max="9991" width="9" style="6"/>
    <col min="9992" max="9992" width="11.36328125" style="6" customWidth="1"/>
    <col min="9993" max="9994" width="9" style="6"/>
    <col min="9995" max="9995" width="23" style="6" bestFit="1" customWidth="1"/>
    <col min="9996" max="9996" width="10" style="6" customWidth="1"/>
    <col min="9997" max="9997" width="6.26953125" style="6" bestFit="1" customWidth="1"/>
    <col min="9998" max="9998" width="7.26953125" style="6" bestFit="1" customWidth="1"/>
    <col min="9999" max="9999" width="16.7265625" style="6" customWidth="1"/>
    <col min="10000" max="10000" width="7.26953125" style="6" bestFit="1" customWidth="1"/>
    <col min="10001" max="10001" width="16.7265625" style="6" customWidth="1"/>
    <col min="10002" max="10245" width="9" style="6"/>
    <col min="10246" max="10246" width="16.26953125" style="6" customWidth="1"/>
    <col min="10247" max="10247" width="9" style="6"/>
    <col min="10248" max="10248" width="11.36328125" style="6" customWidth="1"/>
    <col min="10249" max="10250" width="9" style="6"/>
    <col min="10251" max="10251" width="23" style="6" bestFit="1" customWidth="1"/>
    <col min="10252" max="10252" width="10" style="6" customWidth="1"/>
    <col min="10253" max="10253" width="6.26953125" style="6" bestFit="1" customWidth="1"/>
    <col min="10254" max="10254" width="7.26953125" style="6" bestFit="1" customWidth="1"/>
    <col min="10255" max="10255" width="16.7265625" style="6" customWidth="1"/>
    <col min="10256" max="10256" width="7.26953125" style="6" bestFit="1" customWidth="1"/>
    <col min="10257" max="10257" width="16.7265625" style="6" customWidth="1"/>
    <col min="10258" max="10501" width="9" style="6"/>
    <col min="10502" max="10502" width="16.26953125" style="6" customWidth="1"/>
    <col min="10503" max="10503" width="9" style="6"/>
    <col min="10504" max="10504" width="11.36328125" style="6" customWidth="1"/>
    <col min="10505" max="10506" width="9" style="6"/>
    <col min="10507" max="10507" width="23" style="6" bestFit="1" customWidth="1"/>
    <col min="10508" max="10508" width="10" style="6" customWidth="1"/>
    <col min="10509" max="10509" width="6.26953125" style="6" bestFit="1" customWidth="1"/>
    <col min="10510" max="10510" width="7.26953125" style="6" bestFit="1" customWidth="1"/>
    <col min="10511" max="10511" width="16.7265625" style="6" customWidth="1"/>
    <col min="10512" max="10512" width="7.26953125" style="6" bestFit="1" customWidth="1"/>
    <col min="10513" max="10513" width="16.7265625" style="6" customWidth="1"/>
    <col min="10514" max="10757" width="9" style="6"/>
    <col min="10758" max="10758" width="16.26953125" style="6" customWidth="1"/>
    <col min="10759" max="10759" width="9" style="6"/>
    <col min="10760" max="10760" width="11.36328125" style="6" customWidth="1"/>
    <col min="10761" max="10762" width="9" style="6"/>
    <col min="10763" max="10763" width="23" style="6" bestFit="1" customWidth="1"/>
    <col min="10764" max="10764" width="10" style="6" customWidth="1"/>
    <col min="10765" max="10765" width="6.26953125" style="6" bestFit="1" customWidth="1"/>
    <col min="10766" max="10766" width="7.26953125" style="6" bestFit="1" customWidth="1"/>
    <col min="10767" max="10767" width="16.7265625" style="6" customWidth="1"/>
    <col min="10768" max="10768" width="7.26953125" style="6" bestFit="1" customWidth="1"/>
    <col min="10769" max="10769" width="16.7265625" style="6" customWidth="1"/>
    <col min="10770" max="11013" width="9" style="6"/>
    <col min="11014" max="11014" width="16.26953125" style="6" customWidth="1"/>
    <col min="11015" max="11015" width="9" style="6"/>
    <col min="11016" max="11016" width="11.36328125" style="6" customWidth="1"/>
    <col min="11017" max="11018" width="9" style="6"/>
    <col min="11019" max="11019" width="23" style="6" bestFit="1" customWidth="1"/>
    <col min="11020" max="11020" width="10" style="6" customWidth="1"/>
    <col min="11021" max="11021" width="6.26953125" style="6" bestFit="1" customWidth="1"/>
    <col min="11022" max="11022" width="7.26953125" style="6" bestFit="1" customWidth="1"/>
    <col min="11023" max="11023" width="16.7265625" style="6" customWidth="1"/>
    <col min="11024" max="11024" width="7.26953125" style="6" bestFit="1" customWidth="1"/>
    <col min="11025" max="11025" width="16.7265625" style="6" customWidth="1"/>
    <col min="11026" max="11269" width="9" style="6"/>
    <col min="11270" max="11270" width="16.26953125" style="6" customWidth="1"/>
    <col min="11271" max="11271" width="9" style="6"/>
    <col min="11272" max="11272" width="11.36328125" style="6" customWidth="1"/>
    <col min="11273" max="11274" width="9" style="6"/>
    <col min="11275" max="11275" width="23" style="6" bestFit="1" customWidth="1"/>
    <col min="11276" max="11276" width="10" style="6" customWidth="1"/>
    <col min="11277" max="11277" width="6.26953125" style="6" bestFit="1" customWidth="1"/>
    <col min="11278" max="11278" width="7.26953125" style="6" bestFit="1" customWidth="1"/>
    <col min="11279" max="11279" width="16.7265625" style="6" customWidth="1"/>
    <col min="11280" max="11280" width="7.26953125" style="6" bestFit="1" customWidth="1"/>
    <col min="11281" max="11281" width="16.7265625" style="6" customWidth="1"/>
    <col min="11282" max="11525" width="9" style="6"/>
    <col min="11526" max="11526" width="16.26953125" style="6" customWidth="1"/>
    <col min="11527" max="11527" width="9" style="6"/>
    <col min="11528" max="11528" width="11.36328125" style="6" customWidth="1"/>
    <col min="11529" max="11530" width="9" style="6"/>
    <col min="11531" max="11531" width="23" style="6" bestFit="1" customWidth="1"/>
    <col min="11532" max="11532" width="10" style="6" customWidth="1"/>
    <col min="11533" max="11533" width="6.26953125" style="6" bestFit="1" customWidth="1"/>
    <col min="11534" max="11534" width="7.26953125" style="6" bestFit="1" customWidth="1"/>
    <col min="11535" max="11535" width="16.7265625" style="6" customWidth="1"/>
    <col min="11536" max="11536" width="7.26953125" style="6" bestFit="1" customWidth="1"/>
    <col min="11537" max="11537" width="16.7265625" style="6" customWidth="1"/>
    <col min="11538" max="11781" width="9" style="6"/>
    <col min="11782" max="11782" width="16.26953125" style="6" customWidth="1"/>
    <col min="11783" max="11783" width="9" style="6"/>
    <col min="11784" max="11784" width="11.36328125" style="6" customWidth="1"/>
    <col min="11785" max="11786" width="9" style="6"/>
    <col min="11787" max="11787" width="23" style="6" bestFit="1" customWidth="1"/>
    <col min="11788" max="11788" width="10" style="6" customWidth="1"/>
    <col min="11789" max="11789" width="6.26953125" style="6" bestFit="1" customWidth="1"/>
    <col min="11790" max="11790" width="7.26953125" style="6" bestFit="1" customWidth="1"/>
    <col min="11791" max="11791" width="16.7265625" style="6" customWidth="1"/>
    <col min="11792" max="11792" width="7.26953125" style="6" bestFit="1" customWidth="1"/>
    <col min="11793" max="11793" width="16.7265625" style="6" customWidth="1"/>
    <col min="11794" max="12037" width="9" style="6"/>
    <col min="12038" max="12038" width="16.26953125" style="6" customWidth="1"/>
    <col min="12039" max="12039" width="9" style="6"/>
    <col min="12040" max="12040" width="11.36328125" style="6" customWidth="1"/>
    <col min="12041" max="12042" width="9" style="6"/>
    <col min="12043" max="12043" width="23" style="6" bestFit="1" customWidth="1"/>
    <col min="12044" max="12044" width="10" style="6" customWidth="1"/>
    <col min="12045" max="12045" width="6.26953125" style="6" bestFit="1" customWidth="1"/>
    <col min="12046" max="12046" width="7.26953125" style="6" bestFit="1" customWidth="1"/>
    <col min="12047" max="12047" width="16.7265625" style="6" customWidth="1"/>
    <col min="12048" max="12048" width="7.26953125" style="6" bestFit="1" customWidth="1"/>
    <col min="12049" max="12049" width="16.7265625" style="6" customWidth="1"/>
    <col min="12050" max="12293" width="9" style="6"/>
    <col min="12294" max="12294" width="16.26953125" style="6" customWidth="1"/>
    <col min="12295" max="12295" width="9" style="6"/>
    <col min="12296" max="12296" width="11.36328125" style="6" customWidth="1"/>
    <col min="12297" max="12298" width="9" style="6"/>
    <col min="12299" max="12299" width="23" style="6" bestFit="1" customWidth="1"/>
    <col min="12300" max="12300" width="10" style="6" customWidth="1"/>
    <col min="12301" max="12301" width="6.26953125" style="6" bestFit="1" customWidth="1"/>
    <col min="12302" max="12302" width="7.26953125" style="6" bestFit="1" customWidth="1"/>
    <col min="12303" max="12303" width="16.7265625" style="6" customWidth="1"/>
    <col min="12304" max="12304" width="7.26953125" style="6" bestFit="1" customWidth="1"/>
    <col min="12305" max="12305" width="16.7265625" style="6" customWidth="1"/>
    <col min="12306" max="12549" width="9" style="6"/>
    <col min="12550" max="12550" width="16.26953125" style="6" customWidth="1"/>
    <col min="12551" max="12551" width="9" style="6"/>
    <col min="12552" max="12552" width="11.36328125" style="6" customWidth="1"/>
    <col min="12553" max="12554" width="9" style="6"/>
    <col min="12555" max="12555" width="23" style="6" bestFit="1" customWidth="1"/>
    <col min="12556" max="12556" width="10" style="6" customWidth="1"/>
    <col min="12557" max="12557" width="6.26953125" style="6" bestFit="1" customWidth="1"/>
    <col min="12558" max="12558" width="7.26953125" style="6" bestFit="1" customWidth="1"/>
    <col min="12559" max="12559" width="16.7265625" style="6" customWidth="1"/>
    <col min="12560" max="12560" width="7.26953125" style="6" bestFit="1" customWidth="1"/>
    <col min="12561" max="12561" width="16.7265625" style="6" customWidth="1"/>
    <col min="12562" max="12805" width="9" style="6"/>
    <col min="12806" max="12806" width="16.26953125" style="6" customWidth="1"/>
    <col min="12807" max="12807" width="9" style="6"/>
    <col min="12808" max="12808" width="11.36328125" style="6" customWidth="1"/>
    <col min="12809" max="12810" width="9" style="6"/>
    <col min="12811" max="12811" width="23" style="6" bestFit="1" customWidth="1"/>
    <col min="12812" max="12812" width="10" style="6" customWidth="1"/>
    <col min="12813" max="12813" width="6.26953125" style="6" bestFit="1" customWidth="1"/>
    <col min="12814" max="12814" width="7.26953125" style="6" bestFit="1" customWidth="1"/>
    <col min="12815" max="12815" width="16.7265625" style="6" customWidth="1"/>
    <col min="12816" max="12816" width="7.26953125" style="6" bestFit="1" customWidth="1"/>
    <col min="12817" max="12817" width="16.7265625" style="6" customWidth="1"/>
    <col min="12818" max="13061" width="9" style="6"/>
    <col min="13062" max="13062" width="16.26953125" style="6" customWidth="1"/>
    <col min="13063" max="13063" width="9" style="6"/>
    <col min="13064" max="13064" width="11.36328125" style="6" customWidth="1"/>
    <col min="13065" max="13066" width="9" style="6"/>
    <col min="13067" max="13067" width="23" style="6" bestFit="1" customWidth="1"/>
    <col min="13068" max="13068" width="10" style="6" customWidth="1"/>
    <col min="13069" max="13069" width="6.26953125" style="6" bestFit="1" customWidth="1"/>
    <col min="13070" max="13070" width="7.26953125" style="6" bestFit="1" customWidth="1"/>
    <col min="13071" max="13071" width="16.7265625" style="6" customWidth="1"/>
    <col min="13072" max="13072" width="7.26953125" style="6" bestFit="1" customWidth="1"/>
    <col min="13073" max="13073" width="16.7265625" style="6" customWidth="1"/>
    <col min="13074" max="13317" width="9" style="6"/>
    <col min="13318" max="13318" width="16.26953125" style="6" customWidth="1"/>
    <col min="13319" max="13319" width="9" style="6"/>
    <col min="13320" max="13320" width="11.36328125" style="6" customWidth="1"/>
    <col min="13321" max="13322" width="9" style="6"/>
    <col min="13323" max="13323" width="23" style="6" bestFit="1" customWidth="1"/>
    <col min="13324" max="13324" width="10" style="6" customWidth="1"/>
    <col min="13325" max="13325" width="6.26953125" style="6" bestFit="1" customWidth="1"/>
    <col min="13326" max="13326" width="7.26953125" style="6" bestFit="1" customWidth="1"/>
    <col min="13327" max="13327" width="16.7265625" style="6" customWidth="1"/>
    <col min="13328" max="13328" width="7.26953125" style="6" bestFit="1" customWidth="1"/>
    <col min="13329" max="13329" width="16.7265625" style="6" customWidth="1"/>
    <col min="13330" max="13573" width="9" style="6"/>
    <col min="13574" max="13574" width="16.26953125" style="6" customWidth="1"/>
    <col min="13575" max="13575" width="9" style="6"/>
    <col min="13576" max="13576" width="11.36328125" style="6" customWidth="1"/>
    <col min="13577" max="13578" width="9" style="6"/>
    <col min="13579" max="13579" width="23" style="6" bestFit="1" customWidth="1"/>
    <col min="13580" max="13580" width="10" style="6" customWidth="1"/>
    <col min="13581" max="13581" width="6.26953125" style="6" bestFit="1" customWidth="1"/>
    <col min="13582" max="13582" width="7.26953125" style="6" bestFit="1" customWidth="1"/>
    <col min="13583" max="13583" width="16.7265625" style="6" customWidth="1"/>
    <col min="13584" max="13584" width="7.26953125" style="6" bestFit="1" customWidth="1"/>
    <col min="13585" max="13585" width="16.7265625" style="6" customWidth="1"/>
    <col min="13586" max="13829" width="9" style="6"/>
    <col min="13830" max="13830" width="16.26953125" style="6" customWidth="1"/>
    <col min="13831" max="13831" width="9" style="6"/>
    <col min="13832" max="13832" width="11.36328125" style="6" customWidth="1"/>
    <col min="13833" max="13834" width="9" style="6"/>
    <col min="13835" max="13835" width="23" style="6" bestFit="1" customWidth="1"/>
    <col min="13836" max="13836" width="10" style="6" customWidth="1"/>
    <col min="13837" max="13837" width="6.26953125" style="6" bestFit="1" customWidth="1"/>
    <col min="13838" max="13838" width="7.26953125" style="6" bestFit="1" customWidth="1"/>
    <col min="13839" max="13839" width="16.7265625" style="6" customWidth="1"/>
    <col min="13840" max="13840" width="7.26953125" style="6" bestFit="1" customWidth="1"/>
    <col min="13841" max="13841" width="16.7265625" style="6" customWidth="1"/>
    <col min="13842" max="14085" width="9" style="6"/>
    <col min="14086" max="14086" width="16.26953125" style="6" customWidth="1"/>
    <col min="14087" max="14087" width="9" style="6"/>
    <col min="14088" max="14088" width="11.36328125" style="6" customWidth="1"/>
    <col min="14089" max="14090" width="9" style="6"/>
    <col min="14091" max="14091" width="23" style="6" bestFit="1" customWidth="1"/>
    <col min="14092" max="14092" width="10" style="6" customWidth="1"/>
    <col min="14093" max="14093" width="6.26953125" style="6" bestFit="1" customWidth="1"/>
    <col min="14094" max="14094" width="7.26953125" style="6" bestFit="1" customWidth="1"/>
    <col min="14095" max="14095" width="16.7265625" style="6" customWidth="1"/>
    <col min="14096" max="14096" width="7.26953125" style="6" bestFit="1" customWidth="1"/>
    <col min="14097" max="14097" width="16.7265625" style="6" customWidth="1"/>
    <col min="14098" max="14341" width="9" style="6"/>
    <col min="14342" max="14342" width="16.26953125" style="6" customWidth="1"/>
    <col min="14343" max="14343" width="9" style="6"/>
    <col min="14344" max="14344" width="11.36328125" style="6" customWidth="1"/>
    <col min="14345" max="14346" width="9" style="6"/>
    <col min="14347" max="14347" width="23" style="6" bestFit="1" customWidth="1"/>
    <col min="14348" max="14348" width="10" style="6" customWidth="1"/>
    <col min="14349" max="14349" width="6.26953125" style="6" bestFit="1" customWidth="1"/>
    <col min="14350" max="14350" width="7.26953125" style="6" bestFit="1" customWidth="1"/>
    <col min="14351" max="14351" width="16.7265625" style="6" customWidth="1"/>
    <col min="14352" max="14352" width="7.26953125" style="6" bestFit="1" customWidth="1"/>
    <col min="14353" max="14353" width="16.7265625" style="6" customWidth="1"/>
    <col min="14354" max="14597" width="9" style="6"/>
    <col min="14598" max="14598" width="16.26953125" style="6" customWidth="1"/>
    <col min="14599" max="14599" width="9" style="6"/>
    <col min="14600" max="14600" width="11.36328125" style="6" customWidth="1"/>
    <col min="14601" max="14602" width="9" style="6"/>
    <col min="14603" max="14603" width="23" style="6" bestFit="1" customWidth="1"/>
    <col min="14604" max="14604" width="10" style="6" customWidth="1"/>
    <col min="14605" max="14605" width="6.26953125" style="6" bestFit="1" customWidth="1"/>
    <col min="14606" max="14606" width="7.26953125" style="6" bestFit="1" customWidth="1"/>
    <col min="14607" max="14607" width="16.7265625" style="6" customWidth="1"/>
    <col min="14608" max="14608" width="7.26953125" style="6" bestFit="1" customWidth="1"/>
    <col min="14609" max="14609" width="16.7265625" style="6" customWidth="1"/>
    <col min="14610" max="14853" width="9" style="6"/>
    <col min="14854" max="14854" width="16.26953125" style="6" customWidth="1"/>
    <col min="14855" max="14855" width="9" style="6"/>
    <col min="14856" max="14856" width="11.36328125" style="6" customWidth="1"/>
    <col min="14857" max="14858" width="9" style="6"/>
    <col min="14859" max="14859" width="23" style="6" bestFit="1" customWidth="1"/>
    <col min="14860" max="14860" width="10" style="6" customWidth="1"/>
    <col min="14861" max="14861" width="6.26953125" style="6" bestFit="1" customWidth="1"/>
    <col min="14862" max="14862" width="7.26953125" style="6" bestFit="1" customWidth="1"/>
    <col min="14863" max="14863" width="16.7265625" style="6" customWidth="1"/>
    <col min="14864" max="14864" width="7.26953125" style="6" bestFit="1" customWidth="1"/>
    <col min="14865" max="14865" width="16.7265625" style="6" customWidth="1"/>
    <col min="14866" max="15109" width="9" style="6"/>
    <col min="15110" max="15110" width="16.26953125" style="6" customWidth="1"/>
    <col min="15111" max="15111" width="9" style="6"/>
    <col min="15112" max="15112" width="11.36328125" style="6" customWidth="1"/>
    <col min="15113" max="15114" width="9" style="6"/>
    <col min="15115" max="15115" width="23" style="6" bestFit="1" customWidth="1"/>
    <col min="15116" max="15116" width="10" style="6" customWidth="1"/>
    <col min="15117" max="15117" width="6.26953125" style="6" bestFit="1" customWidth="1"/>
    <col min="15118" max="15118" width="7.26953125" style="6" bestFit="1" customWidth="1"/>
    <col min="15119" max="15119" width="16.7265625" style="6" customWidth="1"/>
    <col min="15120" max="15120" width="7.26953125" style="6" bestFit="1" customWidth="1"/>
    <col min="15121" max="15121" width="16.7265625" style="6" customWidth="1"/>
    <col min="15122" max="15365" width="9" style="6"/>
    <col min="15366" max="15366" width="16.26953125" style="6" customWidth="1"/>
    <col min="15367" max="15367" width="9" style="6"/>
    <col min="15368" max="15368" width="11.36328125" style="6" customWidth="1"/>
    <col min="15369" max="15370" width="9" style="6"/>
    <col min="15371" max="15371" width="23" style="6" bestFit="1" customWidth="1"/>
    <col min="15372" max="15372" width="10" style="6" customWidth="1"/>
    <col min="15373" max="15373" width="6.26953125" style="6" bestFit="1" customWidth="1"/>
    <col min="15374" max="15374" width="7.26953125" style="6" bestFit="1" customWidth="1"/>
    <col min="15375" max="15375" width="16.7265625" style="6" customWidth="1"/>
    <col min="15376" max="15376" width="7.26953125" style="6" bestFit="1" customWidth="1"/>
    <col min="15377" max="15377" width="16.7265625" style="6" customWidth="1"/>
    <col min="15378" max="15621" width="9" style="6"/>
    <col min="15622" max="15622" width="16.26953125" style="6" customWidth="1"/>
    <col min="15623" max="15623" width="9" style="6"/>
    <col min="15624" max="15624" width="11.36328125" style="6" customWidth="1"/>
    <col min="15625" max="15626" width="9" style="6"/>
    <col min="15627" max="15627" width="23" style="6" bestFit="1" customWidth="1"/>
    <col min="15628" max="15628" width="10" style="6" customWidth="1"/>
    <col min="15629" max="15629" width="6.26953125" style="6" bestFit="1" customWidth="1"/>
    <col min="15630" max="15630" width="7.26953125" style="6" bestFit="1" customWidth="1"/>
    <col min="15631" max="15631" width="16.7265625" style="6" customWidth="1"/>
    <col min="15632" max="15632" width="7.26953125" style="6" bestFit="1" customWidth="1"/>
    <col min="15633" max="15633" width="16.7265625" style="6" customWidth="1"/>
    <col min="15634" max="15877" width="9" style="6"/>
    <col min="15878" max="15878" width="16.26953125" style="6" customWidth="1"/>
    <col min="15879" max="15879" width="9" style="6"/>
    <col min="15880" max="15880" width="11.36328125" style="6" customWidth="1"/>
    <col min="15881" max="15882" width="9" style="6"/>
    <col min="15883" max="15883" width="23" style="6" bestFit="1" customWidth="1"/>
    <col min="15884" max="15884" width="10" style="6" customWidth="1"/>
    <col min="15885" max="15885" width="6.26953125" style="6" bestFit="1" customWidth="1"/>
    <col min="15886" max="15886" width="7.26953125" style="6" bestFit="1" customWidth="1"/>
    <col min="15887" max="15887" width="16.7265625" style="6" customWidth="1"/>
    <col min="15888" max="15888" width="7.26953125" style="6" bestFit="1" customWidth="1"/>
    <col min="15889" max="15889" width="16.7265625" style="6" customWidth="1"/>
    <col min="15890" max="16133" width="9" style="6"/>
    <col min="16134" max="16134" width="16.26953125" style="6" customWidth="1"/>
    <col min="16135" max="16135" width="9" style="6"/>
    <col min="16136" max="16136" width="11.36328125" style="6" customWidth="1"/>
    <col min="16137" max="16138" width="9" style="6"/>
    <col min="16139" max="16139" width="23" style="6" bestFit="1" customWidth="1"/>
    <col min="16140" max="16140" width="10" style="6" customWidth="1"/>
    <col min="16141" max="16141" width="6.26953125" style="6" bestFit="1" customWidth="1"/>
    <col min="16142" max="16142" width="7.26953125" style="6" bestFit="1" customWidth="1"/>
    <col min="16143" max="16143" width="16.7265625" style="6" customWidth="1"/>
    <col min="16144" max="16144" width="7.26953125" style="6" bestFit="1" customWidth="1"/>
    <col min="16145" max="16145" width="16.7265625" style="6" customWidth="1"/>
    <col min="16146" max="16384" width="9" style="6"/>
  </cols>
  <sheetData>
    <row r="1" spans="1:26" s="17" customFormat="1" ht="23.5" customHeight="1">
      <c r="A1" s="35"/>
      <c r="B1" s="35"/>
      <c r="C1" s="35"/>
      <c r="D1" s="35"/>
      <c r="E1" s="35"/>
      <c r="F1" s="35"/>
      <c r="G1" s="35"/>
      <c r="H1" s="35"/>
      <c r="I1" s="35"/>
      <c r="J1" s="35"/>
      <c r="K1" s="35"/>
      <c r="L1" s="35"/>
      <c r="M1" s="147" t="str">
        <f>資訊清單資訊!B3 &amp;資訊清單資訊!B7 &amp;資訊清單資訊!B5</f>
        <v>石油與天然氣輸儲查核與檢測雲端平台資料類(DA)資訊資產風險評鑑</v>
      </c>
      <c r="N1" s="147"/>
      <c r="O1" s="147"/>
      <c r="P1" s="147"/>
      <c r="Q1" s="147"/>
      <c r="R1" s="147"/>
      <c r="S1" s="147"/>
      <c r="T1" s="147"/>
      <c r="U1" s="147"/>
      <c r="V1" s="147"/>
      <c r="W1" s="147"/>
      <c r="X1" s="147"/>
      <c r="Y1" s="147"/>
      <c r="Z1" s="147"/>
    </row>
    <row r="2" spans="1:26">
      <c r="M2" s="37" t="s">
        <v>9</v>
      </c>
      <c r="N2" s="109" t="str">
        <f>資訊清單資訊!B7</f>
        <v>資料類(DA)</v>
      </c>
      <c r="O2" s="110"/>
      <c r="P2" s="111"/>
      <c r="Q2" s="61"/>
      <c r="R2" s="29" t="s">
        <v>11</v>
      </c>
      <c r="S2" s="15">
        <f>IF(ISNA(VLOOKUP($N$3,ALL_LIST,16,FALSE)), "",VLOOKUP($N$3,ALL_LIST,16,FALSE))</f>
        <v>1</v>
      </c>
    </row>
    <row r="3" spans="1:26" ht="31.75" customHeight="1">
      <c r="M3" s="40" t="s">
        <v>5</v>
      </c>
      <c r="N3" s="112" t="s">
        <v>209</v>
      </c>
      <c r="O3" s="113"/>
      <c r="P3" s="114"/>
      <c r="R3" s="28" t="s">
        <v>72</v>
      </c>
      <c r="S3" s="16">
        <f>IF(ISNA(VLOOKUP($N$3,ALL_LIST,8,FALSE)), "",VLOOKUP($N$3,ALL_LIST,8,FALSE))</f>
        <v>1</v>
      </c>
    </row>
    <row r="4" spans="1:26" ht="31.75" customHeight="1">
      <c r="M4" s="38" t="s">
        <v>10</v>
      </c>
      <c r="N4" s="115" t="str">
        <f>IF(ISNA(VLOOKUP($N$3,ALL_LIST,3,FALSE)), "",VLOOKUP($N$3,ALL_LIST,3,FALSE))</f>
        <v>操作手冊</v>
      </c>
      <c r="O4" s="116"/>
      <c r="P4" s="117"/>
      <c r="Q4" s="61"/>
      <c r="R4" s="28" t="s">
        <v>73</v>
      </c>
      <c r="S4" s="16">
        <f>IF(ISNA(VLOOKUP($N$3,ALL_LIST,10,FALSE)), "",VLOOKUP($N$3,ALL_LIST,10,FALSE))</f>
        <v>1</v>
      </c>
    </row>
    <row r="5" spans="1:26">
      <c r="M5" s="37" t="s">
        <v>6</v>
      </c>
      <c r="N5" s="118" t="str">
        <f>IF(ISNA(VLOOKUP($N$3,ALL_LIST,17,FALSE)), "",VLOOKUP($N$3,ALL_LIST,17,FALSE))</f>
        <v>賴斐瓔 </v>
      </c>
      <c r="O5" s="119"/>
      <c r="P5" s="120"/>
      <c r="Q5" s="61"/>
      <c r="R5" s="28" t="s">
        <v>74</v>
      </c>
      <c r="S5" s="16">
        <f>IF(ISNA(VLOOKUP($N$3,ALL_LIST,12,FALSE)), " ",VLOOKUP($N$3,ALL_LIST,12,FALSE))</f>
        <v>1</v>
      </c>
    </row>
    <row r="6" spans="1:26">
      <c r="M6" s="39" t="s">
        <v>7</v>
      </c>
      <c r="N6" s="121" t="s">
        <v>232</v>
      </c>
      <c r="O6" s="122"/>
      <c r="P6" s="123"/>
      <c r="R6" s="28" t="s">
        <v>75</v>
      </c>
      <c r="S6" s="16" t="str">
        <f>IF(ISNA(VLOOKUP($N$3,ALL_LIST,14,FALSE)), "",VLOOKUP($N$3,ALL_LIST,14,FALSE))</f>
        <v>NA</v>
      </c>
    </row>
    <row r="7" spans="1:26">
      <c r="M7" s="39" t="s">
        <v>8</v>
      </c>
      <c r="N7" s="124" t="s">
        <v>205</v>
      </c>
      <c r="O7" s="125"/>
      <c r="P7" s="126"/>
      <c r="Q7" s="61"/>
      <c r="R7" s="30" t="s">
        <v>12</v>
      </c>
      <c r="S7" s="22">
        <f>MAX(Y11:Y34)</f>
        <v>4</v>
      </c>
    </row>
    <row r="10" spans="1:26" s="18" customFormat="1" ht="16">
      <c r="A10" s="31" t="s">
        <v>13</v>
      </c>
      <c r="B10" s="31" t="s">
        <v>2</v>
      </c>
      <c r="C10" s="31" t="s">
        <v>15</v>
      </c>
      <c r="D10" s="31" t="s">
        <v>16</v>
      </c>
      <c r="E10" s="31" t="s">
        <v>3</v>
      </c>
      <c r="F10" s="31" t="s">
        <v>17</v>
      </c>
      <c r="G10" s="32" t="s">
        <v>18</v>
      </c>
      <c r="H10" s="32" t="s">
        <v>19</v>
      </c>
      <c r="I10" s="32" t="s">
        <v>20</v>
      </c>
      <c r="J10" s="32" t="s">
        <v>21</v>
      </c>
      <c r="K10" s="33" t="s">
        <v>22</v>
      </c>
      <c r="L10" s="34" t="s">
        <v>31</v>
      </c>
      <c r="M10" s="151" t="s">
        <v>23</v>
      </c>
      <c r="N10" s="152"/>
      <c r="O10" s="153"/>
      <c r="P10" s="151" t="s">
        <v>4</v>
      </c>
      <c r="Q10" s="152"/>
      <c r="R10" s="152"/>
      <c r="S10" s="153"/>
      <c r="T10" s="27" t="s">
        <v>24</v>
      </c>
      <c r="U10" s="27" t="s">
        <v>25</v>
      </c>
      <c r="V10" s="27" t="s">
        <v>26</v>
      </c>
      <c r="W10" s="27" t="s">
        <v>27</v>
      </c>
      <c r="X10" s="27" t="s">
        <v>26</v>
      </c>
      <c r="Y10" s="27" t="s">
        <v>28</v>
      </c>
      <c r="Z10" s="27" t="s">
        <v>29</v>
      </c>
    </row>
    <row r="11" spans="1:26" ht="59" customHeight="1">
      <c r="A11" s="52" t="str">
        <f>$N$3</f>
        <v>材1-1-DA-04</v>
      </c>
      <c r="B11" s="52">
        <f t="shared" ref="B11:B34" si="0">VLOOKUP($N$3,ALL_LIST,2,FALSE)</f>
        <v>0</v>
      </c>
      <c r="C11" s="52" t="str">
        <f t="shared" ref="C11:C34" si="1">VLOOKUP($N$3,ALL_LIST,3,FALSE)</f>
        <v>操作手冊</v>
      </c>
      <c r="D11" s="52" t="str">
        <f t="shared" ref="D11:D34" si="2">VLOOKUP($N$3,ALL_LIST,4,FALSE)</f>
        <v>系統-操作手冊</v>
      </c>
      <c r="E11" s="52">
        <f t="shared" ref="E11:E34" si="3">VLOOKUP($N$3,ALL_LIST,6,FALSE)</f>
        <v>1</v>
      </c>
      <c r="F11" s="52" t="str">
        <f t="shared" ref="F11:F34" si="4">VLOOKUP($N$3,ALL_LIST,7,FALSE)</f>
        <v>賴斐瓔 </v>
      </c>
      <c r="G11" s="52">
        <f t="shared" ref="G11:G34" si="5">VLOOKUP($N$3,ALL_LIST,8,FALSE)</f>
        <v>1</v>
      </c>
      <c r="H11" s="52">
        <f t="shared" ref="H11:H34" si="6">VLOOKUP($N$3,ALL_LIST,10,FALSE)</f>
        <v>1</v>
      </c>
      <c r="I11" s="52">
        <f t="shared" ref="I11:I34" si="7">VLOOKUP($N$3,ALL_LIST,12,FALSE)</f>
        <v>1</v>
      </c>
      <c r="J11" s="52" t="str">
        <f t="shared" ref="J11:J34" si="8">VLOOKUP($N$3,ALL_LIST,14,FALSE)</f>
        <v>NA</v>
      </c>
      <c r="K11" s="53">
        <f t="shared" ref="K11:K34" si="9">VLOOKUP($N$3,ALL_LIST,16,FALSE)</f>
        <v>1</v>
      </c>
      <c r="L11" s="53">
        <f>$S$7</f>
        <v>4</v>
      </c>
      <c r="M11" s="127" t="s">
        <v>114</v>
      </c>
      <c r="N11" s="128" t="s">
        <v>77</v>
      </c>
      <c r="O11" s="129" t="s">
        <v>77</v>
      </c>
      <c r="P11" s="130" t="s">
        <v>113</v>
      </c>
      <c r="Q11" s="131"/>
      <c r="R11" s="131"/>
      <c r="S11" s="131"/>
      <c r="T11" s="54" t="s">
        <v>161</v>
      </c>
      <c r="U11" s="54">
        <v>2</v>
      </c>
      <c r="V11" s="196" t="s">
        <v>220</v>
      </c>
      <c r="W11" s="54">
        <v>2</v>
      </c>
      <c r="X11" s="55" t="s">
        <v>211</v>
      </c>
      <c r="Y11" s="56">
        <f>IF((T11="N"),"不適用",IF(COUNTA(U11,W11)&lt;2,"評鑑中",$S$2*U11*W11))</f>
        <v>4</v>
      </c>
      <c r="Z11" s="49"/>
    </row>
    <row r="12" spans="1:26" ht="62">
      <c r="A12" s="52" t="str">
        <f t="shared" ref="A12:A34" si="10">$N$3</f>
        <v>材1-1-DA-04</v>
      </c>
      <c r="B12" s="52">
        <f t="shared" si="0"/>
        <v>0</v>
      </c>
      <c r="C12" s="52" t="str">
        <f t="shared" si="1"/>
        <v>操作手冊</v>
      </c>
      <c r="D12" s="52" t="str">
        <f t="shared" si="2"/>
        <v>系統-操作手冊</v>
      </c>
      <c r="E12" s="52">
        <f t="shared" si="3"/>
        <v>1</v>
      </c>
      <c r="F12" s="52" t="str">
        <f t="shared" si="4"/>
        <v>賴斐瓔 </v>
      </c>
      <c r="G12" s="52">
        <f t="shared" si="5"/>
        <v>1</v>
      </c>
      <c r="H12" s="52">
        <f t="shared" si="6"/>
        <v>1</v>
      </c>
      <c r="I12" s="52">
        <f t="shared" si="7"/>
        <v>1</v>
      </c>
      <c r="J12" s="52" t="str">
        <f t="shared" si="8"/>
        <v>NA</v>
      </c>
      <c r="K12" s="53">
        <f t="shared" si="9"/>
        <v>1</v>
      </c>
      <c r="L12" s="53">
        <f>$S$7</f>
        <v>4</v>
      </c>
      <c r="M12" s="132" t="s">
        <v>114</v>
      </c>
      <c r="N12" s="133"/>
      <c r="O12" s="134"/>
      <c r="P12" s="135" t="s">
        <v>115</v>
      </c>
      <c r="Q12" s="136"/>
      <c r="R12" s="136"/>
      <c r="S12" s="136"/>
      <c r="T12" s="54" t="s">
        <v>161</v>
      </c>
      <c r="U12" s="54">
        <v>2</v>
      </c>
      <c r="V12" s="197" t="s">
        <v>221</v>
      </c>
      <c r="W12" s="54">
        <v>2</v>
      </c>
      <c r="X12" s="55" t="s">
        <v>211</v>
      </c>
      <c r="Y12" s="56">
        <f t="shared" ref="Y12:Y34" si="11">IF((T12="N"),"不適用",IF(COUNTA(U12,W12)&lt;2,"評鑑中",$S$2*U12*W12))</f>
        <v>4</v>
      </c>
      <c r="Z12" s="49"/>
    </row>
    <row r="13" spans="1:26" ht="46.5">
      <c r="A13" s="52" t="str">
        <f t="shared" si="10"/>
        <v>材1-1-DA-04</v>
      </c>
      <c r="B13" s="52">
        <f t="shared" si="0"/>
        <v>0</v>
      </c>
      <c r="C13" s="52" t="str">
        <f t="shared" si="1"/>
        <v>操作手冊</v>
      </c>
      <c r="D13" s="52" t="str">
        <f t="shared" si="2"/>
        <v>系統-操作手冊</v>
      </c>
      <c r="E13" s="52">
        <f t="shared" si="3"/>
        <v>1</v>
      </c>
      <c r="F13" s="52" t="str">
        <f t="shared" si="4"/>
        <v>賴斐瓔 </v>
      </c>
      <c r="G13" s="52">
        <f t="shared" si="5"/>
        <v>1</v>
      </c>
      <c r="H13" s="52">
        <f t="shared" si="6"/>
        <v>1</v>
      </c>
      <c r="I13" s="52">
        <f t="shared" si="7"/>
        <v>1</v>
      </c>
      <c r="J13" s="52" t="str">
        <f t="shared" si="8"/>
        <v>NA</v>
      </c>
      <c r="K13" s="53">
        <f t="shared" si="9"/>
        <v>1</v>
      </c>
      <c r="L13" s="53">
        <f>$S$7</f>
        <v>4</v>
      </c>
      <c r="M13" s="132" t="s">
        <v>114</v>
      </c>
      <c r="N13" s="133"/>
      <c r="O13" s="134"/>
      <c r="P13" s="135" t="s">
        <v>116</v>
      </c>
      <c r="Q13" s="136"/>
      <c r="R13" s="136"/>
      <c r="S13" s="136"/>
      <c r="T13" s="54" t="s">
        <v>166</v>
      </c>
      <c r="U13" s="54">
        <v>2</v>
      </c>
      <c r="V13" s="196" t="s">
        <v>222</v>
      </c>
      <c r="W13" s="54">
        <v>2</v>
      </c>
      <c r="X13" s="55" t="s">
        <v>211</v>
      </c>
      <c r="Y13" s="56">
        <f t="shared" si="11"/>
        <v>4</v>
      </c>
      <c r="Z13" s="49"/>
    </row>
    <row r="14" spans="1:26" ht="33" customHeight="1">
      <c r="A14" s="52" t="str">
        <f t="shared" si="10"/>
        <v>材1-1-DA-04</v>
      </c>
      <c r="B14" s="52">
        <f t="shared" si="0"/>
        <v>0</v>
      </c>
      <c r="C14" s="52" t="str">
        <f t="shared" si="1"/>
        <v>操作手冊</v>
      </c>
      <c r="D14" s="52" t="str">
        <f t="shared" si="2"/>
        <v>系統-操作手冊</v>
      </c>
      <c r="E14" s="52">
        <f t="shared" si="3"/>
        <v>1</v>
      </c>
      <c r="F14" s="52" t="str">
        <f t="shared" si="4"/>
        <v>賴斐瓔 </v>
      </c>
      <c r="G14" s="52">
        <f t="shared" si="5"/>
        <v>1</v>
      </c>
      <c r="H14" s="52">
        <f t="shared" si="6"/>
        <v>1</v>
      </c>
      <c r="I14" s="52">
        <f t="shared" si="7"/>
        <v>1</v>
      </c>
      <c r="J14" s="52" t="str">
        <f t="shared" si="8"/>
        <v>NA</v>
      </c>
      <c r="K14" s="53">
        <f t="shared" si="9"/>
        <v>1</v>
      </c>
      <c r="L14" s="53">
        <f>$S$7</f>
        <v>4</v>
      </c>
      <c r="M14" s="148" t="s">
        <v>119</v>
      </c>
      <c r="N14" s="149" t="s">
        <v>117</v>
      </c>
      <c r="O14" s="150" t="s">
        <v>117</v>
      </c>
      <c r="P14" s="135" t="s">
        <v>118</v>
      </c>
      <c r="Q14" s="136"/>
      <c r="R14" s="136"/>
      <c r="S14" s="136"/>
      <c r="T14" s="54" t="s">
        <v>160</v>
      </c>
      <c r="U14" s="54"/>
      <c r="W14" s="54"/>
      <c r="X14" s="55"/>
      <c r="Y14" s="56" t="str">
        <f t="shared" si="11"/>
        <v>不適用</v>
      </c>
      <c r="Z14" s="49"/>
    </row>
    <row r="15" spans="1:26">
      <c r="A15" s="52" t="str">
        <f t="shared" si="10"/>
        <v>材1-1-DA-04</v>
      </c>
      <c r="B15" s="52">
        <f t="shared" si="0"/>
        <v>0</v>
      </c>
      <c r="C15" s="52" t="str">
        <f t="shared" si="1"/>
        <v>操作手冊</v>
      </c>
      <c r="D15" s="52" t="str">
        <f t="shared" si="2"/>
        <v>系統-操作手冊</v>
      </c>
      <c r="E15" s="52">
        <f t="shared" si="3"/>
        <v>1</v>
      </c>
      <c r="F15" s="52" t="str">
        <f t="shared" si="4"/>
        <v>賴斐瓔 </v>
      </c>
      <c r="G15" s="52">
        <f t="shared" si="5"/>
        <v>1</v>
      </c>
      <c r="H15" s="52">
        <f t="shared" si="6"/>
        <v>1</v>
      </c>
      <c r="I15" s="52">
        <f t="shared" si="7"/>
        <v>1</v>
      </c>
      <c r="J15" s="52" t="str">
        <f t="shared" si="8"/>
        <v>NA</v>
      </c>
      <c r="K15" s="53">
        <f t="shared" si="9"/>
        <v>1</v>
      </c>
      <c r="L15" s="53">
        <f>$S$7</f>
        <v>4</v>
      </c>
      <c r="M15" s="137" t="s">
        <v>119</v>
      </c>
      <c r="N15" s="138" t="s">
        <v>117</v>
      </c>
      <c r="O15" s="139" t="s">
        <v>117</v>
      </c>
      <c r="P15" s="130" t="s">
        <v>120</v>
      </c>
      <c r="Q15" s="131"/>
      <c r="R15" s="131"/>
      <c r="S15" s="131"/>
      <c r="T15" s="54" t="s">
        <v>160</v>
      </c>
      <c r="U15" s="54"/>
      <c r="V15" s="49"/>
      <c r="W15" s="54"/>
      <c r="X15" s="55"/>
      <c r="Y15" s="56" t="str">
        <f t="shared" si="11"/>
        <v>不適用</v>
      </c>
      <c r="Z15" s="49"/>
    </row>
    <row r="16" spans="1:26">
      <c r="A16" s="52"/>
      <c r="B16" s="52"/>
      <c r="C16" s="52"/>
      <c r="D16" s="52"/>
      <c r="E16" s="52"/>
      <c r="F16" s="52"/>
      <c r="G16" s="52"/>
      <c r="H16" s="52"/>
      <c r="I16" s="52"/>
      <c r="J16" s="52"/>
      <c r="K16" s="53"/>
      <c r="L16" s="53"/>
      <c r="M16" s="140" t="s">
        <v>119</v>
      </c>
      <c r="N16" s="141" t="s">
        <v>117</v>
      </c>
      <c r="O16" s="142" t="s">
        <v>117</v>
      </c>
      <c r="P16" s="143" t="s">
        <v>121</v>
      </c>
      <c r="Q16" s="143"/>
      <c r="R16" s="143"/>
      <c r="S16" s="130"/>
      <c r="T16" s="54" t="s">
        <v>161</v>
      </c>
      <c r="U16" s="54">
        <v>2</v>
      </c>
      <c r="V16" s="49" t="s">
        <v>167</v>
      </c>
      <c r="W16" s="54">
        <v>2</v>
      </c>
      <c r="X16" s="55" t="s">
        <v>211</v>
      </c>
      <c r="Y16" s="56">
        <f t="shared" si="11"/>
        <v>4</v>
      </c>
      <c r="Z16" s="49"/>
    </row>
    <row r="17" spans="1:26" ht="34.65" customHeight="1">
      <c r="A17" s="52" t="str">
        <f t="shared" si="10"/>
        <v>材1-1-DA-04</v>
      </c>
      <c r="B17" s="52">
        <f t="shared" si="0"/>
        <v>0</v>
      </c>
      <c r="C17" s="52" t="str">
        <f t="shared" si="1"/>
        <v>操作手冊</v>
      </c>
      <c r="D17" s="52" t="str">
        <f t="shared" si="2"/>
        <v>系統-操作手冊</v>
      </c>
      <c r="E17" s="52">
        <f t="shared" si="3"/>
        <v>1</v>
      </c>
      <c r="F17" s="52" t="str">
        <f t="shared" si="4"/>
        <v>賴斐瓔 </v>
      </c>
      <c r="G17" s="52">
        <f t="shared" si="5"/>
        <v>1</v>
      </c>
      <c r="H17" s="52">
        <f t="shared" si="6"/>
        <v>1</v>
      </c>
      <c r="I17" s="52">
        <f t="shared" si="7"/>
        <v>1</v>
      </c>
      <c r="J17" s="52" t="str">
        <f t="shared" si="8"/>
        <v>NA</v>
      </c>
      <c r="K17" s="53">
        <f t="shared" si="9"/>
        <v>1</v>
      </c>
      <c r="L17" s="53">
        <f t="shared" ref="L17:L28" si="12">$S$7</f>
        <v>4</v>
      </c>
      <c r="M17" s="144" t="s">
        <v>149</v>
      </c>
      <c r="N17" s="145" t="s">
        <v>122</v>
      </c>
      <c r="O17" s="146" t="s">
        <v>122</v>
      </c>
      <c r="P17" s="130" t="s">
        <v>123</v>
      </c>
      <c r="Q17" s="131"/>
      <c r="R17" s="131"/>
      <c r="S17" s="131"/>
      <c r="T17" s="54" t="s">
        <v>166</v>
      </c>
      <c r="U17" s="54">
        <v>2</v>
      </c>
      <c r="V17" s="49" t="s">
        <v>167</v>
      </c>
      <c r="W17" s="54">
        <v>2</v>
      </c>
      <c r="X17" s="55" t="s">
        <v>211</v>
      </c>
      <c r="Y17" s="56">
        <f t="shared" si="11"/>
        <v>4</v>
      </c>
      <c r="Z17" s="49"/>
    </row>
    <row r="18" spans="1:26" ht="37.75" customHeight="1">
      <c r="A18" s="52" t="str">
        <f t="shared" si="10"/>
        <v>材1-1-DA-04</v>
      </c>
      <c r="B18" s="52">
        <f t="shared" si="0"/>
        <v>0</v>
      </c>
      <c r="C18" s="52" t="str">
        <f t="shared" si="1"/>
        <v>操作手冊</v>
      </c>
      <c r="D18" s="52" t="str">
        <f t="shared" si="2"/>
        <v>系統-操作手冊</v>
      </c>
      <c r="E18" s="52">
        <f t="shared" si="3"/>
        <v>1</v>
      </c>
      <c r="F18" s="52" t="str">
        <f t="shared" si="4"/>
        <v>賴斐瓔 </v>
      </c>
      <c r="G18" s="52">
        <f t="shared" si="5"/>
        <v>1</v>
      </c>
      <c r="H18" s="52">
        <f t="shared" si="6"/>
        <v>1</v>
      </c>
      <c r="I18" s="52">
        <f t="shared" si="7"/>
        <v>1</v>
      </c>
      <c r="J18" s="52" t="str">
        <f t="shared" si="8"/>
        <v>NA</v>
      </c>
      <c r="K18" s="53">
        <f t="shared" si="9"/>
        <v>1</v>
      </c>
      <c r="L18" s="53">
        <f t="shared" si="12"/>
        <v>4</v>
      </c>
      <c r="M18" s="148" t="s">
        <v>150</v>
      </c>
      <c r="N18" s="149" t="s">
        <v>124</v>
      </c>
      <c r="O18" s="150" t="s">
        <v>124</v>
      </c>
      <c r="P18" s="154" t="s">
        <v>125</v>
      </c>
      <c r="Q18" s="155"/>
      <c r="R18" s="155"/>
      <c r="S18" s="155"/>
      <c r="T18" s="54" t="s">
        <v>166</v>
      </c>
      <c r="U18" s="54">
        <v>2</v>
      </c>
      <c r="V18" s="197" t="s">
        <v>168</v>
      </c>
      <c r="W18" s="54">
        <v>2</v>
      </c>
      <c r="X18" s="55" t="s">
        <v>211</v>
      </c>
      <c r="Y18" s="56">
        <f t="shared" si="11"/>
        <v>4</v>
      </c>
      <c r="Z18" s="49"/>
    </row>
    <row r="19" spans="1:26">
      <c r="A19" s="52" t="str">
        <f t="shared" si="10"/>
        <v>材1-1-DA-04</v>
      </c>
      <c r="B19" s="52">
        <f t="shared" si="0"/>
        <v>0</v>
      </c>
      <c r="C19" s="52" t="str">
        <f t="shared" si="1"/>
        <v>操作手冊</v>
      </c>
      <c r="D19" s="52" t="str">
        <f t="shared" si="2"/>
        <v>系統-操作手冊</v>
      </c>
      <c r="E19" s="52">
        <f t="shared" si="3"/>
        <v>1</v>
      </c>
      <c r="F19" s="52" t="str">
        <f t="shared" si="4"/>
        <v>賴斐瓔 </v>
      </c>
      <c r="G19" s="52">
        <f t="shared" si="5"/>
        <v>1</v>
      </c>
      <c r="H19" s="52">
        <f t="shared" si="6"/>
        <v>1</v>
      </c>
      <c r="I19" s="52">
        <f t="shared" si="7"/>
        <v>1</v>
      </c>
      <c r="J19" s="52" t="str">
        <f t="shared" si="8"/>
        <v>NA</v>
      </c>
      <c r="K19" s="53">
        <f t="shared" si="9"/>
        <v>1</v>
      </c>
      <c r="L19" s="53">
        <f t="shared" si="12"/>
        <v>4</v>
      </c>
      <c r="M19" s="140" t="s">
        <v>124</v>
      </c>
      <c r="N19" s="141" t="s">
        <v>124</v>
      </c>
      <c r="O19" s="142" t="s">
        <v>124</v>
      </c>
      <c r="P19" s="135" t="s">
        <v>126</v>
      </c>
      <c r="Q19" s="136"/>
      <c r="R19" s="136"/>
      <c r="S19" s="136"/>
      <c r="T19" s="54" t="s">
        <v>212</v>
      </c>
      <c r="U19" s="54"/>
      <c r="V19" s="49"/>
      <c r="W19" s="54"/>
      <c r="X19" s="55"/>
      <c r="Y19" s="56" t="str">
        <f t="shared" si="11"/>
        <v>不適用</v>
      </c>
      <c r="Z19" s="49"/>
    </row>
    <row r="20" spans="1:26">
      <c r="A20" s="52" t="str">
        <f t="shared" si="10"/>
        <v>材1-1-DA-04</v>
      </c>
      <c r="B20" s="52">
        <f t="shared" si="0"/>
        <v>0</v>
      </c>
      <c r="C20" s="52" t="str">
        <f t="shared" si="1"/>
        <v>操作手冊</v>
      </c>
      <c r="D20" s="52" t="str">
        <f t="shared" si="2"/>
        <v>系統-操作手冊</v>
      </c>
      <c r="E20" s="52">
        <f t="shared" si="3"/>
        <v>1</v>
      </c>
      <c r="F20" s="52" t="str">
        <f t="shared" si="4"/>
        <v>賴斐瓔 </v>
      </c>
      <c r="G20" s="52">
        <f t="shared" si="5"/>
        <v>1</v>
      </c>
      <c r="H20" s="52">
        <f t="shared" si="6"/>
        <v>1</v>
      </c>
      <c r="I20" s="52">
        <f t="shared" si="7"/>
        <v>1</v>
      </c>
      <c r="J20" s="52" t="str">
        <f t="shared" si="8"/>
        <v>NA</v>
      </c>
      <c r="K20" s="53">
        <f t="shared" si="9"/>
        <v>1</v>
      </c>
      <c r="L20" s="53">
        <f t="shared" si="12"/>
        <v>4</v>
      </c>
      <c r="M20" s="156" t="s">
        <v>92</v>
      </c>
      <c r="N20" s="157" t="s">
        <v>127</v>
      </c>
      <c r="O20" s="158" t="s">
        <v>127</v>
      </c>
      <c r="P20" s="130" t="s">
        <v>128</v>
      </c>
      <c r="Q20" s="131"/>
      <c r="R20" s="131"/>
      <c r="S20" s="131"/>
      <c r="T20" s="54" t="s">
        <v>166</v>
      </c>
      <c r="U20" s="54">
        <v>2</v>
      </c>
      <c r="V20" s="55" t="s">
        <v>169</v>
      </c>
      <c r="W20" s="54">
        <v>2</v>
      </c>
      <c r="X20" s="55" t="s">
        <v>211</v>
      </c>
      <c r="Y20" s="56">
        <f t="shared" si="11"/>
        <v>4</v>
      </c>
      <c r="Z20" s="49"/>
    </row>
    <row r="21" spans="1:26" ht="31">
      <c r="A21" s="52" t="str">
        <f t="shared" si="10"/>
        <v>材1-1-DA-04</v>
      </c>
      <c r="B21" s="52">
        <f t="shared" si="0"/>
        <v>0</v>
      </c>
      <c r="C21" s="52" t="str">
        <f t="shared" si="1"/>
        <v>操作手冊</v>
      </c>
      <c r="D21" s="52" t="str">
        <f t="shared" si="2"/>
        <v>系統-操作手冊</v>
      </c>
      <c r="E21" s="52">
        <f t="shared" si="3"/>
        <v>1</v>
      </c>
      <c r="F21" s="52" t="str">
        <f t="shared" si="4"/>
        <v>賴斐瓔 </v>
      </c>
      <c r="G21" s="52">
        <f t="shared" si="5"/>
        <v>1</v>
      </c>
      <c r="H21" s="52">
        <f t="shared" si="6"/>
        <v>1</v>
      </c>
      <c r="I21" s="52">
        <f t="shared" si="7"/>
        <v>1</v>
      </c>
      <c r="J21" s="52" t="str">
        <f t="shared" si="8"/>
        <v>NA</v>
      </c>
      <c r="K21" s="53">
        <f t="shared" si="9"/>
        <v>1</v>
      </c>
      <c r="L21" s="53">
        <f t="shared" si="12"/>
        <v>4</v>
      </c>
      <c r="M21" s="159" t="s">
        <v>151</v>
      </c>
      <c r="N21" s="160" t="s">
        <v>129</v>
      </c>
      <c r="O21" s="161" t="s">
        <v>129</v>
      </c>
      <c r="P21" s="130" t="s">
        <v>130</v>
      </c>
      <c r="Q21" s="131"/>
      <c r="R21" s="131"/>
      <c r="S21" s="131"/>
      <c r="T21" s="54" t="s">
        <v>161</v>
      </c>
      <c r="U21" s="54">
        <v>2</v>
      </c>
      <c r="V21" s="196" t="s">
        <v>223</v>
      </c>
      <c r="W21" s="54">
        <v>1</v>
      </c>
      <c r="X21" s="55" t="s">
        <v>211</v>
      </c>
      <c r="Y21" s="56">
        <f t="shared" si="11"/>
        <v>2</v>
      </c>
      <c r="Z21" s="49"/>
    </row>
    <row r="22" spans="1:26">
      <c r="A22" s="52" t="str">
        <f t="shared" si="10"/>
        <v>材1-1-DA-04</v>
      </c>
      <c r="B22" s="52">
        <f t="shared" si="0"/>
        <v>0</v>
      </c>
      <c r="C22" s="52" t="str">
        <f t="shared" si="1"/>
        <v>操作手冊</v>
      </c>
      <c r="D22" s="52" t="str">
        <f t="shared" si="2"/>
        <v>系統-操作手冊</v>
      </c>
      <c r="E22" s="52">
        <f t="shared" si="3"/>
        <v>1</v>
      </c>
      <c r="F22" s="52" t="str">
        <f t="shared" si="4"/>
        <v>賴斐瓔 </v>
      </c>
      <c r="G22" s="52">
        <f t="shared" si="5"/>
        <v>1</v>
      </c>
      <c r="H22" s="52">
        <f t="shared" si="6"/>
        <v>1</v>
      </c>
      <c r="I22" s="52">
        <f t="shared" si="7"/>
        <v>1</v>
      </c>
      <c r="J22" s="52" t="str">
        <f t="shared" si="8"/>
        <v>NA</v>
      </c>
      <c r="K22" s="53">
        <f t="shared" si="9"/>
        <v>1</v>
      </c>
      <c r="L22" s="53">
        <f t="shared" si="12"/>
        <v>4</v>
      </c>
      <c r="M22" s="162" t="s">
        <v>152</v>
      </c>
      <c r="N22" s="163"/>
      <c r="O22" s="164"/>
      <c r="P22" s="154" t="s">
        <v>131</v>
      </c>
      <c r="Q22" s="155"/>
      <c r="R22" s="155"/>
      <c r="S22" s="155"/>
      <c r="T22" s="54" t="s">
        <v>214</v>
      </c>
      <c r="U22" s="54">
        <v>2</v>
      </c>
      <c r="V22" s="198" t="s">
        <v>231</v>
      </c>
      <c r="W22" s="54">
        <v>1</v>
      </c>
      <c r="X22" s="55" t="s">
        <v>211</v>
      </c>
      <c r="Y22" s="56">
        <f t="shared" si="11"/>
        <v>2</v>
      </c>
      <c r="Z22" s="21"/>
    </row>
    <row r="23" spans="1:26" ht="46.5">
      <c r="A23" s="52" t="str">
        <f t="shared" si="10"/>
        <v>材1-1-DA-04</v>
      </c>
      <c r="B23" s="52">
        <f t="shared" si="0"/>
        <v>0</v>
      </c>
      <c r="C23" s="52" t="str">
        <f t="shared" si="1"/>
        <v>操作手冊</v>
      </c>
      <c r="D23" s="52" t="str">
        <f t="shared" si="2"/>
        <v>系統-操作手冊</v>
      </c>
      <c r="E23" s="52">
        <f t="shared" si="3"/>
        <v>1</v>
      </c>
      <c r="F23" s="52" t="str">
        <f t="shared" si="4"/>
        <v>賴斐瓔 </v>
      </c>
      <c r="G23" s="52">
        <f t="shared" si="5"/>
        <v>1</v>
      </c>
      <c r="H23" s="52">
        <f t="shared" si="6"/>
        <v>1</v>
      </c>
      <c r="I23" s="52">
        <f t="shared" si="7"/>
        <v>1</v>
      </c>
      <c r="J23" s="52" t="str">
        <f t="shared" si="8"/>
        <v>NA</v>
      </c>
      <c r="K23" s="53">
        <f t="shared" si="9"/>
        <v>1</v>
      </c>
      <c r="L23" s="53">
        <f t="shared" si="12"/>
        <v>4</v>
      </c>
      <c r="M23" s="162" t="s">
        <v>153</v>
      </c>
      <c r="N23" s="163"/>
      <c r="O23" s="164"/>
      <c r="P23" s="130" t="s">
        <v>132</v>
      </c>
      <c r="Q23" s="131"/>
      <c r="R23" s="131"/>
      <c r="S23" s="131"/>
      <c r="T23" s="54" t="s">
        <v>161</v>
      </c>
      <c r="U23" s="54">
        <v>2</v>
      </c>
      <c r="V23" s="21" t="s">
        <v>170</v>
      </c>
      <c r="W23" s="54">
        <v>1</v>
      </c>
      <c r="X23" s="55" t="s">
        <v>211</v>
      </c>
      <c r="Y23" s="56">
        <f t="shared" si="11"/>
        <v>2</v>
      </c>
      <c r="Z23" s="21"/>
    </row>
    <row r="24" spans="1:26">
      <c r="A24" s="52" t="str">
        <f t="shared" si="10"/>
        <v>材1-1-DA-04</v>
      </c>
      <c r="B24" s="52">
        <f t="shared" si="0"/>
        <v>0</v>
      </c>
      <c r="C24" s="52" t="str">
        <f t="shared" si="1"/>
        <v>操作手冊</v>
      </c>
      <c r="D24" s="52" t="str">
        <f t="shared" si="2"/>
        <v>系統-操作手冊</v>
      </c>
      <c r="E24" s="52">
        <f t="shared" si="3"/>
        <v>1</v>
      </c>
      <c r="F24" s="52" t="str">
        <f t="shared" si="4"/>
        <v>賴斐瓔 </v>
      </c>
      <c r="G24" s="52">
        <f t="shared" si="5"/>
        <v>1</v>
      </c>
      <c r="H24" s="52">
        <f t="shared" si="6"/>
        <v>1</v>
      </c>
      <c r="I24" s="52">
        <f t="shared" si="7"/>
        <v>1</v>
      </c>
      <c r="J24" s="52" t="str">
        <f t="shared" si="8"/>
        <v>NA</v>
      </c>
      <c r="K24" s="53">
        <f t="shared" si="9"/>
        <v>1</v>
      </c>
      <c r="L24" s="53">
        <f t="shared" si="12"/>
        <v>4</v>
      </c>
      <c r="M24" s="162" t="s">
        <v>154</v>
      </c>
      <c r="N24" s="163"/>
      <c r="O24" s="164"/>
      <c r="P24" s="130" t="s">
        <v>133</v>
      </c>
      <c r="Q24" s="131"/>
      <c r="R24" s="131"/>
      <c r="S24" s="131"/>
      <c r="T24" s="54" t="s">
        <v>215</v>
      </c>
      <c r="U24" s="54"/>
      <c r="V24" s="21"/>
      <c r="W24" s="54"/>
      <c r="X24" s="57"/>
      <c r="Y24" s="56" t="str">
        <f t="shared" si="11"/>
        <v>不適用</v>
      </c>
      <c r="Z24" s="21"/>
    </row>
    <row r="25" spans="1:26">
      <c r="A25" s="52" t="str">
        <f t="shared" si="10"/>
        <v>材1-1-DA-04</v>
      </c>
      <c r="B25" s="52">
        <f t="shared" si="0"/>
        <v>0</v>
      </c>
      <c r="C25" s="52" t="str">
        <f t="shared" si="1"/>
        <v>操作手冊</v>
      </c>
      <c r="D25" s="52" t="str">
        <f t="shared" si="2"/>
        <v>系統-操作手冊</v>
      </c>
      <c r="E25" s="52">
        <f t="shared" si="3"/>
        <v>1</v>
      </c>
      <c r="F25" s="52" t="str">
        <f t="shared" si="4"/>
        <v>賴斐瓔 </v>
      </c>
      <c r="G25" s="52">
        <f t="shared" si="5"/>
        <v>1</v>
      </c>
      <c r="H25" s="52">
        <f t="shared" si="6"/>
        <v>1</v>
      </c>
      <c r="I25" s="52">
        <f t="shared" si="7"/>
        <v>1</v>
      </c>
      <c r="J25" s="52" t="str">
        <f t="shared" si="8"/>
        <v>NA</v>
      </c>
      <c r="K25" s="53">
        <f t="shared" si="9"/>
        <v>1</v>
      </c>
      <c r="L25" s="53">
        <f t="shared" si="12"/>
        <v>4</v>
      </c>
      <c r="M25" s="162" t="s">
        <v>155</v>
      </c>
      <c r="N25" s="163"/>
      <c r="O25" s="164"/>
      <c r="P25" s="130" t="s">
        <v>134</v>
      </c>
      <c r="Q25" s="131"/>
      <c r="R25" s="131"/>
      <c r="S25" s="131"/>
      <c r="T25" s="54" t="s">
        <v>161</v>
      </c>
      <c r="U25" s="54">
        <v>2</v>
      </c>
      <c r="V25" s="21" t="s">
        <v>171</v>
      </c>
      <c r="W25" s="54">
        <v>2</v>
      </c>
      <c r="X25" s="55" t="s">
        <v>211</v>
      </c>
      <c r="Y25" s="56">
        <f t="shared" si="11"/>
        <v>4</v>
      </c>
      <c r="Z25" s="21"/>
    </row>
    <row r="26" spans="1:26" ht="31">
      <c r="A26" s="52" t="str">
        <f t="shared" si="10"/>
        <v>材1-1-DA-04</v>
      </c>
      <c r="B26" s="52">
        <f t="shared" si="0"/>
        <v>0</v>
      </c>
      <c r="C26" s="52" t="str">
        <f t="shared" si="1"/>
        <v>操作手冊</v>
      </c>
      <c r="D26" s="52" t="str">
        <f t="shared" si="2"/>
        <v>系統-操作手冊</v>
      </c>
      <c r="E26" s="52">
        <f t="shared" si="3"/>
        <v>1</v>
      </c>
      <c r="F26" s="52" t="str">
        <f t="shared" si="4"/>
        <v>賴斐瓔 </v>
      </c>
      <c r="G26" s="52">
        <f t="shared" si="5"/>
        <v>1</v>
      </c>
      <c r="H26" s="52">
        <f t="shared" si="6"/>
        <v>1</v>
      </c>
      <c r="I26" s="52">
        <f t="shared" si="7"/>
        <v>1</v>
      </c>
      <c r="J26" s="52" t="str">
        <f t="shared" si="8"/>
        <v>NA</v>
      </c>
      <c r="K26" s="53">
        <f t="shared" si="9"/>
        <v>1</v>
      </c>
      <c r="L26" s="53">
        <f t="shared" si="12"/>
        <v>4</v>
      </c>
      <c r="M26" s="165" t="s">
        <v>135</v>
      </c>
      <c r="N26" s="166"/>
      <c r="O26" s="167"/>
      <c r="P26" s="168" t="s">
        <v>136</v>
      </c>
      <c r="Q26" s="169"/>
      <c r="R26" s="169"/>
      <c r="S26" s="169"/>
      <c r="T26" s="54" t="s">
        <v>161</v>
      </c>
      <c r="U26" s="54">
        <v>2</v>
      </c>
      <c r="V26" s="21" t="s">
        <v>172</v>
      </c>
      <c r="W26" s="54">
        <v>2</v>
      </c>
      <c r="X26" s="55" t="s">
        <v>211</v>
      </c>
      <c r="Y26" s="56">
        <f t="shared" si="11"/>
        <v>4</v>
      </c>
      <c r="Z26" s="21"/>
    </row>
    <row r="27" spans="1:26">
      <c r="A27" s="52" t="str">
        <f t="shared" si="10"/>
        <v>材1-1-DA-04</v>
      </c>
      <c r="B27" s="52">
        <f t="shared" si="0"/>
        <v>0</v>
      </c>
      <c r="C27" s="52" t="str">
        <f t="shared" si="1"/>
        <v>操作手冊</v>
      </c>
      <c r="D27" s="52" t="str">
        <f t="shared" si="2"/>
        <v>系統-操作手冊</v>
      </c>
      <c r="E27" s="52">
        <f t="shared" si="3"/>
        <v>1</v>
      </c>
      <c r="F27" s="52" t="str">
        <f t="shared" si="4"/>
        <v>賴斐瓔 </v>
      </c>
      <c r="G27" s="52">
        <f t="shared" si="5"/>
        <v>1</v>
      </c>
      <c r="H27" s="52">
        <f t="shared" si="6"/>
        <v>1</v>
      </c>
      <c r="I27" s="52">
        <f t="shared" si="7"/>
        <v>1</v>
      </c>
      <c r="J27" s="52" t="str">
        <f t="shared" si="8"/>
        <v>NA</v>
      </c>
      <c r="K27" s="53">
        <f t="shared" si="9"/>
        <v>1</v>
      </c>
      <c r="L27" s="53">
        <f t="shared" si="12"/>
        <v>4</v>
      </c>
      <c r="M27" s="170" t="s">
        <v>138</v>
      </c>
      <c r="N27" s="171"/>
      <c r="O27" s="172"/>
      <c r="P27" s="150" t="s">
        <v>137</v>
      </c>
      <c r="Q27" s="173"/>
      <c r="R27" s="173"/>
      <c r="S27" s="173"/>
      <c r="T27" s="64" t="s">
        <v>160</v>
      </c>
      <c r="U27" s="64"/>
      <c r="V27" s="58"/>
      <c r="W27" s="64"/>
      <c r="X27" s="65"/>
      <c r="Y27" s="59" t="str">
        <f t="shared" si="11"/>
        <v>不適用</v>
      </c>
      <c r="Z27" s="58"/>
    </row>
    <row r="28" spans="1:26">
      <c r="A28" s="52" t="str">
        <f t="shared" si="10"/>
        <v>材1-1-DA-04</v>
      </c>
      <c r="B28" s="52">
        <f t="shared" si="0"/>
        <v>0</v>
      </c>
      <c r="C28" s="52" t="str">
        <f t="shared" si="1"/>
        <v>操作手冊</v>
      </c>
      <c r="D28" s="52" t="str">
        <f t="shared" si="2"/>
        <v>系統-操作手冊</v>
      </c>
      <c r="E28" s="52">
        <f t="shared" si="3"/>
        <v>1</v>
      </c>
      <c r="F28" s="52" t="str">
        <f t="shared" si="4"/>
        <v>賴斐瓔 </v>
      </c>
      <c r="G28" s="52">
        <f t="shared" si="5"/>
        <v>1</v>
      </c>
      <c r="H28" s="52">
        <f t="shared" si="6"/>
        <v>1</v>
      </c>
      <c r="I28" s="52">
        <f t="shared" si="7"/>
        <v>1</v>
      </c>
      <c r="J28" s="52" t="str">
        <f t="shared" si="8"/>
        <v>NA</v>
      </c>
      <c r="K28" s="53">
        <f t="shared" si="9"/>
        <v>1</v>
      </c>
      <c r="L28" s="53">
        <f t="shared" si="12"/>
        <v>4</v>
      </c>
      <c r="M28" s="165" t="s">
        <v>138</v>
      </c>
      <c r="N28" s="166"/>
      <c r="O28" s="167"/>
      <c r="P28" s="130" t="s">
        <v>139</v>
      </c>
      <c r="Q28" s="131"/>
      <c r="R28" s="131"/>
      <c r="S28" s="131"/>
      <c r="T28" s="54" t="s">
        <v>160</v>
      </c>
      <c r="U28" s="54"/>
      <c r="V28" s="21"/>
      <c r="W28" s="54"/>
      <c r="X28" s="57"/>
      <c r="Y28" s="56" t="str">
        <f t="shared" si="11"/>
        <v>不適用</v>
      </c>
      <c r="Z28" s="21"/>
    </row>
    <row r="29" spans="1:26" ht="40.5" customHeight="1">
      <c r="A29" s="52"/>
      <c r="B29" s="52"/>
      <c r="C29" s="52"/>
      <c r="D29" s="52"/>
      <c r="E29" s="52"/>
      <c r="F29" s="52"/>
      <c r="G29" s="52"/>
      <c r="H29" s="52"/>
      <c r="I29" s="52"/>
      <c r="J29" s="52"/>
      <c r="K29" s="53"/>
      <c r="L29" s="53"/>
      <c r="M29" s="174" t="s">
        <v>141</v>
      </c>
      <c r="N29" s="175"/>
      <c r="O29" s="176"/>
      <c r="P29" s="130" t="s">
        <v>140</v>
      </c>
      <c r="Q29" s="131"/>
      <c r="R29" s="131"/>
      <c r="S29" s="131"/>
      <c r="T29" s="54" t="s">
        <v>160</v>
      </c>
      <c r="U29" s="64"/>
      <c r="V29" s="58"/>
      <c r="W29" s="64"/>
      <c r="X29" s="65"/>
      <c r="Y29" s="56" t="str">
        <f t="shared" si="11"/>
        <v>不適用</v>
      </c>
      <c r="Z29" s="58"/>
    </row>
    <row r="30" spans="1:26">
      <c r="A30" s="52"/>
      <c r="B30" s="52"/>
      <c r="C30" s="52"/>
      <c r="D30" s="52"/>
      <c r="E30" s="52"/>
      <c r="F30" s="52"/>
      <c r="G30" s="52"/>
      <c r="H30" s="52"/>
      <c r="I30" s="52"/>
      <c r="J30" s="52"/>
      <c r="K30" s="53"/>
      <c r="L30" s="53"/>
      <c r="M30" s="177" t="s">
        <v>141</v>
      </c>
      <c r="N30" s="178"/>
      <c r="O30" s="179"/>
      <c r="P30" s="130" t="s">
        <v>142</v>
      </c>
      <c r="Q30" s="131"/>
      <c r="R30" s="131"/>
      <c r="S30" s="131"/>
      <c r="T30" s="54" t="s">
        <v>160</v>
      </c>
      <c r="U30" s="64"/>
      <c r="V30" s="58"/>
      <c r="W30" s="64"/>
      <c r="X30" s="65"/>
      <c r="Y30" s="56" t="str">
        <f t="shared" si="11"/>
        <v>不適用</v>
      </c>
      <c r="Z30" s="58"/>
    </row>
    <row r="31" spans="1:26" ht="37.75" customHeight="1">
      <c r="A31" s="52"/>
      <c r="B31" s="52"/>
      <c r="C31" s="52"/>
      <c r="D31" s="52"/>
      <c r="E31" s="52"/>
      <c r="F31" s="52"/>
      <c r="G31" s="52"/>
      <c r="H31" s="52"/>
      <c r="I31" s="52"/>
      <c r="J31" s="52"/>
      <c r="K31" s="53"/>
      <c r="L31" s="53"/>
      <c r="M31" s="185" t="s">
        <v>144</v>
      </c>
      <c r="N31" s="186"/>
      <c r="O31" s="187"/>
      <c r="P31" s="130" t="s">
        <v>143</v>
      </c>
      <c r="Q31" s="131"/>
      <c r="R31" s="131"/>
      <c r="S31" s="131"/>
      <c r="T31" s="54" t="s">
        <v>160</v>
      </c>
      <c r="U31" s="64"/>
      <c r="V31" s="58"/>
      <c r="W31" s="64"/>
      <c r="X31" s="65"/>
      <c r="Y31" s="56" t="str">
        <f t="shared" si="11"/>
        <v>不適用</v>
      </c>
      <c r="Z31" s="58"/>
    </row>
    <row r="32" spans="1:26">
      <c r="A32" s="52"/>
      <c r="B32" s="52"/>
      <c r="C32" s="52"/>
      <c r="D32" s="52"/>
      <c r="E32" s="52"/>
      <c r="F32" s="52"/>
      <c r="G32" s="52"/>
      <c r="H32" s="52"/>
      <c r="I32" s="52"/>
      <c r="J32" s="52"/>
      <c r="K32" s="53"/>
      <c r="L32" s="53"/>
      <c r="M32" s="188" t="s">
        <v>144</v>
      </c>
      <c r="N32" s="189"/>
      <c r="O32" s="190"/>
      <c r="P32" s="130" t="s">
        <v>145</v>
      </c>
      <c r="Q32" s="131"/>
      <c r="R32" s="131"/>
      <c r="S32" s="131"/>
      <c r="T32" s="54" t="s">
        <v>160</v>
      </c>
      <c r="U32" s="64"/>
      <c r="V32" s="58"/>
      <c r="W32" s="64"/>
      <c r="X32" s="65"/>
      <c r="Y32" s="56" t="str">
        <f t="shared" si="11"/>
        <v>不適用</v>
      </c>
      <c r="Z32" s="58"/>
    </row>
    <row r="33" spans="1:26">
      <c r="A33" s="52"/>
      <c r="B33" s="52"/>
      <c r="C33" s="52"/>
      <c r="D33" s="52"/>
      <c r="E33" s="52"/>
      <c r="F33" s="52"/>
      <c r="G33" s="52"/>
      <c r="H33" s="52"/>
      <c r="I33" s="52"/>
      <c r="J33" s="52"/>
      <c r="K33" s="53"/>
      <c r="L33" s="53"/>
      <c r="M33" s="191" t="s">
        <v>156</v>
      </c>
      <c r="N33" s="192"/>
      <c r="O33" s="193"/>
      <c r="P33" s="130" t="s">
        <v>146</v>
      </c>
      <c r="Q33" s="131"/>
      <c r="R33" s="131"/>
      <c r="S33" s="131"/>
      <c r="T33" s="54" t="s">
        <v>160</v>
      </c>
      <c r="U33" s="64"/>
      <c r="V33" s="58"/>
      <c r="W33" s="64"/>
      <c r="X33" s="65"/>
      <c r="Y33" s="56" t="str">
        <f t="shared" si="11"/>
        <v>不適用</v>
      </c>
      <c r="Z33" s="58"/>
    </row>
    <row r="34" spans="1:26">
      <c r="A34" s="52" t="str">
        <f t="shared" si="10"/>
        <v>材1-1-DA-04</v>
      </c>
      <c r="B34" s="52">
        <f t="shared" si="0"/>
        <v>0</v>
      </c>
      <c r="C34" s="52" t="str">
        <f t="shared" si="1"/>
        <v>操作手冊</v>
      </c>
      <c r="D34" s="52" t="str">
        <f t="shared" si="2"/>
        <v>系統-操作手冊</v>
      </c>
      <c r="E34" s="52">
        <f t="shared" si="3"/>
        <v>1</v>
      </c>
      <c r="F34" s="52" t="str">
        <f t="shared" si="4"/>
        <v>賴斐瓔 </v>
      </c>
      <c r="G34" s="52">
        <f t="shared" si="5"/>
        <v>1</v>
      </c>
      <c r="H34" s="52">
        <f t="shared" si="6"/>
        <v>1</v>
      </c>
      <c r="I34" s="52">
        <f t="shared" si="7"/>
        <v>1</v>
      </c>
      <c r="J34" s="52" t="str">
        <f t="shared" si="8"/>
        <v>NA</v>
      </c>
      <c r="K34" s="53">
        <f t="shared" si="9"/>
        <v>1</v>
      </c>
      <c r="L34" s="53">
        <f>$S$7</f>
        <v>4</v>
      </c>
      <c r="M34" s="180" t="s">
        <v>147</v>
      </c>
      <c r="N34" s="181"/>
      <c r="O34" s="182"/>
      <c r="P34" s="183" t="s">
        <v>148</v>
      </c>
      <c r="Q34" s="184"/>
      <c r="R34" s="184"/>
      <c r="S34" s="168"/>
      <c r="T34" s="54" t="s">
        <v>160</v>
      </c>
      <c r="U34" s="54"/>
      <c r="V34" s="54"/>
      <c r="W34" s="54"/>
      <c r="X34" s="55"/>
      <c r="Y34" s="60" t="str">
        <f t="shared" si="11"/>
        <v>不適用</v>
      </c>
      <c r="Z34" s="54"/>
    </row>
    <row r="39" spans="1:26">
      <c r="M39" s="7"/>
    </row>
  </sheetData>
  <sheetProtection formatCells="0" formatColumns="0" formatRows="0" insertColumns="0" insertRows="0" insertHyperlinks="0" deleteColumns="0" deleteRows="0" sort="0" autoFilter="0" pivotTables="0"/>
  <autoFilter ref="M10:Z10" xr:uid="{00000000-0009-0000-0000-000006000000}">
    <filterColumn colId="0" showButton="0"/>
    <filterColumn colId="1" showButton="0"/>
    <filterColumn colId="3" showButton="0"/>
    <filterColumn colId="4" showButton="0"/>
    <filterColumn colId="5" showButton="0"/>
  </autoFilter>
  <mergeCells count="57">
    <mergeCell ref="M34:O34"/>
    <mergeCell ref="P34:S34"/>
    <mergeCell ref="M31:O31"/>
    <mergeCell ref="P31:S31"/>
    <mergeCell ref="M32:O32"/>
    <mergeCell ref="P32:S32"/>
    <mergeCell ref="M33:O33"/>
    <mergeCell ref="P33:S33"/>
    <mergeCell ref="M28:O28"/>
    <mergeCell ref="P28:S28"/>
    <mergeCell ref="M29:O29"/>
    <mergeCell ref="P29:S29"/>
    <mergeCell ref="M30:O30"/>
    <mergeCell ref="P30:S30"/>
    <mergeCell ref="M25:O25"/>
    <mergeCell ref="P25:S25"/>
    <mergeCell ref="M26:O26"/>
    <mergeCell ref="P26:S26"/>
    <mergeCell ref="M27:O27"/>
    <mergeCell ref="P27:S27"/>
    <mergeCell ref="M22:O22"/>
    <mergeCell ref="P22:S22"/>
    <mergeCell ref="M23:O23"/>
    <mergeCell ref="P23:S23"/>
    <mergeCell ref="M24:O24"/>
    <mergeCell ref="P24:S24"/>
    <mergeCell ref="M19:O19"/>
    <mergeCell ref="P19:S19"/>
    <mergeCell ref="M20:O20"/>
    <mergeCell ref="P20:S20"/>
    <mergeCell ref="M21:O21"/>
    <mergeCell ref="P21:S21"/>
    <mergeCell ref="M16:O16"/>
    <mergeCell ref="P16:S16"/>
    <mergeCell ref="M17:O17"/>
    <mergeCell ref="P17:S17"/>
    <mergeCell ref="M18:O18"/>
    <mergeCell ref="P18:S18"/>
    <mergeCell ref="M13:O13"/>
    <mergeCell ref="P13:S13"/>
    <mergeCell ref="M14:O14"/>
    <mergeCell ref="P14:S14"/>
    <mergeCell ref="M15:O15"/>
    <mergeCell ref="P15:S15"/>
    <mergeCell ref="M12:O12"/>
    <mergeCell ref="P12:S12"/>
    <mergeCell ref="M1:Z1"/>
    <mergeCell ref="N2:P2"/>
    <mergeCell ref="N3:P3"/>
    <mergeCell ref="N4:P4"/>
    <mergeCell ref="N5:P5"/>
    <mergeCell ref="N6:P6"/>
    <mergeCell ref="N7:P7"/>
    <mergeCell ref="M10:O10"/>
    <mergeCell ref="P10:S10"/>
    <mergeCell ref="M11:O11"/>
    <mergeCell ref="P11:S11"/>
  </mergeCells>
  <phoneticPr fontId="1" type="noConversion"/>
  <dataValidations count="2">
    <dataValidation type="list" allowBlank="1" showInputMessage="1" showErrorMessage="1" sqref="T65546:T65569 JI65546:JI65569 TE65546:TE65569 ADA65546:ADA65569 AMW65546:AMW65569 AWS65546:AWS65569 BGO65546:BGO65569 BQK65546:BQK65569 CAG65546:CAG65569 CKC65546:CKC65569 CTY65546:CTY65569 DDU65546:DDU65569 DNQ65546:DNQ65569 DXM65546:DXM65569 EHI65546:EHI65569 ERE65546:ERE65569 FBA65546:FBA65569 FKW65546:FKW65569 FUS65546:FUS65569 GEO65546:GEO65569 GOK65546:GOK65569 GYG65546:GYG65569 HIC65546:HIC65569 HRY65546:HRY65569 IBU65546:IBU65569 ILQ65546:ILQ65569 IVM65546:IVM65569 JFI65546:JFI65569 JPE65546:JPE65569 JZA65546:JZA65569 KIW65546:KIW65569 KSS65546:KSS65569 LCO65546:LCO65569 LMK65546:LMK65569 LWG65546:LWG65569 MGC65546:MGC65569 MPY65546:MPY65569 MZU65546:MZU65569 NJQ65546:NJQ65569 NTM65546:NTM65569 ODI65546:ODI65569 ONE65546:ONE65569 OXA65546:OXA65569 PGW65546:PGW65569 PQS65546:PQS65569 QAO65546:QAO65569 QKK65546:QKK65569 QUG65546:QUG65569 REC65546:REC65569 RNY65546:RNY65569 RXU65546:RXU65569 SHQ65546:SHQ65569 SRM65546:SRM65569 TBI65546:TBI65569 TLE65546:TLE65569 TVA65546:TVA65569 UEW65546:UEW65569 UOS65546:UOS65569 UYO65546:UYO65569 VIK65546:VIK65569 VSG65546:VSG65569 WCC65546:WCC65569 WLY65546:WLY65569 WVU65546:WVU65569 T131082:T131105 JI131082:JI131105 TE131082:TE131105 ADA131082:ADA131105 AMW131082:AMW131105 AWS131082:AWS131105 BGO131082:BGO131105 BQK131082:BQK131105 CAG131082:CAG131105 CKC131082:CKC131105 CTY131082:CTY131105 DDU131082:DDU131105 DNQ131082:DNQ131105 DXM131082:DXM131105 EHI131082:EHI131105 ERE131082:ERE131105 FBA131082:FBA131105 FKW131082:FKW131105 FUS131082:FUS131105 GEO131082:GEO131105 GOK131082:GOK131105 GYG131082:GYG131105 HIC131082:HIC131105 HRY131082:HRY131105 IBU131082:IBU131105 ILQ131082:ILQ131105 IVM131082:IVM131105 JFI131082:JFI131105 JPE131082:JPE131105 JZA131082:JZA131105 KIW131082:KIW131105 KSS131082:KSS131105 LCO131082:LCO131105 LMK131082:LMK131105 LWG131082:LWG131105 MGC131082:MGC131105 MPY131082:MPY131105 MZU131082:MZU131105 NJQ131082:NJQ131105 NTM131082:NTM131105 ODI131082:ODI131105 ONE131082:ONE131105 OXA131082:OXA131105 PGW131082:PGW131105 PQS131082:PQS131105 QAO131082:QAO131105 QKK131082:QKK131105 QUG131082:QUG131105 REC131082:REC131105 RNY131082:RNY131105 RXU131082:RXU131105 SHQ131082:SHQ131105 SRM131082:SRM131105 TBI131082:TBI131105 TLE131082:TLE131105 TVA131082:TVA131105 UEW131082:UEW131105 UOS131082:UOS131105 UYO131082:UYO131105 VIK131082:VIK131105 VSG131082:VSG131105 WCC131082:WCC131105 WLY131082:WLY131105 WVU131082:WVU131105 T196618:T196641 JI196618:JI196641 TE196618:TE196641 ADA196618:ADA196641 AMW196618:AMW196641 AWS196618:AWS196641 BGO196618:BGO196641 BQK196618:BQK196641 CAG196618:CAG196641 CKC196618:CKC196641 CTY196618:CTY196641 DDU196618:DDU196641 DNQ196618:DNQ196641 DXM196618:DXM196641 EHI196618:EHI196641 ERE196618:ERE196641 FBA196618:FBA196641 FKW196618:FKW196641 FUS196618:FUS196641 GEO196618:GEO196641 GOK196618:GOK196641 GYG196618:GYG196641 HIC196618:HIC196641 HRY196618:HRY196641 IBU196618:IBU196641 ILQ196618:ILQ196641 IVM196618:IVM196641 JFI196618:JFI196641 JPE196618:JPE196641 JZA196618:JZA196641 KIW196618:KIW196641 KSS196618:KSS196641 LCO196618:LCO196641 LMK196618:LMK196641 LWG196618:LWG196641 MGC196618:MGC196641 MPY196618:MPY196641 MZU196618:MZU196641 NJQ196618:NJQ196641 NTM196618:NTM196641 ODI196618:ODI196641 ONE196618:ONE196641 OXA196618:OXA196641 PGW196618:PGW196641 PQS196618:PQS196641 QAO196618:QAO196641 QKK196618:QKK196641 QUG196618:QUG196641 REC196618:REC196641 RNY196618:RNY196641 RXU196618:RXU196641 SHQ196618:SHQ196641 SRM196618:SRM196641 TBI196618:TBI196641 TLE196618:TLE196641 TVA196618:TVA196641 UEW196618:UEW196641 UOS196618:UOS196641 UYO196618:UYO196641 VIK196618:VIK196641 VSG196618:VSG196641 WCC196618:WCC196641 WLY196618:WLY196641 WVU196618:WVU196641 T262154:T262177 JI262154:JI262177 TE262154:TE262177 ADA262154:ADA262177 AMW262154:AMW262177 AWS262154:AWS262177 BGO262154:BGO262177 BQK262154:BQK262177 CAG262154:CAG262177 CKC262154:CKC262177 CTY262154:CTY262177 DDU262154:DDU262177 DNQ262154:DNQ262177 DXM262154:DXM262177 EHI262154:EHI262177 ERE262154:ERE262177 FBA262154:FBA262177 FKW262154:FKW262177 FUS262154:FUS262177 GEO262154:GEO262177 GOK262154:GOK262177 GYG262154:GYG262177 HIC262154:HIC262177 HRY262154:HRY262177 IBU262154:IBU262177 ILQ262154:ILQ262177 IVM262154:IVM262177 JFI262154:JFI262177 JPE262154:JPE262177 JZA262154:JZA262177 KIW262154:KIW262177 KSS262154:KSS262177 LCO262154:LCO262177 LMK262154:LMK262177 LWG262154:LWG262177 MGC262154:MGC262177 MPY262154:MPY262177 MZU262154:MZU262177 NJQ262154:NJQ262177 NTM262154:NTM262177 ODI262154:ODI262177 ONE262154:ONE262177 OXA262154:OXA262177 PGW262154:PGW262177 PQS262154:PQS262177 QAO262154:QAO262177 QKK262154:QKK262177 QUG262154:QUG262177 REC262154:REC262177 RNY262154:RNY262177 RXU262154:RXU262177 SHQ262154:SHQ262177 SRM262154:SRM262177 TBI262154:TBI262177 TLE262154:TLE262177 TVA262154:TVA262177 UEW262154:UEW262177 UOS262154:UOS262177 UYO262154:UYO262177 VIK262154:VIK262177 VSG262154:VSG262177 WCC262154:WCC262177 WLY262154:WLY262177 WVU262154:WVU262177 T327690:T327713 JI327690:JI327713 TE327690:TE327713 ADA327690:ADA327713 AMW327690:AMW327713 AWS327690:AWS327713 BGO327690:BGO327713 BQK327690:BQK327713 CAG327690:CAG327713 CKC327690:CKC327713 CTY327690:CTY327713 DDU327690:DDU327713 DNQ327690:DNQ327713 DXM327690:DXM327713 EHI327690:EHI327713 ERE327690:ERE327713 FBA327690:FBA327713 FKW327690:FKW327713 FUS327690:FUS327713 GEO327690:GEO327713 GOK327690:GOK327713 GYG327690:GYG327713 HIC327690:HIC327713 HRY327690:HRY327713 IBU327690:IBU327713 ILQ327690:ILQ327713 IVM327690:IVM327713 JFI327690:JFI327713 JPE327690:JPE327713 JZA327690:JZA327713 KIW327690:KIW327713 KSS327690:KSS327713 LCO327690:LCO327713 LMK327690:LMK327713 LWG327690:LWG327713 MGC327690:MGC327713 MPY327690:MPY327713 MZU327690:MZU327713 NJQ327690:NJQ327713 NTM327690:NTM327713 ODI327690:ODI327713 ONE327690:ONE327713 OXA327690:OXA327713 PGW327690:PGW327713 PQS327690:PQS327713 QAO327690:QAO327713 QKK327690:QKK327713 QUG327690:QUG327713 REC327690:REC327713 RNY327690:RNY327713 RXU327690:RXU327713 SHQ327690:SHQ327713 SRM327690:SRM327713 TBI327690:TBI327713 TLE327690:TLE327713 TVA327690:TVA327713 UEW327690:UEW327713 UOS327690:UOS327713 UYO327690:UYO327713 VIK327690:VIK327713 VSG327690:VSG327713 WCC327690:WCC327713 WLY327690:WLY327713 WVU327690:WVU327713 T393226:T393249 JI393226:JI393249 TE393226:TE393249 ADA393226:ADA393249 AMW393226:AMW393249 AWS393226:AWS393249 BGO393226:BGO393249 BQK393226:BQK393249 CAG393226:CAG393249 CKC393226:CKC393249 CTY393226:CTY393249 DDU393226:DDU393249 DNQ393226:DNQ393249 DXM393226:DXM393249 EHI393226:EHI393249 ERE393226:ERE393249 FBA393226:FBA393249 FKW393226:FKW393249 FUS393226:FUS393249 GEO393226:GEO393249 GOK393226:GOK393249 GYG393226:GYG393249 HIC393226:HIC393249 HRY393226:HRY393249 IBU393226:IBU393249 ILQ393226:ILQ393249 IVM393226:IVM393249 JFI393226:JFI393249 JPE393226:JPE393249 JZA393226:JZA393249 KIW393226:KIW393249 KSS393226:KSS393249 LCO393226:LCO393249 LMK393226:LMK393249 LWG393226:LWG393249 MGC393226:MGC393249 MPY393226:MPY393249 MZU393226:MZU393249 NJQ393226:NJQ393249 NTM393226:NTM393249 ODI393226:ODI393249 ONE393226:ONE393249 OXA393226:OXA393249 PGW393226:PGW393249 PQS393226:PQS393249 QAO393226:QAO393249 QKK393226:QKK393249 QUG393226:QUG393249 REC393226:REC393249 RNY393226:RNY393249 RXU393226:RXU393249 SHQ393226:SHQ393249 SRM393226:SRM393249 TBI393226:TBI393249 TLE393226:TLE393249 TVA393226:TVA393249 UEW393226:UEW393249 UOS393226:UOS393249 UYO393226:UYO393249 VIK393226:VIK393249 VSG393226:VSG393249 WCC393226:WCC393249 WLY393226:WLY393249 WVU393226:WVU393249 T458762:T458785 JI458762:JI458785 TE458762:TE458785 ADA458762:ADA458785 AMW458762:AMW458785 AWS458762:AWS458785 BGO458762:BGO458785 BQK458762:BQK458785 CAG458762:CAG458785 CKC458762:CKC458785 CTY458762:CTY458785 DDU458762:DDU458785 DNQ458762:DNQ458785 DXM458762:DXM458785 EHI458762:EHI458785 ERE458762:ERE458785 FBA458762:FBA458785 FKW458762:FKW458785 FUS458762:FUS458785 GEO458762:GEO458785 GOK458762:GOK458785 GYG458762:GYG458785 HIC458762:HIC458785 HRY458762:HRY458785 IBU458762:IBU458785 ILQ458762:ILQ458785 IVM458762:IVM458785 JFI458762:JFI458785 JPE458762:JPE458785 JZA458762:JZA458785 KIW458762:KIW458785 KSS458762:KSS458785 LCO458762:LCO458785 LMK458762:LMK458785 LWG458762:LWG458785 MGC458762:MGC458785 MPY458762:MPY458785 MZU458762:MZU458785 NJQ458762:NJQ458785 NTM458762:NTM458785 ODI458762:ODI458785 ONE458762:ONE458785 OXA458762:OXA458785 PGW458762:PGW458785 PQS458762:PQS458785 QAO458762:QAO458785 QKK458762:QKK458785 QUG458762:QUG458785 REC458762:REC458785 RNY458762:RNY458785 RXU458762:RXU458785 SHQ458762:SHQ458785 SRM458762:SRM458785 TBI458762:TBI458785 TLE458762:TLE458785 TVA458762:TVA458785 UEW458762:UEW458785 UOS458762:UOS458785 UYO458762:UYO458785 VIK458762:VIK458785 VSG458762:VSG458785 WCC458762:WCC458785 WLY458762:WLY458785 WVU458762:WVU458785 T524298:T524321 JI524298:JI524321 TE524298:TE524321 ADA524298:ADA524321 AMW524298:AMW524321 AWS524298:AWS524321 BGO524298:BGO524321 BQK524298:BQK524321 CAG524298:CAG524321 CKC524298:CKC524321 CTY524298:CTY524321 DDU524298:DDU524321 DNQ524298:DNQ524321 DXM524298:DXM524321 EHI524298:EHI524321 ERE524298:ERE524321 FBA524298:FBA524321 FKW524298:FKW524321 FUS524298:FUS524321 GEO524298:GEO524321 GOK524298:GOK524321 GYG524298:GYG524321 HIC524298:HIC524321 HRY524298:HRY524321 IBU524298:IBU524321 ILQ524298:ILQ524321 IVM524298:IVM524321 JFI524298:JFI524321 JPE524298:JPE524321 JZA524298:JZA524321 KIW524298:KIW524321 KSS524298:KSS524321 LCO524298:LCO524321 LMK524298:LMK524321 LWG524298:LWG524321 MGC524298:MGC524321 MPY524298:MPY524321 MZU524298:MZU524321 NJQ524298:NJQ524321 NTM524298:NTM524321 ODI524298:ODI524321 ONE524298:ONE524321 OXA524298:OXA524321 PGW524298:PGW524321 PQS524298:PQS524321 QAO524298:QAO524321 QKK524298:QKK524321 QUG524298:QUG524321 REC524298:REC524321 RNY524298:RNY524321 RXU524298:RXU524321 SHQ524298:SHQ524321 SRM524298:SRM524321 TBI524298:TBI524321 TLE524298:TLE524321 TVA524298:TVA524321 UEW524298:UEW524321 UOS524298:UOS524321 UYO524298:UYO524321 VIK524298:VIK524321 VSG524298:VSG524321 WCC524298:WCC524321 WLY524298:WLY524321 WVU524298:WVU524321 T589834:T589857 JI589834:JI589857 TE589834:TE589857 ADA589834:ADA589857 AMW589834:AMW589857 AWS589834:AWS589857 BGO589834:BGO589857 BQK589834:BQK589857 CAG589834:CAG589857 CKC589834:CKC589857 CTY589834:CTY589857 DDU589834:DDU589857 DNQ589834:DNQ589857 DXM589834:DXM589857 EHI589834:EHI589857 ERE589834:ERE589857 FBA589834:FBA589857 FKW589834:FKW589857 FUS589834:FUS589857 GEO589834:GEO589857 GOK589834:GOK589857 GYG589834:GYG589857 HIC589834:HIC589857 HRY589834:HRY589857 IBU589834:IBU589857 ILQ589834:ILQ589857 IVM589834:IVM589857 JFI589834:JFI589857 JPE589834:JPE589857 JZA589834:JZA589857 KIW589834:KIW589857 KSS589834:KSS589857 LCO589834:LCO589857 LMK589834:LMK589857 LWG589834:LWG589857 MGC589834:MGC589857 MPY589834:MPY589857 MZU589834:MZU589857 NJQ589834:NJQ589857 NTM589834:NTM589857 ODI589834:ODI589857 ONE589834:ONE589857 OXA589834:OXA589857 PGW589834:PGW589857 PQS589834:PQS589857 QAO589834:QAO589857 QKK589834:QKK589857 QUG589834:QUG589857 REC589834:REC589857 RNY589834:RNY589857 RXU589834:RXU589857 SHQ589834:SHQ589857 SRM589834:SRM589857 TBI589834:TBI589857 TLE589834:TLE589857 TVA589834:TVA589857 UEW589834:UEW589857 UOS589834:UOS589857 UYO589834:UYO589857 VIK589834:VIK589857 VSG589834:VSG589857 WCC589834:WCC589857 WLY589834:WLY589857 WVU589834:WVU589857 T655370:T655393 JI655370:JI655393 TE655370:TE655393 ADA655370:ADA655393 AMW655370:AMW655393 AWS655370:AWS655393 BGO655370:BGO655393 BQK655370:BQK655393 CAG655370:CAG655393 CKC655370:CKC655393 CTY655370:CTY655393 DDU655370:DDU655393 DNQ655370:DNQ655393 DXM655370:DXM655393 EHI655370:EHI655393 ERE655370:ERE655393 FBA655370:FBA655393 FKW655370:FKW655393 FUS655370:FUS655393 GEO655370:GEO655393 GOK655370:GOK655393 GYG655370:GYG655393 HIC655370:HIC655393 HRY655370:HRY655393 IBU655370:IBU655393 ILQ655370:ILQ655393 IVM655370:IVM655393 JFI655370:JFI655393 JPE655370:JPE655393 JZA655370:JZA655393 KIW655370:KIW655393 KSS655370:KSS655393 LCO655370:LCO655393 LMK655370:LMK655393 LWG655370:LWG655393 MGC655370:MGC655393 MPY655370:MPY655393 MZU655370:MZU655393 NJQ655370:NJQ655393 NTM655370:NTM655393 ODI655370:ODI655393 ONE655370:ONE655393 OXA655370:OXA655393 PGW655370:PGW655393 PQS655370:PQS655393 QAO655370:QAO655393 QKK655370:QKK655393 QUG655370:QUG655393 REC655370:REC655393 RNY655370:RNY655393 RXU655370:RXU655393 SHQ655370:SHQ655393 SRM655370:SRM655393 TBI655370:TBI655393 TLE655370:TLE655393 TVA655370:TVA655393 UEW655370:UEW655393 UOS655370:UOS655393 UYO655370:UYO655393 VIK655370:VIK655393 VSG655370:VSG655393 WCC655370:WCC655393 WLY655370:WLY655393 WVU655370:WVU655393 T720906:T720929 JI720906:JI720929 TE720906:TE720929 ADA720906:ADA720929 AMW720906:AMW720929 AWS720906:AWS720929 BGO720906:BGO720929 BQK720906:BQK720929 CAG720906:CAG720929 CKC720906:CKC720929 CTY720906:CTY720929 DDU720906:DDU720929 DNQ720906:DNQ720929 DXM720906:DXM720929 EHI720906:EHI720929 ERE720906:ERE720929 FBA720906:FBA720929 FKW720906:FKW720929 FUS720906:FUS720929 GEO720906:GEO720929 GOK720906:GOK720929 GYG720906:GYG720929 HIC720906:HIC720929 HRY720906:HRY720929 IBU720906:IBU720929 ILQ720906:ILQ720929 IVM720906:IVM720929 JFI720906:JFI720929 JPE720906:JPE720929 JZA720906:JZA720929 KIW720906:KIW720929 KSS720906:KSS720929 LCO720906:LCO720929 LMK720906:LMK720929 LWG720906:LWG720929 MGC720906:MGC720929 MPY720906:MPY720929 MZU720906:MZU720929 NJQ720906:NJQ720929 NTM720906:NTM720929 ODI720906:ODI720929 ONE720906:ONE720929 OXA720906:OXA720929 PGW720906:PGW720929 PQS720906:PQS720929 QAO720906:QAO720929 QKK720906:QKK720929 QUG720906:QUG720929 REC720906:REC720929 RNY720906:RNY720929 RXU720906:RXU720929 SHQ720906:SHQ720929 SRM720906:SRM720929 TBI720906:TBI720929 TLE720906:TLE720929 TVA720906:TVA720929 UEW720906:UEW720929 UOS720906:UOS720929 UYO720906:UYO720929 VIK720906:VIK720929 VSG720906:VSG720929 WCC720906:WCC720929 WLY720906:WLY720929 WVU720906:WVU720929 T786442:T786465 JI786442:JI786465 TE786442:TE786465 ADA786442:ADA786465 AMW786442:AMW786465 AWS786442:AWS786465 BGO786442:BGO786465 BQK786442:BQK786465 CAG786442:CAG786465 CKC786442:CKC786465 CTY786442:CTY786465 DDU786442:DDU786465 DNQ786442:DNQ786465 DXM786442:DXM786465 EHI786442:EHI786465 ERE786442:ERE786465 FBA786442:FBA786465 FKW786442:FKW786465 FUS786442:FUS786465 GEO786442:GEO786465 GOK786442:GOK786465 GYG786442:GYG786465 HIC786442:HIC786465 HRY786442:HRY786465 IBU786442:IBU786465 ILQ786442:ILQ786465 IVM786442:IVM786465 JFI786442:JFI786465 JPE786442:JPE786465 JZA786442:JZA786465 KIW786442:KIW786465 KSS786442:KSS786465 LCO786442:LCO786465 LMK786442:LMK786465 LWG786442:LWG786465 MGC786442:MGC786465 MPY786442:MPY786465 MZU786442:MZU786465 NJQ786442:NJQ786465 NTM786442:NTM786465 ODI786442:ODI786465 ONE786442:ONE786465 OXA786442:OXA786465 PGW786442:PGW786465 PQS786442:PQS786465 QAO786442:QAO786465 QKK786442:QKK786465 QUG786442:QUG786465 REC786442:REC786465 RNY786442:RNY786465 RXU786442:RXU786465 SHQ786442:SHQ786465 SRM786442:SRM786465 TBI786442:TBI786465 TLE786442:TLE786465 TVA786442:TVA786465 UEW786442:UEW786465 UOS786442:UOS786465 UYO786442:UYO786465 VIK786442:VIK786465 VSG786442:VSG786465 WCC786442:WCC786465 WLY786442:WLY786465 WVU786442:WVU786465 T851978:T852001 JI851978:JI852001 TE851978:TE852001 ADA851978:ADA852001 AMW851978:AMW852001 AWS851978:AWS852001 BGO851978:BGO852001 BQK851978:BQK852001 CAG851978:CAG852001 CKC851978:CKC852001 CTY851978:CTY852001 DDU851978:DDU852001 DNQ851978:DNQ852001 DXM851978:DXM852001 EHI851978:EHI852001 ERE851978:ERE852001 FBA851978:FBA852001 FKW851978:FKW852001 FUS851978:FUS852001 GEO851978:GEO852001 GOK851978:GOK852001 GYG851978:GYG852001 HIC851978:HIC852001 HRY851978:HRY852001 IBU851978:IBU852001 ILQ851978:ILQ852001 IVM851978:IVM852001 JFI851978:JFI852001 JPE851978:JPE852001 JZA851978:JZA852001 KIW851978:KIW852001 KSS851978:KSS852001 LCO851978:LCO852001 LMK851978:LMK852001 LWG851978:LWG852001 MGC851978:MGC852001 MPY851978:MPY852001 MZU851978:MZU852001 NJQ851978:NJQ852001 NTM851978:NTM852001 ODI851978:ODI852001 ONE851978:ONE852001 OXA851978:OXA852001 PGW851978:PGW852001 PQS851978:PQS852001 QAO851978:QAO852001 QKK851978:QKK852001 QUG851978:QUG852001 REC851978:REC852001 RNY851978:RNY852001 RXU851978:RXU852001 SHQ851978:SHQ852001 SRM851978:SRM852001 TBI851978:TBI852001 TLE851978:TLE852001 TVA851978:TVA852001 UEW851978:UEW852001 UOS851978:UOS852001 UYO851978:UYO852001 VIK851978:VIK852001 VSG851978:VSG852001 WCC851978:WCC852001 WLY851978:WLY852001 WVU851978:WVU852001 T917514:T917537 JI917514:JI917537 TE917514:TE917537 ADA917514:ADA917537 AMW917514:AMW917537 AWS917514:AWS917537 BGO917514:BGO917537 BQK917514:BQK917537 CAG917514:CAG917537 CKC917514:CKC917537 CTY917514:CTY917537 DDU917514:DDU917537 DNQ917514:DNQ917537 DXM917514:DXM917537 EHI917514:EHI917537 ERE917514:ERE917537 FBA917514:FBA917537 FKW917514:FKW917537 FUS917514:FUS917537 GEO917514:GEO917537 GOK917514:GOK917537 GYG917514:GYG917537 HIC917514:HIC917537 HRY917514:HRY917537 IBU917514:IBU917537 ILQ917514:ILQ917537 IVM917514:IVM917537 JFI917514:JFI917537 JPE917514:JPE917537 JZA917514:JZA917537 KIW917514:KIW917537 KSS917514:KSS917537 LCO917514:LCO917537 LMK917514:LMK917537 LWG917514:LWG917537 MGC917514:MGC917537 MPY917514:MPY917537 MZU917514:MZU917537 NJQ917514:NJQ917537 NTM917514:NTM917537 ODI917514:ODI917537 ONE917514:ONE917537 OXA917514:OXA917537 PGW917514:PGW917537 PQS917514:PQS917537 QAO917514:QAO917537 QKK917514:QKK917537 QUG917514:QUG917537 REC917514:REC917537 RNY917514:RNY917537 RXU917514:RXU917537 SHQ917514:SHQ917537 SRM917514:SRM917537 TBI917514:TBI917537 TLE917514:TLE917537 TVA917514:TVA917537 UEW917514:UEW917537 UOS917514:UOS917537 UYO917514:UYO917537 VIK917514:VIK917537 VSG917514:VSG917537 WCC917514:WCC917537 WLY917514:WLY917537 WVU917514:WVU917537 T983050:T983073 JI983050:JI983073 TE983050:TE983073 ADA983050:ADA983073 AMW983050:AMW983073 AWS983050:AWS983073 BGO983050:BGO983073 BQK983050:BQK983073 CAG983050:CAG983073 CKC983050:CKC983073 CTY983050:CTY983073 DDU983050:DDU983073 DNQ983050:DNQ983073 DXM983050:DXM983073 EHI983050:EHI983073 ERE983050:ERE983073 FBA983050:FBA983073 FKW983050:FKW983073 FUS983050:FUS983073 GEO983050:GEO983073 GOK983050:GOK983073 GYG983050:GYG983073 HIC983050:HIC983073 HRY983050:HRY983073 IBU983050:IBU983073 ILQ983050:ILQ983073 IVM983050:IVM983073 JFI983050:JFI983073 JPE983050:JPE983073 JZA983050:JZA983073 KIW983050:KIW983073 KSS983050:KSS983073 LCO983050:LCO983073 LMK983050:LMK983073 LWG983050:LWG983073 MGC983050:MGC983073 MPY983050:MPY983073 MZU983050:MZU983073 NJQ983050:NJQ983073 NTM983050:NTM983073 ODI983050:ODI983073 ONE983050:ONE983073 OXA983050:OXA983073 PGW983050:PGW983073 PQS983050:PQS983073 QAO983050:QAO983073 QKK983050:QKK983073 QUG983050:QUG983073 REC983050:REC983073 RNY983050:RNY983073 RXU983050:RXU983073 SHQ983050:SHQ983073 SRM983050:SRM983073 TBI983050:TBI983073 TLE983050:TLE983073 TVA983050:TVA983073 UEW983050:UEW983073 UOS983050:UOS983073 UYO983050:UYO983073 VIK983050:VIK983073 VSG983050:VSG983073 WCC983050:WCC983073 WLY983050:WLY983073 WVU983050:WVU983073 IT11:IT23 WVF11:WVF23 WLJ11:WLJ23 WBN11:WBN23 VRR11:VRR23 VHV11:VHV23 UXZ11:UXZ23 UOD11:UOD23 UEH11:UEH23 TUL11:TUL23 TKP11:TKP23 TAT11:TAT23 SQX11:SQX23 SHB11:SHB23 RXF11:RXF23 RNJ11:RNJ23 RDN11:RDN23 QTR11:QTR23 QJV11:QJV23 PZZ11:PZZ23 PQD11:PQD23 PGH11:PGH23 OWL11:OWL23 OMP11:OMP23 OCT11:OCT23 NSX11:NSX23 NJB11:NJB23 MZF11:MZF23 MPJ11:MPJ23 MFN11:MFN23 LVR11:LVR23 LLV11:LLV23 LBZ11:LBZ23 KSD11:KSD23 KIH11:KIH23 JYL11:JYL23 JOP11:JOP23 JET11:JET23 IUX11:IUX23 ILB11:ILB23 IBF11:IBF23 HRJ11:HRJ23 HHN11:HHN23 GXR11:GXR23 GNV11:GNV23 GDZ11:GDZ23 FUD11:FUD23 FKH11:FKH23 FAL11:FAL23 EQP11:EQP23 EGT11:EGT23 DWX11:DWX23 DNB11:DNB23 DDF11:DDF23 CTJ11:CTJ23 CJN11:CJN23 BZR11:BZR23 BPV11:BPV23 BFZ11:BFZ23 AWD11:AWD23 AMH11:AMH23 ACL11:ACL23 SP11:SP23 T11:T34" xr:uid="{00000000-0002-0000-0600-000000000000}">
      <formula1>"Y,N"</formula1>
    </dataValidation>
    <dataValidation type="list" allowBlank="1" showInputMessage="1" showErrorMessage="1" sqref="WVX983050:WVX983073 JH5:JH7 TD5:TD7 ACZ5:ACZ7 AMV5:AMV7 AWR5:AWR7 BGN5:BGN7 BQJ5:BQJ7 CAF5:CAF7 CKB5:CKB7 CTX5:CTX7 DDT5:DDT7 DNP5:DNP7 DXL5:DXL7 EHH5:EHH7 ERD5:ERD7 FAZ5:FAZ7 FKV5:FKV7 FUR5:FUR7 GEN5:GEN7 GOJ5:GOJ7 GYF5:GYF7 HIB5:HIB7 HRX5:HRX7 IBT5:IBT7 ILP5:ILP7 IVL5:IVL7 JFH5:JFH7 JPD5:JPD7 JYZ5:JYZ7 KIV5:KIV7 KSR5:KSR7 LCN5:LCN7 LMJ5:LMJ7 LWF5:LWF7 MGB5:MGB7 MPX5:MPX7 MZT5:MZT7 NJP5:NJP7 NTL5:NTL7 ODH5:ODH7 OND5:OND7 OWZ5:OWZ7 PGV5:PGV7 PQR5:PQR7 QAN5:QAN7 QKJ5:QKJ7 QUF5:QUF7 REB5:REB7 RNX5:RNX7 RXT5:RXT7 SHP5:SHP7 SRL5:SRL7 TBH5:TBH7 TLD5:TLD7 TUZ5:TUZ7 UEV5:UEV7 UOR5:UOR7 UYN5:UYN7 VIJ5:VIJ7 VSF5:VSF7 WCB5:WCB7 WLX5:WLX7 WVT5:WVT7 S65540:S65542 JH65540:JH65542 TD65540:TD65542 ACZ65540:ACZ65542 AMV65540:AMV65542 AWR65540:AWR65542 BGN65540:BGN65542 BQJ65540:BQJ65542 CAF65540:CAF65542 CKB65540:CKB65542 CTX65540:CTX65542 DDT65540:DDT65542 DNP65540:DNP65542 DXL65540:DXL65542 EHH65540:EHH65542 ERD65540:ERD65542 FAZ65540:FAZ65542 FKV65540:FKV65542 FUR65540:FUR65542 GEN65540:GEN65542 GOJ65540:GOJ65542 GYF65540:GYF65542 HIB65540:HIB65542 HRX65540:HRX65542 IBT65540:IBT65542 ILP65540:ILP65542 IVL65540:IVL65542 JFH65540:JFH65542 JPD65540:JPD65542 JYZ65540:JYZ65542 KIV65540:KIV65542 KSR65540:KSR65542 LCN65540:LCN65542 LMJ65540:LMJ65542 LWF65540:LWF65542 MGB65540:MGB65542 MPX65540:MPX65542 MZT65540:MZT65542 NJP65540:NJP65542 NTL65540:NTL65542 ODH65540:ODH65542 OND65540:OND65542 OWZ65540:OWZ65542 PGV65540:PGV65542 PQR65540:PQR65542 QAN65540:QAN65542 QKJ65540:QKJ65542 QUF65540:QUF65542 REB65540:REB65542 RNX65540:RNX65542 RXT65540:RXT65542 SHP65540:SHP65542 SRL65540:SRL65542 TBH65540:TBH65542 TLD65540:TLD65542 TUZ65540:TUZ65542 UEV65540:UEV65542 UOR65540:UOR65542 UYN65540:UYN65542 VIJ65540:VIJ65542 VSF65540:VSF65542 WCB65540:WCB65542 WLX65540:WLX65542 WVT65540:WVT65542 S131076:S131078 JH131076:JH131078 TD131076:TD131078 ACZ131076:ACZ131078 AMV131076:AMV131078 AWR131076:AWR131078 BGN131076:BGN131078 BQJ131076:BQJ131078 CAF131076:CAF131078 CKB131076:CKB131078 CTX131076:CTX131078 DDT131076:DDT131078 DNP131076:DNP131078 DXL131076:DXL131078 EHH131076:EHH131078 ERD131076:ERD131078 FAZ131076:FAZ131078 FKV131076:FKV131078 FUR131076:FUR131078 GEN131076:GEN131078 GOJ131076:GOJ131078 GYF131076:GYF131078 HIB131076:HIB131078 HRX131076:HRX131078 IBT131076:IBT131078 ILP131076:ILP131078 IVL131076:IVL131078 JFH131076:JFH131078 JPD131076:JPD131078 JYZ131076:JYZ131078 KIV131076:KIV131078 KSR131076:KSR131078 LCN131076:LCN131078 LMJ131076:LMJ131078 LWF131076:LWF131078 MGB131076:MGB131078 MPX131076:MPX131078 MZT131076:MZT131078 NJP131076:NJP131078 NTL131076:NTL131078 ODH131076:ODH131078 OND131076:OND131078 OWZ131076:OWZ131078 PGV131076:PGV131078 PQR131076:PQR131078 QAN131076:QAN131078 QKJ131076:QKJ131078 QUF131076:QUF131078 REB131076:REB131078 RNX131076:RNX131078 RXT131076:RXT131078 SHP131076:SHP131078 SRL131076:SRL131078 TBH131076:TBH131078 TLD131076:TLD131078 TUZ131076:TUZ131078 UEV131076:UEV131078 UOR131076:UOR131078 UYN131076:UYN131078 VIJ131076:VIJ131078 VSF131076:VSF131078 WCB131076:WCB131078 WLX131076:WLX131078 WVT131076:WVT131078 S196612:S196614 JH196612:JH196614 TD196612:TD196614 ACZ196612:ACZ196614 AMV196612:AMV196614 AWR196612:AWR196614 BGN196612:BGN196614 BQJ196612:BQJ196614 CAF196612:CAF196614 CKB196612:CKB196614 CTX196612:CTX196614 DDT196612:DDT196614 DNP196612:DNP196614 DXL196612:DXL196614 EHH196612:EHH196614 ERD196612:ERD196614 FAZ196612:FAZ196614 FKV196612:FKV196614 FUR196612:FUR196614 GEN196612:GEN196614 GOJ196612:GOJ196614 GYF196612:GYF196614 HIB196612:HIB196614 HRX196612:HRX196614 IBT196612:IBT196614 ILP196612:ILP196614 IVL196612:IVL196614 JFH196612:JFH196614 JPD196612:JPD196614 JYZ196612:JYZ196614 KIV196612:KIV196614 KSR196612:KSR196614 LCN196612:LCN196614 LMJ196612:LMJ196614 LWF196612:LWF196614 MGB196612:MGB196614 MPX196612:MPX196614 MZT196612:MZT196614 NJP196612:NJP196614 NTL196612:NTL196614 ODH196612:ODH196614 OND196612:OND196614 OWZ196612:OWZ196614 PGV196612:PGV196614 PQR196612:PQR196614 QAN196612:QAN196614 QKJ196612:QKJ196614 QUF196612:QUF196614 REB196612:REB196614 RNX196612:RNX196614 RXT196612:RXT196614 SHP196612:SHP196614 SRL196612:SRL196614 TBH196612:TBH196614 TLD196612:TLD196614 TUZ196612:TUZ196614 UEV196612:UEV196614 UOR196612:UOR196614 UYN196612:UYN196614 VIJ196612:VIJ196614 VSF196612:VSF196614 WCB196612:WCB196614 WLX196612:WLX196614 WVT196612:WVT196614 S262148:S262150 JH262148:JH262150 TD262148:TD262150 ACZ262148:ACZ262150 AMV262148:AMV262150 AWR262148:AWR262150 BGN262148:BGN262150 BQJ262148:BQJ262150 CAF262148:CAF262150 CKB262148:CKB262150 CTX262148:CTX262150 DDT262148:DDT262150 DNP262148:DNP262150 DXL262148:DXL262150 EHH262148:EHH262150 ERD262148:ERD262150 FAZ262148:FAZ262150 FKV262148:FKV262150 FUR262148:FUR262150 GEN262148:GEN262150 GOJ262148:GOJ262150 GYF262148:GYF262150 HIB262148:HIB262150 HRX262148:HRX262150 IBT262148:IBT262150 ILP262148:ILP262150 IVL262148:IVL262150 JFH262148:JFH262150 JPD262148:JPD262150 JYZ262148:JYZ262150 KIV262148:KIV262150 KSR262148:KSR262150 LCN262148:LCN262150 LMJ262148:LMJ262150 LWF262148:LWF262150 MGB262148:MGB262150 MPX262148:MPX262150 MZT262148:MZT262150 NJP262148:NJP262150 NTL262148:NTL262150 ODH262148:ODH262150 OND262148:OND262150 OWZ262148:OWZ262150 PGV262148:PGV262150 PQR262148:PQR262150 QAN262148:QAN262150 QKJ262148:QKJ262150 QUF262148:QUF262150 REB262148:REB262150 RNX262148:RNX262150 RXT262148:RXT262150 SHP262148:SHP262150 SRL262148:SRL262150 TBH262148:TBH262150 TLD262148:TLD262150 TUZ262148:TUZ262150 UEV262148:UEV262150 UOR262148:UOR262150 UYN262148:UYN262150 VIJ262148:VIJ262150 VSF262148:VSF262150 WCB262148:WCB262150 WLX262148:WLX262150 WVT262148:WVT262150 S327684:S327686 JH327684:JH327686 TD327684:TD327686 ACZ327684:ACZ327686 AMV327684:AMV327686 AWR327684:AWR327686 BGN327684:BGN327686 BQJ327684:BQJ327686 CAF327684:CAF327686 CKB327684:CKB327686 CTX327684:CTX327686 DDT327684:DDT327686 DNP327684:DNP327686 DXL327684:DXL327686 EHH327684:EHH327686 ERD327684:ERD327686 FAZ327684:FAZ327686 FKV327684:FKV327686 FUR327684:FUR327686 GEN327684:GEN327686 GOJ327684:GOJ327686 GYF327684:GYF327686 HIB327684:HIB327686 HRX327684:HRX327686 IBT327684:IBT327686 ILP327684:ILP327686 IVL327684:IVL327686 JFH327684:JFH327686 JPD327684:JPD327686 JYZ327684:JYZ327686 KIV327684:KIV327686 KSR327684:KSR327686 LCN327684:LCN327686 LMJ327684:LMJ327686 LWF327684:LWF327686 MGB327684:MGB327686 MPX327684:MPX327686 MZT327684:MZT327686 NJP327684:NJP327686 NTL327684:NTL327686 ODH327684:ODH327686 OND327684:OND327686 OWZ327684:OWZ327686 PGV327684:PGV327686 PQR327684:PQR327686 QAN327684:QAN327686 QKJ327684:QKJ327686 QUF327684:QUF327686 REB327684:REB327686 RNX327684:RNX327686 RXT327684:RXT327686 SHP327684:SHP327686 SRL327684:SRL327686 TBH327684:TBH327686 TLD327684:TLD327686 TUZ327684:TUZ327686 UEV327684:UEV327686 UOR327684:UOR327686 UYN327684:UYN327686 VIJ327684:VIJ327686 VSF327684:VSF327686 WCB327684:WCB327686 WLX327684:WLX327686 WVT327684:WVT327686 S393220:S393222 JH393220:JH393222 TD393220:TD393222 ACZ393220:ACZ393222 AMV393220:AMV393222 AWR393220:AWR393222 BGN393220:BGN393222 BQJ393220:BQJ393222 CAF393220:CAF393222 CKB393220:CKB393222 CTX393220:CTX393222 DDT393220:DDT393222 DNP393220:DNP393222 DXL393220:DXL393222 EHH393220:EHH393222 ERD393220:ERD393222 FAZ393220:FAZ393222 FKV393220:FKV393222 FUR393220:FUR393222 GEN393220:GEN393222 GOJ393220:GOJ393222 GYF393220:GYF393222 HIB393220:HIB393222 HRX393220:HRX393222 IBT393220:IBT393222 ILP393220:ILP393222 IVL393220:IVL393222 JFH393220:JFH393222 JPD393220:JPD393222 JYZ393220:JYZ393222 KIV393220:KIV393222 KSR393220:KSR393222 LCN393220:LCN393222 LMJ393220:LMJ393222 LWF393220:LWF393222 MGB393220:MGB393222 MPX393220:MPX393222 MZT393220:MZT393222 NJP393220:NJP393222 NTL393220:NTL393222 ODH393220:ODH393222 OND393220:OND393222 OWZ393220:OWZ393222 PGV393220:PGV393222 PQR393220:PQR393222 QAN393220:QAN393222 QKJ393220:QKJ393222 QUF393220:QUF393222 REB393220:REB393222 RNX393220:RNX393222 RXT393220:RXT393222 SHP393220:SHP393222 SRL393220:SRL393222 TBH393220:TBH393222 TLD393220:TLD393222 TUZ393220:TUZ393222 UEV393220:UEV393222 UOR393220:UOR393222 UYN393220:UYN393222 VIJ393220:VIJ393222 VSF393220:VSF393222 WCB393220:WCB393222 WLX393220:WLX393222 WVT393220:WVT393222 S458756:S458758 JH458756:JH458758 TD458756:TD458758 ACZ458756:ACZ458758 AMV458756:AMV458758 AWR458756:AWR458758 BGN458756:BGN458758 BQJ458756:BQJ458758 CAF458756:CAF458758 CKB458756:CKB458758 CTX458756:CTX458758 DDT458756:DDT458758 DNP458756:DNP458758 DXL458756:DXL458758 EHH458756:EHH458758 ERD458756:ERD458758 FAZ458756:FAZ458758 FKV458756:FKV458758 FUR458756:FUR458758 GEN458756:GEN458758 GOJ458756:GOJ458758 GYF458756:GYF458758 HIB458756:HIB458758 HRX458756:HRX458758 IBT458756:IBT458758 ILP458756:ILP458758 IVL458756:IVL458758 JFH458756:JFH458758 JPD458756:JPD458758 JYZ458756:JYZ458758 KIV458756:KIV458758 KSR458756:KSR458758 LCN458756:LCN458758 LMJ458756:LMJ458758 LWF458756:LWF458758 MGB458756:MGB458758 MPX458756:MPX458758 MZT458756:MZT458758 NJP458756:NJP458758 NTL458756:NTL458758 ODH458756:ODH458758 OND458756:OND458758 OWZ458756:OWZ458758 PGV458756:PGV458758 PQR458756:PQR458758 QAN458756:QAN458758 QKJ458756:QKJ458758 QUF458756:QUF458758 REB458756:REB458758 RNX458756:RNX458758 RXT458756:RXT458758 SHP458756:SHP458758 SRL458756:SRL458758 TBH458756:TBH458758 TLD458756:TLD458758 TUZ458756:TUZ458758 UEV458756:UEV458758 UOR458756:UOR458758 UYN458756:UYN458758 VIJ458756:VIJ458758 VSF458756:VSF458758 WCB458756:WCB458758 WLX458756:WLX458758 WVT458756:WVT458758 S524292:S524294 JH524292:JH524294 TD524292:TD524294 ACZ524292:ACZ524294 AMV524292:AMV524294 AWR524292:AWR524294 BGN524292:BGN524294 BQJ524292:BQJ524294 CAF524292:CAF524294 CKB524292:CKB524294 CTX524292:CTX524294 DDT524292:DDT524294 DNP524292:DNP524294 DXL524292:DXL524294 EHH524292:EHH524294 ERD524292:ERD524294 FAZ524292:FAZ524294 FKV524292:FKV524294 FUR524292:FUR524294 GEN524292:GEN524294 GOJ524292:GOJ524294 GYF524292:GYF524294 HIB524292:HIB524294 HRX524292:HRX524294 IBT524292:IBT524294 ILP524292:ILP524294 IVL524292:IVL524294 JFH524292:JFH524294 JPD524292:JPD524294 JYZ524292:JYZ524294 KIV524292:KIV524294 KSR524292:KSR524294 LCN524292:LCN524294 LMJ524292:LMJ524294 LWF524292:LWF524294 MGB524292:MGB524294 MPX524292:MPX524294 MZT524292:MZT524294 NJP524292:NJP524294 NTL524292:NTL524294 ODH524292:ODH524294 OND524292:OND524294 OWZ524292:OWZ524294 PGV524292:PGV524294 PQR524292:PQR524294 QAN524292:QAN524294 QKJ524292:QKJ524294 QUF524292:QUF524294 REB524292:REB524294 RNX524292:RNX524294 RXT524292:RXT524294 SHP524292:SHP524294 SRL524292:SRL524294 TBH524292:TBH524294 TLD524292:TLD524294 TUZ524292:TUZ524294 UEV524292:UEV524294 UOR524292:UOR524294 UYN524292:UYN524294 VIJ524292:VIJ524294 VSF524292:VSF524294 WCB524292:WCB524294 WLX524292:WLX524294 WVT524292:WVT524294 S589828:S589830 JH589828:JH589830 TD589828:TD589830 ACZ589828:ACZ589830 AMV589828:AMV589830 AWR589828:AWR589830 BGN589828:BGN589830 BQJ589828:BQJ589830 CAF589828:CAF589830 CKB589828:CKB589830 CTX589828:CTX589830 DDT589828:DDT589830 DNP589828:DNP589830 DXL589828:DXL589830 EHH589828:EHH589830 ERD589828:ERD589830 FAZ589828:FAZ589830 FKV589828:FKV589830 FUR589828:FUR589830 GEN589828:GEN589830 GOJ589828:GOJ589830 GYF589828:GYF589830 HIB589828:HIB589830 HRX589828:HRX589830 IBT589828:IBT589830 ILP589828:ILP589830 IVL589828:IVL589830 JFH589828:JFH589830 JPD589828:JPD589830 JYZ589828:JYZ589830 KIV589828:KIV589830 KSR589828:KSR589830 LCN589828:LCN589830 LMJ589828:LMJ589830 LWF589828:LWF589830 MGB589828:MGB589830 MPX589828:MPX589830 MZT589828:MZT589830 NJP589828:NJP589830 NTL589828:NTL589830 ODH589828:ODH589830 OND589828:OND589830 OWZ589828:OWZ589830 PGV589828:PGV589830 PQR589828:PQR589830 QAN589828:QAN589830 QKJ589828:QKJ589830 QUF589828:QUF589830 REB589828:REB589830 RNX589828:RNX589830 RXT589828:RXT589830 SHP589828:SHP589830 SRL589828:SRL589830 TBH589828:TBH589830 TLD589828:TLD589830 TUZ589828:TUZ589830 UEV589828:UEV589830 UOR589828:UOR589830 UYN589828:UYN589830 VIJ589828:VIJ589830 VSF589828:VSF589830 WCB589828:WCB589830 WLX589828:WLX589830 WVT589828:WVT589830 S655364:S655366 JH655364:JH655366 TD655364:TD655366 ACZ655364:ACZ655366 AMV655364:AMV655366 AWR655364:AWR655366 BGN655364:BGN655366 BQJ655364:BQJ655366 CAF655364:CAF655366 CKB655364:CKB655366 CTX655364:CTX655366 DDT655364:DDT655366 DNP655364:DNP655366 DXL655364:DXL655366 EHH655364:EHH655366 ERD655364:ERD655366 FAZ655364:FAZ655366 FKV655364:FKV655366 FUR655364:FUR655366 GEN655364:GEN655366 GOJ655364:GOJ655366 GYF655364:GYF655366 HIB655364:HIB655366 HRX655364:HRX655366 IBT655364:IBT655366 ILP655364:ILP655366 IVL655364:IVL655366 JFH655364:JFH655366 JPD655364:JPD655366 JYZ655364:JYZ655366 KIV655364:KIV655366 KSR655364:KSR655366 LCN655364:LCN655366 LMJ655364:LMJ655366 LWF655364:LWF655366 MGB655364:MGB655366 MPX655364:MPX655366 MZT655364:MZT655366 NJP655364:NJP655366 NTL655364:NTL655366 ODH655364:ODH655366 OND655364:OND655366 OWZ655364:OWZ655366 PGV655364:PGV655366 PQR655364:PQR655366 QAN655364:QAN655366 QKJ655364:QKJ655366 QUF655364:QUF655366 REB655364:REB655366 RNX655364:RNX655366 RXT655364:RXT655366 SHP655364:SHP655366 SRL655364:SRL655366 TBH655364:TBH655366 TLD655364:TLD655366 TUZ655364:TUZ655366 UEV655364:UEV655366 UOR655364:UOR655366 UYN655364:UYN655366 VIJ655364:VIJ655366 VSF655364:VSF655366 WCB655364:WCB655366 WLX655364:WLX655366 WVT655364:WVT655366 S720900:S720902 JH720900:JH720902 TD720900:TD720902 ACZ720900:ACZ720902 AMV720900:AMV720902 AWR720900:AWR720902 BGN720900:BGN720902 BQJ720900:BQJ720902 CAF720900:CAF720902 CKB720900:CKB720902 CTX720900:CTX720902 DDT720900:DDT720902 DNP720900:DNP720902 DXL720900:DXL720902 EHH720900:EHH720902 ERD720900:ERD720902 FAZ720900:FAZ720902 FKV720900:FKV720902 FUR720900:FUR720902 GEN720900:GEN720902 GOJ720900:GOJ720902 GYF720900:GYF720902 HIB720900:HIB720902 HRX720900:HRX720902 IBT720900:IBT720902 ILP720900:ILP720902 IVL720900:IVL720902 JFH720900:JFH720902 JPD720900:JPD720902 JYZ720900:JYZ720902 KIV720900:KIV720902 KSR720900:KSR720902 LCN720900:LCN720902 LMJ720900:LMJ720902 LWF720900:LWF720902 MGB720900:MGB720902 MPX720900:MPX720902 MZT720900:MZT720902 NJP720900:NJP720902 NTL720900:NTL720902 ODH720900:ODH720902 OND720900:OND720902 OWZ720900:OWZ720902 PGV720900:PGV720902 PQR720900:PQR720902 QAN720900:QAN720902 QKJ720900:QKJ720902 QUF720900:QUF720902 REB720900:REB720902 RNX720900:RNX720902 RXT720900:RXT720902 SHP720900:SHP720902 SRL720900:SRL720902 TBH720900:TBH720902 TLD720900:TLD720902 TUZ720900:TUZ720902 UEV720900:UEV720902 UOR720900:UOR720902 UYN720900:UYN720902 VIJ720900:VIJ720902 VSF720900:VSF720902 WCB720900:WCB720902 WLX720900:WLX720902 WVT720900:WVT720902 S786436:S786438 JH786436:JH786438 TD786436:TD786438 ACZ786436:ACZ786438 AMV786436:AMV786438 AWR786436:AWR786438 BGN786436:BGN786438 BQJ786436:BQJ786438 CAF786436:CAF786438 CKB786436:CKB786438 CTX786436:CTX786438 DDT786436:DDT786438 DNP786436:DNP786438 DXL786436:DXL786438 EHH786436:EHH786438 ERD786436:ERD786438 FAZ786436:FAZ786438 FKV786436:FKV786438 FUR786436:FUR786438 GEN786436:GEN786438 GOJ786436:GOJ786438 GYF786436:GYF786438 HIB786436:HIB786438 HRX786436:HRX786438 IBT786436:IBT786438 ILP786436:ILP786438 IVL786436:IVL786438 JFH786436:JFH786438 JPD786436:JPD786438 JYZ786436:JYZ786438 KIV786436:KIV786438 KSR786436:KSR786438 LCN786436:LCN786438 LMJ786436:LMJ786438 LWF786436:LWF786438 MGB786436:MGB786438 MPX786436:MPX786438 MZT786436:MZT786438 NJP786436:NJP786438 NTL786436:NTL786438 ODH786436:ODH786438 OND786436:OND786438 OWZ786436:OWZ786438 PGV786436:PGV786438 PQR786436:PQR786438 QAN786436:QAN786438 QKJ786436:QKJ786438 QUF786436:QUF786438 REB786436:REB786438 RNX786436:RNX786438 RXT786436:RXT786438 SHP786436:SHP786438 SRL786436:SRL786438 TBH786436:TBH786438 TLD786436:TLD786438 TUZ786436:TUZ786438 UEV786436:UEV786438 UOR786436:UOR786438 UYN786436:UYN786438 VIJ786436:VIJ786438 VSF786436:VSF786438 WCB786436:WCB786438 WLX786436:WLX786438 WVT786436:WVT786438 S851972:S851974 JH851972:JH851974 TD851972:TD851974 ACZ851972:ACZ851974 AMV851972:AMV851974 AWR851972:AWR851974 BGN851972:BGN851974 BQJ851972:BQJ851974 CAF851972:CAF851974 CKB851972:CKB851974 CTX851972:CTX851974 DDT851972:DDT851974 DNP851972:DNP851974 DXL851972:DXL851974 EHH851972:EHH851974 ERD851972:ERD851974 FAZ851972:FAZ851974 FKV851972:FKV851974 FUR851972:FUR851974 GEN851972:GEN851974 GOJ851972:GOJ851974 GYF851972:GYF851974 HIB851972:HIB851974 HRX851972:HRX851974 IBT851972:IBT851974 ILP851972:ILP851974 IVL851972:IVL851974 JFH851972:JFH851974 JPD851972:JPD851974 JYZ851972:JYZ851974 KIV851972:KIV851974 KSR851972:KSR851974 LCN851972:LCN851974 LMJ851972:LMJ851974 LWF851972:LWF851974 MGB851972:MGB851974 MPX851972:MPX851974 MZT851972:MZT851974 NJP851972:NJP851974 NTL851972:NTL851974 ODH851972:ODH851974 OND851972:OND851974 OWZ851972:OWZ851974 PGV851972:PGV851974 PQR851972:PQR851974 QAN851972:QAN851974 QKJ851972:QKJ851974 QUF851972:QUF851974 REB851972:REB851974 RNX851972:RNX851974 RXT851972:RXT851974 SHP851972:SHP851974 SRL851972:SRL851974 TBH851972:TBH851974 TLD851972:TLD851974 TUZ851972:TUZ851974 UEV851972:UEV851974 UOR851972:UOR851974 UYN851972:UYN851974 VIJ851972:VIJ851974 VSF851972:VSF851974 WCB851972:WCB851974 WLX851972:WLX851974 WVT851972:WVT851974 S917508:S917510 JH917508:JH917510 TD917508:TD917510 ACZ917508:ACZ917510 AMV917508:AMV917510 AWR917508:AWR917510 BGN917508:BGN917510 BQJ917508:BQJ917510 CAF917508:CAF917510 CKB917508:CKB917510 CTX917508:CTX917510 DDT917508:DDT917510 DNP917508:DNP917510 DXL917508:DXL917510 EHH917508:EHH917510 ERD917508:ERD917510 FAZ917508:FAZ917510 FKV917508:FKV917510 FUR917508:FUR917510 GEN917508:GEN917510 GOJ917508:GOJ917510 GYF917508:GYF917510 HIB917508:HIB917510 HRX917508:HRX917510 IBT917508:IBT917510 ILP917508:ILP917510 IVL917508:IVL917510 JFH917508:JFH917510 JPD917508:JPD917510 JYZ917508:JYZ917510 KIV917508:KIV917510 KSR917508:KSR917510 LCN917508:LCN917510 LMJ917508:LMJ917510 LWF917508:LWF917510 MGB917508:MGB917510 MPX917508:MPX917510 MZT917508:MZT917510 NJP917508:NJP917510 NTL917508:NTL917510 ODH917508:ODH917510 OND917508:OND917510 OWZ917508:OWZ917510 PGV917508:PGV917510 PQR917508:PQR917510 QAN917508:QAN917510 QKJ917508:QKJ917510 QUF917508:QUF917510 REB917508:REB917510 RNX917508:RNX917510 RXT917508:RXT917510 SHP917508:SHP917510 SRL917508:SRL917510 TBH917508:TBH917510 TLD917508:TLD917510 TUZ917508:TUZ917510 UEV917508:UEV917510 UOR917508:UOR917510 UYN917508:UYN917510 VIJ917508:VIJ917510 VSF917508:VSF917510 WCB917508:WCB917510 WLX917508:WLX917510 WVT917508:WVT917510 S983044:S983046 JH983044:JH983046 TD983044:TD983046 ACZ983044:ACZ983046 AMV983044:AMV983046 AWR983044:AWR983046 BGN983044:BGN983046 BQJ983044:BQJ983046 CAF983044:CAF983046 CKB983044:CKB983046 CTX983044:CTX983046 DDT983044:DDT983046 DNP983044:DNP983046 DXL983044:DXL983046 EHH983044:EHH983046 ERD983044:ERD983046 FAZ983044:FAZ983046 FKV983044:FKV983046 FUR983044:FUR983046 GEN983044:GEN983046 GOJ983044:GOJ983046 GYF983044:GYF983046 HIB983044:HIB983046 HRX983044:HRX983046 IBT983044:IBT983046 ILP983044:ILP983046 IVL983044:IVL983046 JFH983044:JFH983046 JPD983044:JPD983046 JYZ983044:JYZ983046 KIV983044:KIV983046 KSR983044:KSR983046 LCN983044:LCN983046 LMJ983044:LMJ983046 LWF983044:LWF983046 MGB983044:MGB983046 MPX983044:MPX983046 MZT983044:MZT983046 NJP983044:NJP983046 NTL983044:NTL983046 ODH983044:ODH983046 OND983044:OND983046 OWZ983044:OWZ983046 PGV983044:PGV983046 PQR983044:PQR983046 QAN983044:QAN983046 QKJ983044:QKJ983046 QUF983044:QUF983046 REB983044:REB983046 RNX983044:RNX983046 RXT983044:RXT983046 SHP983044:SHP983046 SRL983044:SRL983046 TBH983044:TBH983046 TLD983044:TLD983046 TUZ983044:TUZ983046 UEV983044:UEV983046 UOR983044:UOR983046 UYN983044:UYN983046 VIJ983044:VIJ983046 VSF983044:VSF983046 WCB983044:WCB983046 WLX983044:WLX983046 WVT983044:WVT983046 U65546:U65569 JJ65546:JJ65569 TF65546:TF65569 ADB65546:ADB65569 AMX65546:AMX65569 AWT65546:AWT65569 BGP65546:BGP65569 BQL65546:BQL65569 CAH65546:CAH65569 CKD65546:CKD65569 CTZ65546:CTZ65569 DDV65546:DDV65569 DNR65546:DNR65569 DXN65546:DXN65569 EHJ65546:EHJ65569 ERF65546:ERF65569 FBB65546:FBB65569 FKX65546:FKX65569 FUT65546:FUT65569 GEP65546:GEP65569 GOL65546:GOL65569 GYH65546:GYH65569 HID65546:HID65569 HRZ65546:HRZ65569 IBV65546:IBV65569 ILR65546:ILR65569 IVN65546:IVN65569 JFJ65546:JFJ65569 JPF65546:JPF65569 JZB65546:JZB65569 KIX65546:KIX65569 KST65546:KST65569 LCP65546:LCP65569 LML65546:LML65569 LWH65546:LWH65569 MGD65546:MGD65569 MPZ65546:MPZ65569 MZV65546:MZV65569 NJR65546:NJR65569 NTN65546:NTN65569 ODJ65546:ODJ65569 ONF65546:ONF65569 OXB65546:OXB65569 PGX65546:PGX65569 PQT65546:PQT65569 QAP65546:QAP65569 QKL65546:QKL65569 QUH65546:QUH65569 RED65546:RED65569 RNZ65546:RNZ65569 RXV65546:RXV65569 SHR65546:SHR65569 SRN65546:SRN65569 TBJ65546:TBJ65569 TLF65546:TLF65569 TVB65546:TVB65569 UEX65546:UEX65569 UOT65546:UOT65569 UYP65546:UYP65569 VIL65546:VIL65569 VSH65546:VSH65569 WCD65546:WCD65569 WLZ65546:WLZ65569 WVV65546:WVV65569 U131082:U131105 JJ131082:JJ131105 TF131082:TF131105 ADB131082:ADB131105 AMX131082:AMX131105 AWT131082:AWT131105 BGP131082:BGP131105 BQL131082:BQL131105 CAH131082:CAH131105 CKD131082:CKD131105 CTZ131082:CTZ131105 DDV131082:DDV131105 DNR131082:DNR131105 DXN131082:DXN131105 EHJ131082:EHJ131105 ERF131082:ERF131105 FBB131082:FBB131105 FKX131082:FKX131105 FUT131082:FUT131105 GEP131082:GEP131105 GOL131082:GOL131105 GYH131082:GYH131105 HID131082:HID131105 HRZ131082:HRZ131105 IBV131082:IBV131105 ILR131082:ILR131105 IVN131082:IVN131105 JFJ131082:JFJ131105 JPF131082:JPF131105 JZB131082:JZB131105 KIX131082:KIX131105 KST131082:KST131105 LCP131082:LCP131105 LML131082:LML131105 LWH131082:LWH131105 MGD131082:MGD131105 MPZ131082:MPZ131105 MZV131082:MZV131105 NJR131082:NJR131105 NTN131082:NTN131105 ODJ131082:ODJ131105 ONF131082:ONF131105 OXB131082:OXB131105 PGX131082:PGX131105 PQT131082:PQT131105 QAP131082:QAP131105 QKL131082:QKL131105 QUH131082:QUH131105 RED131082:RED131105 RNZ131082:RNZ131105 RXV131082:RXV131105 SHR131082:SHR131105 SRN131082:SRN131105 TBJ131082:TBJ131105 TLF131082:TLF131105 TVB131082:TVB131105 UEX131082:UEX131105 UOT131082:UOT131105 UYP131082:UYP131105 VIL131082:VIL131105 VSH131082:VSH131105 WCD131082:WCD131105 WLZ131082:WLZ131105 WVV131082:WVV131105 U196618:U196641 JJ196618:JJ196641 TF196618:TF196641 ADB196618:ADB196641 AMX196618:AMX196641 AWT196618:AWT196641 BGP196618:BGP196641 BQL196618:BQL196641 CAH196618:CAH196641 CKD196618:CKD196641 CTZ196618:CTZ196641 DDV196618:DDV196641 DNR196618:DNR196641 DXN196618:DXN196641 EHJ196618:EHJ196641 ERF196618:ERF196641 FBB196618:FBB196641 FKX196618:FKX196641 FUT196618:FUT196641 GEP196618:GEP196641 GOL196618:GOL196641 GYH196618:GYH196641 HID196618:HID196641 HRZ196618:HRZ196641 IBV196618:IBV196641 ILR196618:ILR196641 IVN196618:IVN196641 JFJ196618:JFJ196641 JPF196618:JPF196641 JZB196618:JZB196641 KIX196618:KIX196641 KST196618:KST196641 LCP196618:LCP196641 LML196618:LML196641 LWH196618:LWH196641 MGD196618:MGD196641 MPZ196618:MPZ196641 MZV196618:MZV196641 NJR196618:NJR196641 NTN196618:NTN196641 ODJ196618:ODJ196641 ONF196618:ONF196641 OXB196618:OXB196641 PGX196618:PGX196641 PQT196618:PQT196641 QAP196618:QAP196641 QKL196618:QKL196641 QUH196618:QUH196641 RED196618:RED196641 RNZ196618:RNZ196641 RXV196618:RXV196641 SHR196618:SHR196641 SRN196618:SRN196641 TBJ196618:TBJ196641 TLF196618:TLF196641 TVB196618:TVB196641 UEX196618:UEX196641 UOT196618:UOT196641 UYP196618:UYP196641 VIL196618:VIL196641 VSH196618:VSH196641 WCD196618:WCD196641 WLZ196618:WLZ196641 WVV196618:WVV196641 U262154:U262177 JJ262154:JJ262177 TF262154:TF262177 ADB262154:ADB262177 AMX262154:AMX262177 AWT262154:AWT262177 BGP262154:BGP262177 BQL262154:BQL262177 CAH262154:CAH262177 CKD262154:CKD262177 CTZ262154:CTZ262177 DDV262154:DDV262177 DNR262154:DNR262177 DXN262154:DXN262177 EHJ262154:EHJ262177 ERF262154:ERF262177 FBB262154:FBB262177 FKX262154:FKX262177 FUT262154:FUT262177 GEP262154:GEP262177 GOL262154:GOL262177 GYH262154:GYH262177 HID262154:HID262177 HRZ262154:HRZ262177 IBV262154:IBV262177 ILR262154:ILR262177 IVN262154:IVN262177 JFJ262154:JFJ262177 JPF262154:JPF262177 JZB262154:JZB262177 KIX262154:KIX262177 KST262154:KST262177 LCP262154:LCP262177 LML262154:LML262177 LWH262154:LWH262177 MGD262154:MGD262177 MPZ262154:MPZ262177 MZV262154:MZV262177 NJR262154:NJR262177 NTN262154:NTN262177 ODJ262154:ODJ262177 ONF262154:ONF262177 OXB262154:OXB262177 PGX262154:PGX262177 PQT262154:PQT262177 QAP262154:QAP262177 QKL262154:QKL262177 QUH262154:QUH262177 RED262154:RED262177 RNZ262154:RNZ262177 RXV262154:RXV262177 SHR262154:SHR262177 SRN262154:SRN262177 TBJ262154:TBJ262177 TLF262154:TLF262177 TVB262154:TVB262177 UEX262154:UEX262177 UOT262154:UOT262177 UYP262154:UYP262177 VIL262154:VIL262177 VSH262154:VSH262177 WCD262154:WCD262177 WLZ262154:WLZ262177 WVV262154:WVV262177 U327690:U327713 JJ327690:JJ327713 TF327690:TF327713 ADB327690:ADB327713 AMX327690:AMX327713 AWT327690:AWT327713 BGP327690:BGP327713 BQL327690:BQL327713 CAH327690:CAH327713 CKD327690:CKD327713 CTZ327690:CTZ327713 DDV327690:DDV327713 DNR327690:DNR327713 DXN327690:DXN327713 EHJ327690:EHJ327713 ERF327690:ERF327713 FBB327690:FBB327713 FKX327690:FKX327713 FUT327690:FUT327713 GEP327690:GEP327713 GOL327690:GOL327713 GYH327690:GYH327713 HID327690:HID327713 HRZ327690:HRZ327713 IBV327690:IBV327713 ILR327690:ILR327713 IVN327690:IVN327713 JFJ327690:JFJ327713 JPF327690:JPF327713 JZB327690:JZB327713 KIX327690:KIX327713 KST327690:KST327713 LCP327690:LCP327713 LML327690:LML327713 LWH327690:LWH327713 MGD327690:MGD327713 MPZ327690:MPZ327713 MZV327690:MZV327713 NJR327690:NJR327713 NTN327690:NTN327713 ODJ327690:ODJ327713 ONF327690:ONF327713 OXB327690:OXB327713 PGX327690:PGX327713 PQT327690:PQT327713 QAP327690:QAP327713 QKL327690:QKL327713 QUH327690:QUH327713 RED327690:RED327713 RNZ327690:RNZ327713 RXV327690:RXV327713 SHR327690:SHR327713 SRN327690:SRN327713 TBJ327690:TBJ327713 TLF327690:TLF327713 TVB327690:TVB327713 UEX327690:UEX327713 UOT327690:UOT327713 UYP327690:UYP327713 VIL327690:VIL327713 VSH327690:VSH327713 WCD327690:WCD327713 WLZ327690:WLZ327713 WVV327690:WVV327713 U393226:U393249 JJ393226:JJ393249 TF393226:TF393249 ADB393226:ADB393249 AMX393226:AMX393249 AWT393226:AWT393249 BGP393226:BGP393249 BQL393226:BQL393249 CAH393226:CAH393249 CKD393226:CKD393249 CTZ393226:CTZ393249 DDV393226:DDV393249 DNR393226:DNR393249 DXN393226:DXN393249 EHJ393226:EHJ393249 ERF393226:ERF393249 FBB393226:FBB393249 FKX393226:FKX393249 FUT393226:FUT393249 GEP393226:GEP393249 GOL393226:GOL393249 GYH393226:GYH393249 HID393226:HID393249 HRZ393226:HRZ393249 IBV393226:IBV393249 ILR393226:ILR393249 IVN393226:IVN393249 JFJ393226:JFJ393249 JPF393226:JPF393249 JZB393226:JZB393249 KIX393226:KIX393249 KST393226:KST393249 LCP393226:LCP393249 LML393226:LML393249 LWH393226:LWH393249 MGD393226:MGD393249 MPZ393226:MPZ393249 MZV393226:MZV393249 NJR393226:NJR393249 NTN393226:NTN393249 ODJ393226:ODJ393249 ONF393226:ONF393249 OXB393226:OXB393249 PGX393226:PGX393249 PQT393226:PQT393249 QAP393226:QAP393249 QKL393226:QKL393249 QUH393226:QUH393249 RED393226:RED393249 RNZ393226:RNZ393249 RXV393226:RXV393249 SHR393226:SHR393249 SRN393226:SRN393249 TBJ393226:TBJ393249 TLF393226:TLF393249 TVB393226:TVB393249 UEX393226:UEX393249 UOT393226:UOT393249 UYP393226:UYP393249 VIL393226:VIL393249 VSH393226:VSH393249 WCD393226:WCD393249 WLZ393226:WLZ393249 WVV393226:WVV393249 U458762:U458785 JJ458762:JJ458785 TF458762:TF458785 ADB458762:ADB458785 AMX458762:AMX458785 AWT458762:AWT458785 BGP458762:BGP458785 BQL458762:BQL458785 CAH458762:CAH458785 CKD458762:CKD458785 CTZ458762:CTZ458785 DDV458762:DDV458785 DNR458762:DNR458785 DXN458762:DXN458785 EHJ458762:EHJ458785 ERF458762:ERF458785 FBB458762:FBB458785 FKX458762:FKX458785 FUT458762:FUT458785 GEP458762:GEP458785 GOL458762:GOL458785 GYH458762:GYH458785 HID458762:HID458785 HRZ458762:HRZ458785 IBV458762:IBV458785 ILR458762:ILR458785 IVN458762:IVN458785 JFJ458762:JFJ458785 JPF458762:JPF458785 JZB458762:JZB458785 KIX458762:KIX458785 KST458762:KST458785 LCP458762:LCP458785 LML458762:LML458785 LWH458762:LWH458785 MGD458762:MGD458785 MPZ458762:MPZ458785 MZV458762:MZV458785 NJR458762:NJR458785 NTN458762:NTN458785 ODJ458762:ODJ458785 ONF458762:ONF458785 OXB458762:OXB458785 PGX458762:PGX458785 PQT458762:PQT458785 QAP458762:QAP458785 QKL458762:QKL458785 QUH458762:QUH458785 RED458762:RED458785 RNZ458762:RNZ458785 RXV458762:RXV458785 SHR458762:SHR458785 SRN458762:SRN458785 TBJ458762:TBJ458785 TLF458762:TLF458785 TVB458762:TVB458785 UEX458762:UEX458785 UOT458762:UOT458785 UYP458762:UYP458785 VIL458762:VIL458785 VSH458762:VSH458785 WCD458762:WCD458785 WLZ458762:WLZ458785 WVV458762:WVV458785 U524298:U524321 JJ524298:JJ524321 TF524298:TF524321 ADB524298:ADB524321 AMX524298:AMX524321 AWT524298:AWT524321 BGP524298:BGP524321 BQL524298:BQL524321 CAH524298:CAH524321 CKD524298:CKD524321 CTZ524298:CTZ524321 DDV524298:DDV524321 DNR524298:DNR524321 DXN524298:DXN524321 EHJ524298:EHJ524321 ERF524298:ERF524321 FBB524298:FBB524321 FKX524298:FKX524321 FUT524298:FUT524321 GEP524298:GEP524321 GOL524298:GOL524321 GYH524298:GYH524321 HID524298:HID524321 HRZ524298:HRZ524321 IBV524298:IBV524321 ILR524298:ILR524321 IVN524298:IVN524321 JFJ524298:JFJ524321 JPF524298:JPF524321 JZB524298:JZB524321 KIX524298:KIX524321 KST524298:KST524321 LCP524298:LCP524321 LML524298:LML524321 LWH524298:LWH524321 MGD524298:MGD524321 MPZ524298:MPZ524321 MZV524298:MZV524321 NJR524298:NJR524321 NTN524298:NTN524321 ODJ524298:ODJ524321 ONF524298:ONF524321 OXB524298:OXB524321 PGX524298:PGX524321 PQT524298:PQT524321 QAP524298:QAP524321 QKL524298:QKL524321 QUH524298:QUH524321 RED524298:RED524321 RNZ524298:RNZ524321 RXV524298:RXV524321 SHR524298:SHR524321 SRN524298:SRN524321 TBJ524298:TBJ524321 TLF524298:TLF524321 TVB524298:TVB524321 UEX524298:UEX524321 UOT524298:UOT524321 UYP524298:UYP524321 VIL524298:VIL524321 VSH524298:VSH524321 WCD524298:WCD524321 WLZ524298:WLZ524321 WVV524298:WVV524321 U589834:U589857 JJ589834:JJ589857 TF589834:TF589857 ADB589834:ADB589857 AMX589834:AMX589857 AWT589834:AWT589857 BGP589834:BGP589857 BQL589834:BQL589857 CAH589834:CAH589857 CKD589834:CKD589857 CTZ589834:CTZ589857 DDV589834:DDV589857 DNR589834:DNR589857 DXN589834:DXN589857 EHJ589834:EHJ589857 ERF589834:ERF589857 FBB589834:FBB589857 FKX589834:FKX589857 FUT589834:FUT589857 GEP589834:GEP589857 GOL589834:GOL589857 GYH589834:GYH589857 HID589834:HID589857 HRZ589834:HRZ589857 IBV589834:IBV589857 ILR589834:ILR589857 IVN589834:IVN589857 JFJ589834:JFJ589857 JPF589834:JPF589857 JZB589834:JZB589857 KIX589834:KIX589857 KST589834:KST589857 LCP589834:LCP589857 LML589834:LML589857 LWH589834:LWH589857 MGD589834:MGD589857 MPZ589834:MPZ589857 MZV589834:MZV589857 NJR589834:NJR589857 NTN589834:NTN589857 ODJ589834:ODJ589857 ONF589834:ONF589857 OXB589834:OXB589857 PGX589834:PGX589857 PQT589834:PQT589857 QAP589834:QAP589857 QKL589834:QKL589857 QUH589834:QUH589857 RED589834:RED589857 RNZ589834:RNZ589857 RXV589834:RXV589857 SHR589834:SHR589857 SRN589834:SRN589857 TBJ589834:TBJ589857 TLF589834:TLF589857 TVB589834:TVB589857 UEX589834:UEX589857 UOT589834:UOT589857 UYP589834:UYP589857 VIL589834:VIL589857 VSH589834:VSH589857 WCD589834:WCD589857 WLZ589834:WLZ589857 WVV589834:WVV589857 U655370:U655393 JJ655370:JJ655393 TF655370:TF655393 ADB655370:ADB655393 AMX655370:AMX655393 AWT655370:AWT655393 BGP655370:BGP655393 BQL655370:BQL655393 CAH655370:CAH655393 CKD655370:CKD655393 CTZ655370:CTZ655393 DDV655370:DDV655393 DNR655370:DNR655393 DXN655370:DXN655393 EHJ655370:EHJ655393 ERF655370:ERF655393 FBB655370:FBB655393 FKX655370:FKX655393 FUT655370:FUT655393 GEP655370:GEP655393 GOL655370:GOL655393 GYH655370:GYH655393 HID655370:HID655393 HRZ655370:HRZ655393 IBV655370:IBV655393 ILR655370:ILR655393 IVN655370:IVN655393 JFJ655370:JFJ655393 JPF655370:JPF655393 JZB655370:JZB655393 KIX655370:KIX655393 KST655370:KST655393 LCP655370:LCP655393 LML655370:LML655393 LWH655370:LWH655393 MGD655370:MGD655393 MPZ655370:MPZ655393 MZV655370:MZV655393 NJR655370:NJR655393 NTN655370:NTN655393 ODJ655370:ODJ655393 ONF655370:ONF655393 OXB655370:OXB655393 PGX655370:PGX655393 PQT655370:PQT655393 QAP655370:QAP655393 QKL655370:QKL655393 QUH655370:QUH655393 RED655370:RED655393 RNZ655370:RNZ655393 RXV655370:RXV655393 SHR655370:SHR655393 SRN655370:SRN655393 TBJ655370:TBJ655393 TLF655370:TLF655393 TVB655370:TVB655393 UEX655370:UEX655393 UOT655370:UOT655393 UYP655370:UYP655393 VIL655370:VIL655393 VSH655370:VSH655393 WCD655370:WCD655393 WLZ655370:WLZ655393 WVV655370:WVV655393 U720906:U720929 JJ720906:JJ720929 TF720906:TF720929 ADB720906:ADB720929 AMX720906:AMX720929 AWT720906:AWT720929 BGP720906:BGP720929 BQL720906:BQL720929 CAH720906:CAH720929 CKD720906:CKD720929 CTZ720906:CTZ720929 DDV720906:DDV720929 DNR720906:DNR720929 DXN720906:DXN720929 EHJ720906:EHJ720929 ERF720906:ERF720929 FBB720906:FBB720929 FKX720906:FKX720929 FUT720906:FUT720929 GEP720906:GEP720929 GOL720906:GOL720929 GYH720906:GYH720929 HID720906:HID720929 HRZ720906:HRZ720929 IBV720906:IBV720929 ILR720906:ILR720929 IVN720906:IVN720929 JFJ720906:JFJ720929 JPF720906:JPF720929 JZB720906:JZB720929 KIX720906:KIX720929 KST720906:KST720929 LCP720906:LCP720929 LML720906:LML720929 LWH720906:LWH720929 MGD720906:MGD720929 MPZ720906:MPZ720929 MZV720906:MZV720929 NJR720906:NJR720929 NTN720906:NTN720929 ODJ720906:ODJ720929 ONF720906:ONF720929 OXB720906:OXB720929 PGX720906:PGX720929 PQT720906:PQT720929 QAP720906:QAP720929 QKL720906:QKL720929 QUH720906:QUH720929 RED720906:RED720929 RNZ720906:RNZ720929 RXV720906:RXV720929 SHR720906:SHR720929 SRN720906:SRN720929 TBJ720906:TBJ720929 TLF720906:TLF720929 TVB720906:TVB720929 UEX720906:UEX720929 UOT720906:UOT720929 UYP720906:UYP720929 VIL720906:VIL720929 VSH720906:VSH720929 WCD720906:WCD720929 WLZ720906:WLZ720929 WVV720906:WVV720929 U786442:U786465 JJ786442:JJ786465 TF786442:TF786465 ADB786442:ADB786465 AMX786442:AMX786465 AWT786442:AWT786465 BGP786442:BGP786465 BQL786442:BQL786465 CAH786442:CAH786465 CKD786442:CKD786465 CTZ786442:CTZ786465 DDV786442:DDV786465 DNR786442:DNR786465 DXN786442:DXN786465 EHJ786442:EHJ786465 ERF786442:ERF786465 FBB786442:FBB786465 FKX786442:FKX786465 FUT786442:FUT786465 GEP786442:GEP786465 GOL786442:GOL786465 GYH786442:GYH786465 HID786442:HID786465 HRZ786442:HRZ786465 IBV786442:IBV786465 ILR786442:ILR786465 IVN786442:IVN786465 JFJ786442:JFJ786465 JPF786442:JPF786465 JZB786442:JZB786465 KIX786442:KIX786465 KST786442:KST786465 LCP786442:LCP786465 LML786442:LML786465 LWH786442:LWH786465 MGD786442:MGD786465 MPZ786442:MPZ786465 MZV786442:MZV786465 NJR786442:NJR786465 NTN786442:NTN786465 ODJ786442:ODJ786465 ONF786442:ONF786465 OXB786442:OXB786465 PGX786442:PGX786465 PQT786442:PQT786465 QAP786442:QAP786465 QKL786442:QKL786465 QUH786442:QUH786465 RED786442:RED786465 RNZ786442:RNZ786465 RXV786442:RXV786465 SHR786442:SHR786465 SRN786442:SRN786465 TBJ786442:TBJ786465 TLF786442:TLF786465 TVB786442:TVB786465 UEX786442:UEX786465 UOT786442:UOT786465 UYP786442:UYP786465 VIL786442:VIL786465 VSH786442:VSH786465 WCD786442:WCD786465 WLZ786442:WLZ786465 WVV786442:WVV786465 U851978:U852001 JJ851978:JJ852001 TF851978:TF852001 ADB851978:ADB852001 AMX851978:AMX852001 AWT851978:AWT852001 BGP851978:BGP852001 BQL851978:BQL852001 CAH851978:CAH852001 CKD851978:CKD852001 CTZ851978:CTZ852001 DDV851978:DDV852001 DNR851978:DNR852001 DXN851978:DXN852001 EHJ851978:EHJ852001 ERF851978:ERF852001 FBB851978:FBB852001 FKX851978:FKX852001 FUT851978:FUT852001 GEP851978:GEP852001 GOL851978:GOL852001 GYH851978:GYH852001 HID851978:HID852001 HRZ851978:HRZ852001 IBV851978:IBV852001 ILR851978:ILR852001 IVN851978:IVN852001 JFJ851978:JFJ852001 JPF851978:JPF852001 JZB851978:JZB852001 KIX851978:KIX852001 KST851978:KST852001 LCP851978:LCP852001 LML851978:LML852001 LWH851978:LWH852001 MGD851978:MGD852001 MPZ851978:MPZ852001 MZV851978:MZV852001 NJR851978:NJR852001 NTN851978:NTN852001 ODJ851978:ODJ852001 ONF851978:ONF852001 OXB851978:OXB852001 PGX851978:PGX852001 PQT851978:PQT852001 QAP851978:QAP852001 QKL851978:QKL852001 QUH851978:QUH852001 RED851978:RED852001 RNZ851978:RNZ852001 RXV851978:RXV852001 SHR851978:SHR852001 SRN851978:SRN852001 TBJ851978:TBJ852001 TLF851978:TLF852001 TVB851978:TVB852001 UEX851978:UEX852001 UOT851978:UOT852001 UYP851978:UYP852001 VIL851978:VIL852001 VSH851978:VSH852001 WCD851978:WCD852001 WLZ851978:WLZ852001 WVV851978:WVV852001 U917514:U917537 JJ917514:JJ917537 TF917514:TF917537 ADB917514:ADB917537 AMX917514:AMX917537 AWT917514:AWT917537 BGP917514:BGP917537 BQL917514:BQL917537 CAH917514:CAH917537 CKD917514:CKD917537 CTZ917514:CTZ917537 DDV917514:DDV917537 DNR917514:DNR917537 DXN917514:DXN917537 EHJ917514:EHJ917537 ERF917514:ERF917537 FBB917514:FBB917537 FKX917514:FKX917537 FUT917514:FUT917537 GEP917514:GEP917537 GOL917514:GOL917537 GYH917514:GYH917537 HID917514:HID917537 HRZ917514:HRZ917537 IBV917514:IBV917537 ILR917514:ILR917537 IVN917514:IVN917537 JFJ917514:JFJ917537 JPF917514:JPF917537 JZB917514:JZB917537 KIX917514:KIX917537 KST917514:KST917537 LCP917514:LCP917537 LML917514:LML917537 LWH917514:LWH917537 MGD917514:MGD917537 MPZ917514:MPZ917537 MZV917514:MZV917537 NJR917514:NJR917537 NTN917514:NTN917537 ODJ917514:ODJ917537 ONF917514:ONF917537 OXB917514:OXB917537 PGX917514:PGX917537 PQT917514:PQT917537 QAP917514:QAP917537 QKL917514:QKL917537 QUH917514:QUH917537 RED917514:RED917537 RNZ917514:RNZ917537 RXV917514:RXV917537 SHR917514:SHR917537 SRN917514:SRN917537 TBJ917514:TBJ917537 TLF917514:TLF917537 TVB917514:TVB917537 UEX917514:UEX917537 UOT917514:UOT917537 UYP917514:UYP917537 VIL917514:VIL917537 VSH917514:VSH917537 WCD917514:WCD917537 WLZ917514:WLZ917537 WVV917514:WVV917537 U983050:U983073 JJ983050:JJ983073 TF983050:TF983073 ADB983050:ADB983073 AMX983050:AMX983073 AWT983050:AWT983073 BGP983050:BGP983073 BQL983050:BQL983073 CAH983050:CAH983073 CKD983050:CKD983073 CTZ983050:CTZ983073 DDV983050:DDV983073 DNR983050:DNR983073 DXN983050:DXN983073 EHJ983050:EHJ983073 ERF983050:ERF983073 FBB983050:FBB983073 FKX983050:FKX983073 FUT983050:FUT983073 GEP983050:GEP983073 GOL983050:GOL983073 GYH983050:GYH983073 HID983050:HID983073 HRZ983050:HRZ983073 IBV983050:IBV983073 ILR983050:ILR983073 IVN983050:IVN983073 JFJ983050:JFJ983073 JPF983050:JPF983073 JZB983050:JZB983073 KIX983050:KIX983073 KST983050:KST983073 LCP983050:LCP983073 LML983050:LML983073 LWH983050:LWH983073 MGD983050:MGD983073 MPZ983050:MPZ983073 MZV983050:MZV983073 NJR983050:NJR983073 NTN983050:NTN983073 ODJ983050:ODJ983073 ONF983050:ONF983073 OXB983050:OXB983073 PGX983050:PGX983073 PQT983050:PQT983073 QAP983050:QAP983073 QKL983050:QKL983073 QUH983050:QUH983073 RED983050:RED983073 RNZ983050:RNZ983073 RXV983050:RXV983073 SHR983050:SHR983073 SRN983050:SRN983073 TBJ983050:TBJ983073 TLF983050:TLF983073 TVB983050:TVB983073 UEX983050:UEX983073 UOT983050:UOT983073 UYP983050:UYP983073 VIL983050:VIL983073 VSH983050:VSH983073 WCD983050:WCD983073 WLZ983050:WLZ983073 WVV983050:WVV983073 JL65546:JL65569 TH65546:TH65569 ADD65546:ADD65569 AMZ65546:AMZ65569 AWV65546:AWV65569 BGR65546:BGR65569 BQN65546:BQN65569 CAJ65546:CAJ65569 CKF65546:CKF65569 CUB65546:CUB65569 DDX65546:DDX65569 DNT65546:DNT65569 DXP65546:DXP65569 EHL65546:EHL65569 ERH65546:ERH65569 FBD65546:FBD65569 FKZ65546:FKZ65569 FUV65546:FUV65569 GER65546:GER65569 GON65546:GON65569 GYJ65546:GYJ65569 HIF65546:HIF65569 HSB65546:HSB65569 IBX65546:IBX65569 ILT65546:ILT65569 IVP65546:IVP65569 JFL65546:JFL65569 JPH65546:JPH65569 JZD65546:JZD65569 KIZ65546:KIZ65569 KSV65546:KSV65569 LCR65546:LCR65569 LMN65546:LMN65569 LWJ65546:LWJ65569 MGF65546:MGF65569 MQB65546:MQB65569 MZX65546:MZX65569 NJT65546:NJT65569 NTP65546:NTP65569 ODL65546:ODL65569 ONH65546:ONH65569 OXD65546:OXD65569 PGZ65546:PGZ65569 PQV65546:PQV65569 QAR65546:QAR65569 QKN65546:QKN65569 QUJ65546:QUJ65569 REF65546:REF65569 ROB65546:ROB65569 RXX65546:RXX65569 SHT65546:SHT65569 SRP65546:SRP65569 TBL65546:TBL65569 TLH65546:TLH65569 TVD65546:TVD65569 UEZ65546:UEZ65569 UOV65546:UOV65569 UYR65546:UYR65569 VIN65546:VIN65569 VSJ65546:VSJ65569 WCF65546:WCF65569 WMB65546:WMB65569 WVX65546:WVX65569 JL131082:JL131105 TH131082:TH131105 ADD131082:ADD131105 AMZ131082:AMZ131105 AWV131082:AWV131105 BGR131082:BGR131105 BQN131082:BQN131105 CAJ131082:CAJ131105 CKF131082:CKF131105 CUB131082:CUB131105 DDX131082:DDX131105 DNT131082:DNT131105 DXP131082:DXP131105 EHL131082:EHL131105 ERH131082:ERH131105 FBD131082:FBD131105 FKZ131082:FKZ131105 FUV131082:FUV131105 GER131082:GER131105 GON131082:GON131105 GYJ131082:GYJ131105 HIF131082:HIF131105 HSB131082:HSB131105 IBX131082:IBX131105 ILT131082:ILT131105 IVP131082:IVP131105 JFL131082:JFL131105 JPH131082:JPH131105 JZD131082:JZD131105 KIZ131082:KIZ131105 KSV131082:KSV131105 LCR131082:LCR131105 LMN131082:LMN131105 LWJ131082:LWJ131105 MGF131082:MGF131105 MQB131082:MQB131105 MZX131082:MZX131105 NJT131082:NJT131105 NTP131082:NTP131105 ODL131082:ODL131105 ONH131082:ONH131105 OXD131082:OXD131105 PGZ131082:PGZ131105 PQV131082:PQV131105 QAR131082:QAR131105 QKN131082:QKN131105 QUJ131082:QUJ131105 REF131082:REF131105 ROB131082:ROB131105 RXX131082:RXX131105 SHT131082:SHT131105 SRP131082:SRP131105 TBL131082:TBL131105 TLH131082:TLH131105 TVD131082:TVD131105 UEZ131082:UEZ131105 UOV131082:UOV131105 UYR131082:UYR131105 VIN131082:VIN131105 VSJ131082:VSJ131105 WCF131082:WCF131105 WMB131082:WMB131105 WVX131082:WVX131105 JL196618:JL196641 TH196618:TH196641 ADD196618:ADD196641 AMZ196618:AMZ196641 AWV196618:AWV196641 BGR196618:BGR196641 BQN196618:BQN196641 CAJ196618:CAJ196641 CKF196618:CKF196641 CUB196618:CUB196641 DDX196618:DDX196641 DNT196618:DNT196641 DXP196618:DXP196641 EHL196618:EHL196641 ERH196618:ERH196641 FBD196618:FBD196641 FKZ196618:FKZ196641 FUV196618:FUV196641 GER196618:GER196641 GON196618:GON196641 GYJ196618:GYJ196641 HIF196618:HIF196641 HSB196618:HSB196641 IBX196618:IBX196641 ILT196618:ILT196641 IVP196618:IVP196641 JFL196618:JFL196641 JPH196618:JPH196641 JZD196618:JZD196641 KIZ196618:KIZ196641 KSV196618:KSV196641 LCR196618:LCR196641 LMN196618:LMN196641 LWJ196618:LWJ196641 MGF196618:MGF196641 MQB196618:MQB196641 MZX196618:MZX196641 NJT196618:NJT196641 NTP196618:NTP196641 ODL196618:ODL196641 ONH196618:ONH196641 OXD196618:OXD196641 PGZ196618:PGZ196641 PQV196618:PQV196641 QAR196618:QAR196641 QKN196618:QKN196641 QUJ196618:QUJ196641 REF196618:REF196641 ROB196618:ROB196641 RXX196618:RXX196641 SHT196618:SHT196641 SRP196618:SRP196641 TBL196618:TBL196641 TLH196618:TLH196641 TVD196618:TVD196641 UEZ196618:UEZ196641 UOV196618:UOV196641 UYR196618:UYR196641 VIN196618:VIN196641 VSJ196618:VSJ196641 WCF196618:WCF196641 WMB196618:WMB196641 WVX196618:WVX196641 JL262154:JL262177 TH262154:TH262177 ADD262154:ADD262177 AMZ262154:AMZ262177 AWV262154:AWV262177 BGR262154:BGR262177 BQN262154:BQN262177 CAJ262154:CAJ262177 CKF262154:CKF262177 CUB262154:CUB262177 DDX262154:DDX262177 DNT262154:DNT262177 DXP262154:DXP262177 EHL262154:EHL262177 ERH262154:ERH262177 FBD262154:FBD262177 FKZ262154:FKZ262177 FUV262154:FUV262177 GER262154:GER262177 GON262154:GON262177 GYJ262154:GYJ262177 HIF262154:HIF262177 HSB262154:HSB262177 IBX262154:IBX262177 ILT262154:ILT262177 IVP262154:IVP262177 JFL262154:JFL262177 JPH262154:JPH262177 JZD262154:JZD262177 KIZ262154:KIZ262177 KSV262154:KSV262177 LCR262154:LCR262177 LMN262154:LMN262177 LWJ262154:LWJ262177 MGF262154:MGF262177 MQB262154:MQB262177 MZX262154:MZX262177 NJT262154:NJT262177 NTP262154:NTP262177 ODL262154:ODL262177 ONH262154:ONH262177 OXD262154:OXD262177 PGZ262154:PGZ262177 PQV262154:PQV262177 QAR262154:QAR262177 QKN262154:QKN262177 QUJ262154:QUJ262177 REF262154:REF262177 ROB262154:ROB262177 RXX262154:RXX262177 SHT262154:SHT262177 SRP262154:SRP262177 TBL262154:TBL262177 TLH262154:TLH262177 TVD262154:TVD262177 UEZ262154:UEZ262177 UOV262154:UOV262177 UYR262154:UYR262177 VIN262154:VIN262177 VSJ262154:VSJ262177 WCF262154:WCF262177 WMB262154:WMB262177 WVX262154:WVX262177 JL327690:JL327713 TH327690:TH327713 ADD327690:ADD327713 AMZ327690:AMZ327713 AWV327690:AWV327713 BGR327690:BGR327713 BQN327690:BQN327713 CAJ327690:CAJ327713 CKF327690:CKF327713 CUB327690:CUB327713 DDX327690:DDX327713 DNT327690:DNT327713 DXP327690:DXP327713 EHL327690:EHL327713 ERH327690:ERH327713 FBD327690:FBD327713 FKZ327690:FKZ327713 FUV327690:FUV327713 GER327690:GER327713 GON327690:GON327713 GYJ327690:GYJ327713 HIF327690:HIF327713 HSB327690:HSB327713 IBX327690:IBX327713 ILT327690:ILT327713 IVP327690:IVP327713 JFL327690:JFL327713 JPH327690:JPH327713 JZD327690:JZD327713 KIZ327690:KIZ327713 KSV327690:KSV327713 LCR327690:LCR327713 LMN327690:LMN327713 LWJ327690:LWJ327713 MGF327690:MGF327713 MQB327690:MQB327713 MZX327690:MZX327713 NJT327690:NJT327713 NTP327690:NTP327713 ODL327690:ODL327713 ONH327690:ONH327713 OXD327690:OXD327713 PGZ327690:PGZ327713 PQV327690:PQV327713 QAR327690:QAR327713 QKN327690:QKN327713 QUJ327690:QUJ327713 REF327690:REF327713 ROB327690:ROB327713 RXX327690:RXX327713 SHT327690:SHT327713 SRP327690:SRP327713 TBL327690:TBL327713 TLH327690:TLH327713 TVD327690:TVD327713 UEZ327690:UEZ327713 UOV327690:UOV327713 UYR327690:UYR327713 VIN327690:VIN327713 VSJ327690:VSJ327713 WCF327690:WCF327713 WMB327690:WMB327713 WVX327690:WVX327713 JL393226:JL393249 TH393226:TH393249 ADD393226:ADD393249 AMZ393226:AMZ393249 AWV393226:AWV393249 BGR393226:BGR393249 BQN393226:BQN393249 CAJ393226:CAJ393249 CKF393226:CKF393249 CUB393226:CUB393249 DDX393226:DDX393249 DNT393226:DNT393249 DXP393226:DXP393249 EHL393226:EHL393249 ERH393226:ERH393249 FBD393226:FBD393249 FKZ393226:FKZ393249 FUV393226:FUV393249 GER393226:GER393249 GON393226:GON393249 GYJ393226:GYJ393249 HIF393226:HIF393249 HSB393226:HSB393249 IBX393226:IBX393249 ILT393226:ILT393249 IVP393226:IVP393249 JFL393226:JFL393249 JPH393226:JPH393249 JZD393226:JZD393249 KIZ393226:KIZ393249 KSV393226:KSV393249 LCR393226:LCR393249 LMN393226:LMN393249 LWJ393226:LWJ393249 MGF393226:MGF393249 MQB393226:MQB393249 MZX393226:MZX393249 NJT393226:NJT393249 NTP393226:NTP393249 ODL393226:ODL393249 ONH393226:ONH393249 OXD393226:OXD393249 PGZ393226:PGZ393249 PQV393226:PQV393249 QAR393226:QAR393249 QKN393226:QKN393249 QUJ393226:QUJ393249 REF393226:REF393249 ROB393226:ROB393249 RXX393226:RXX393249 SHT393226:SHT393249 SRP393226:SRP393249 TBL393226:TBL393249 TLH393226:TLH393249 TVD393226:TVD393249 UEZ393226:UEZ393249 UOV393226:UOV393249 UYR393226:UYR393249 VIN393226:VIN393249 VSJ393226:VSJ393249 WCF393226:WCF393249 WMB393226:WMB393249 WVX393226:WVX393249 JL458762:JL458785 TH458762:TH458785 ADD458762:ADD458785 AMZ458762:AMZ458785 AWV458762:AWV458785 BGR458762:BGR458785 BQN458762:BQN458785 CAJ458762:CAJ458785 CKF458762:CKF458785 CUB458762:CUB458785 DDX458762:DDX458785 DNT458762:DNT458785 DXP458762:DXP458785 EHL458762:EHL458785 ERH458762:ERH458785 FBD458762:FBD458785 FKZ458762:FKZ458785 FUV458762:FUV458785 GER458762:GER458785 GON458762:GON458785 GYJ458762:GYJ458785 HIF458762:HIF458785 HSB458762:HSB458785 IBX458762:IBX458785 ILT458762:ILT458785 IVP458762:IVP458785 JFL458762:JFL458785 JPH458762:JPH458785 JZD458762:JZD458785 KIZ458762:KIZ458785 KSV458762:KSV458785 LCR458762:LCR458785 LMN458762:LMN458785 LWJ458762:LWJ458785 MGF458762:MGF458785 MQB458762:MQB458785 MZX458762:MZX458785 NJT458762:NJT458785 NTP458762:NTP458785 ODL458762:ODL458785 ONH458762:ONH458785 OXD458762:OXD458785 PGZ458762:PGZ458785 PQV458762:PQV458785 QAR458762:QAR458785 QKN458762:QKN458785 QUJ458762:QUJ458785 REF458762:REF458785 ROB458762:ROB458785 RXX458762:RXX458785 SHT458762:SHT458785 SRP458762:SRP458785 TBL458762:TBL458785 TLH458762:TLH458785 TVD458762:TVD458785 UEZ458762:UEZ458785 UOV458762:UOV458785 UYR458762:UYR458785 VIN458762:VIN458785 VSJ458762:VSJ458785 WCF458762:WCF458785 WMB458762:WMB458785 WVX458762:WVX458785 JL524298:JL524321 TH524298:TH524321 ADD524298:ADD524321 AMZ524298:AMZ524321 AWV524298:AWV524321 BGR524298:BGR524321 BQN524298:BQN524321 CAJ524298:CAJ524321 CKF524298:CKF524321 CUB524298:CUB524321 DDX524298:DDX524321 DNT524298:DNT524321 DXP524298:DXP524321 EHL524298:EHL524321 ERH524298:ERH524321 FBD524298:FBD524321 FKZ524298:FKZ524321 FUV524298:FUV524321 GER524298:GER524321 GON524298:GON524321 GYJ524298:GYJ524321 HIF524298:HIF524321 HSB524298:HSB524321 IBX524298:IBX524321 ILT524298:ILT524321 IVP524298:IVP524321 JFL524298:JFL524321 JPH524298:JPH524321 JZD524298:JZD524321 KIZ524298:KIZ524321 KSV524298:KSV524321 LCR524298:LCR524321 LMN524298:LMN524321 LWJ524298:LWJ524321 MGF524298:MGF524321 MQB524298:MQB524321 MZX524298:MZX524321 NJT524298:NJT524321 NTP524298:NTP524321 ODL524298:ODL524321 ONH524298:ONH524321 OXD524298:OXD524321 PGZ524298:PGZ524321 PQV524298:PQV524321 QAR524298:QAR524321 QKN524298:QKN524321 QUJ524298:QUJ524321 REF524298:REF524321 ROB524298:ROB524321 RXX524298:RXX524321 SHT524298:SHT524321 SRP524298:SRP524321 TBL524298:TBL524321 TLH524298:TLH524321 TVD524298:TVD524321 UEZ524298:UEZ524321 UOV524298:UOV524321 UYR524298:UYR524321 VIN524298:VIN524321 VSJ524298:VSJ524321 WCF524298:WCF524321 WMB524298:WMB524321 WVX524298:WVX524321 JL589834:JL589857 TH589834:TH589857 ADD589834:ADD589857 AMZ589834:AMZ589857 AWV589834:AWV589857 BGR589834:BGR589857 BQN589834:BQN589857 CAJ589834:CAJ589857 CKF589834:CKF589857 CUB589834:CUB589857 DDX589834:DDX589857 DNT589834:DNT589857 DXP589834:DXP589857 EHL589834:EHL589857 ERH589834:ERH589857 FBD589834:FBD589857 FKZ589834:FKZ589857 FUV589834:FUV589857 GER589834:GER589857 GON589834:GON589857 GYJ589834:GYJ589857 HIF589834:HIF589857 HSB589834:HSB589857 IBX589834:IBX589857 ILT589834:ILT589857 IVP589834:IVP589857 JFL589834:JFL589857 JPH589834:JPH589857 JZD589834:JZD589857 KIZ589834:KIZ589857 KSV589834:KSV589857 LCR589834:LCR589857 LMN589834:LMN589857 LWJ589834:LWJ589857 MGF589834:MGF589857 MQB589834:MQB589857 MZX589834:MZX589857 NJT589834:NJT589857 NTP589834:NTP589857 ODL589834:ODL589857 ONH589834:ONH589857 OXD589834:OXD589857 PGZ589834:PGZ589857 PQV589834:PQV589857 QAR589834:QAR589857 QKN589834:QKN589857 QUJ589834:QUJ589857 REF589834:REF589857 ROB589834:ROB589857 RXX589834:RXX589857 SHT589834:SHT589857 SRP589834:SRP589857 TBL589834:TBL589857 TLH589834:TLH589857 TVD589834:TVD589857 UEZ589834:UEZ589857 UOV589834:UOV589857 UYR589834:UYR589857 VIN589834:VIN589857 VSJ589834:VSJ589857 WCF589834:WCF589857 WMB589834:WMB589857 WVX589834:WVX589857 JL655370:JL655393 TH655370:TH655393 ADD655370:ADD655393 AMZ655370:AMZ655393 AWV655370:AWV655393 BGR655370:BGR655393 BQN655370:BQN655393 CAJ655370:CAJ655393 CKF655370:CKF655393 CUB655370:CUB655393 DDX655370:DDX655393 DNT655370:DNT655393 DXP655370:DXP655393 EHL655370:EHL655393 ERH655370:ERH655393 FBD655370:FBD655393 FKZ655370:FKZ655393 FUV655370:FUV655393 GER655370:GER655393 GON655370:GON655393 GYJ655370:GYJ655393 HIF655370:HIF655393 HSB655370:HSB655393 IBX655370:IBX655393 ILT655370:ILT655393 IVP655370:IVP655393 JFL655370:JFL655393 JPH655370:JPH655393 JZD655370:JZD655393 KIZ655370:KIZ655393 KSV655370:KSV655393 LCR655370:LCR655393 LMN655370:LMN655393 LWJ655370:LWJ655393 MGF655370:MGF655393 MQB655370:MQB655393 MZX655370:MZX655393 NJT655370:NJT655393 NTP655370:NTP655393 ODL655370:ODL655393 ONH655370:ONH655393 OXD655370:OXD655393 PGZ655370:PGZ655393 PQV655370:PQV655393 QAR655370:QAR655393 QKN655370:QKN655393 QUJ655370:QUJ655393 REF655370:REF655393 ROB655370:ROB655393 RXX655370:RXX655393 SHT655370:SHT655393 SRP655370:SRP655393 TBL655370:TBL655393 TLH655370:TLH655393 TVD655370:TVD655393 UEZ655370:UEZ655393 UOV655370:UOV655393 UYR655370:UYR655393 VIN655370:VIN655393 VSJ655370:VSJ655393 WCF655370:WCF655393 WMB655370:WMB655393 WVX655370:WVX655393 JL720906:JL720929 TH720906:TH720929 ADD720906:ADD720929 AMZ720906:AMZ720929 AWV720906:AWV720929 BGR720906:BGR720929 BQN720906:BQN720929 CAJ720906:CAJ720929 CKF720906:CKF720929 CUB720906:CUB720929 DDX720906:DDX720929 DNT720906:DNT720929 DXP720906:DXP720929 EHL720906:EHL720929 ERH720906:ERH720929 FBD720906:FBD720929 FKZ720906:FKZ720929 FUV720906:FUV720929 GER720906:GER720929 GON720906:GON720929 GYJ720906:GYJ720929 HIF720906:HIF720929 HSB720906:HSB720929 IBX720906:IBX720929 ILT720906:ILT720929 IVP720906:IVP720929 JFL720906:JFL720929 JPH720906:JPH720929 JZD720906:JZD720929 KIZ720906:KIZ720929 KSV720906:KSV720929 LCR720906:LCR720929 LMN720906:LMN720929 LWJ720906:LWJ720929 MGF720906:MGF720929 MQB720906:MQB720929 MZX720906:MZX720929 NJT720906:NJT720929 NTP720906:NTP720929 ODL720906:ODL720929 ONH720906:ONH720929 OXD720906:OXD720929 PGZ720906:PGZ720929 PQV720906:PQV720929 QAR720906:QAR720929 QKN720906:QKN720929 QUJ720906:QUJ720929 REF720906:REF720929 ROB720906:ROB720929 RXX720906:RXX720929 SHT720906:SHT720929 SRP720906:SRP720929 TBL720906:TBL720929 TLH720906:TLH720929 TVD720906:TVD720929 UEZ720906:UEZ720929 UOV720906:UOV720929 UYR720906:UYR720929 VIN720906:VIN720929 VSJ720906:VSJ720929 WCF720906:WCF720929 WMB720906:WMB720929 WVX720906:WVX720929 JL786442:JL786465 TH786442:TH786465 ADD786442:ADD786465 AMZ786442:AMZ786465 AWV786442:AWV786465 BGR786442:BGR786465 BQN786442:BQN786465 CAJ786442:CAJ786465 CKF786442:CKF786465 CUB786442:CUB786465 DDX786442:DDX786465 DNT786442:DNT786465 DXP786442:DXP786465 EHL786442:EHL786465 ERH786442:ERH786465 FBD786442:FBD786465 FKZ786442:FKZ786465 FUV786442:FUV786465 GER786442:GER786465 GON786442:GON786465 GYJ786442:GYJ786465 HIF786442:HIF786465 HSB786442:HSB786465 IBX786442:IBX786465 ILT786442:ILT786465 IVP786442:IVP786465 JFL786442:JFL786465 JPH786442:JPH786465 JZD786442:JZD786465 KIZ786442:KIZ786465 KSV786442:KSV786465 LCR786442:LCR786465 LMN786442:LMN786465 LWJ786442:LWJ786465 MGF786442:MGF786465 MQB786442:MQB786465 MZX786442:MZX786465 NJT786442:NJT786465 NTP786442:NTP786465 ODL786442:ODL786465 ONH786442:ONH786465 OXD786442:OXD786465 PGZ786442:PGZ786465 PQV786442:PQV786465 QAR786442:QAR786465 QKN786442:QKN786465 QUJ786442:QUJ786465 REF786442:REF786465 ROB786442:ROB786465 RXX786442:RXX786465 SHT786442:SHT786465 SRP786442:SRP786465 TBL786442:TBL786465 TLH786442:TLH786465 TVD786442:TVD786465 UEZ786442:UEZ786465 UOV786442:UOV786465 UYR786442:UYR786465 VIN786442:VIN786465 VSJ786442:VSJ786465 WCF786442:WCF786465 WMB786442:WMB786465 WVX786442:WVX786465 JL851978:JL852001 TH851978:TH852001 ADD851978:ADD852001 AMZ851978:AMZ852001 AWV851978:AWV852001 BGR851978:BGR852001 BQN851978:BQN852001 CAJ851978:CAJ852001 CKF851978:CKF852001 CUB851978:CUB852001 DDX851978:DDX852001 DNT851978:DNT852001 DXP851978:DXP852001 EHL851978:EHL852001 ERH851978:ERH852001 FBD851978:FBD852001 FKZ851978:FKZ852001 FUV851978:FUV852001 GER851978:GER852001 GON851978:GON852001 GYJ851978:GYJ852001 HIF851978:HIF852001 HSB851978:HSB852001 IBX851978:IBX852001 ILT851978:ILT852001 IVP851978:IVP852001 JFL851978:JFL852001 JPH851978:JPH852001 JZD851978:JZD852001 KIZ851978:KIZ852001 KSV851978:KSV852001 LCR851978:LCR852001 LMN851978:LMN852001 LWJ851978:LWJ852001 MGF851978:MGF852001 MQB851978:MQB852001 MZX851978:MZX852001 NJT851978:NJT852001 NTP851978:NTP852001 ODL851978:ODL852001 ONH851978:ONH852001 OXD851978:OXD852001 PGZ851978:PGZ852001 PQV851978:PQV852001 QAR851978:QAR852001 QKN851978:QKN852001 QUJ851978:QUJ852001 REF851978:REF852001 ROB851978:ROB852001 RXX851978:RXX852001 SHT851978:SHT852001 SRP851978:SRP852001 TBL851978:TBL852001 TLH851978:TLH852001 TVD851978:TVD852001 UEZ851978:UEZ852001 UOV851978:UOV852001 UYR851978:UYR852001 VIN851978:VIN852001 VSJ851978:VSJ852001 WCF851978:WCF852001 WMB851978:WMB852001 WVX851978:WVX852001 JL917514:JL917537 TH917514:TH917537 ADD917514:ADD917537 AMZ917514:AMZ917537 AWV917514:AWV917537 BGR917514:BGR917537 BQN917514:BQN917537 CAJ917514:CAJ917537 CKF917514:CKF917537 CUB917514:CUB917537 DDX917514:DDX917537 DNT917514:DNT917537 DXP917514:DXP917537 EHL917514:EHL917537 ERH917514:ERH917537 FBD917514:FBD917537 FKZ917514:FKZ917537 FUV917514:FUV917537 GER917514:GER917537 GON917514:GON917537 GYJ917514:GYJ917537 HIF917514:HIF917537 HSB917514:HSB917537 IBX917514:IBX917537 ILT917514:ILT917537 IVP917514:IVP917537 JFL917514:JFL917537 JPH917514:JPH917537 JZD917514:JZD917537 KIZ917514:KIZ917537 KSV917514:KSV917537 LCR917514:LCR917537 LMN917514:LMN917537 LWJ917514:LWJ917537 MGF917514:MGF917537 MQB917514:MQB917537 MZX917514:MZX917537 NJT917514:NJT917537 NTP917514:NTP917537 ODL917514:ODL917537 ONH917514:ONH917537 OXD917514:OXD917537 PGZ917514:PGZ917537 PQV917514:PQV917537 QAR917514:QAR917537 QKN917514:QKN917537 QUJ917514:QUJ917537 REF917514:REF917537 ROB917514:ROB917537 RXX917514:RXX917537 SHT917514:SHT917537 SRP917514:SRP917537 TBL917514:TBL917537 TLH917514:TLH917537 TVD917514:TVD917537 UEZ917514:UEZ917537 UOV917514:UOV917537 UYR917514:UYR917537 VIN917514:VIN917537 VSJ917514:VSJ917537 WCF917514:WCF917537 WMB917514:WMB917537 WVX917514:WVX917537 JL983050:JL983073 TH983050:TH983073 ADD983050:ADD983073 AMZ983050:AMZ983073 AWV983050:AWV983073 BGR983050:BGR983073 BQN983050:BQN983073 CAJ983050:CAJ983073 CKF983050:CKF983073 CUB983050:CUB983073 DDX983050:DDX983073 DNT983050:DNT983073 DXP983050:DXP983073 EHL983050:EHL983073 ERH983050:ERH983073 FBD983050:FBD983073 FKZ983050:FKZ983073 FUV983050:FUV983073 GER983050:GER983073 GON983050:GON983073 GYJ983050:GYJ983073 HIF983050:HIF983073 HSB983050:HSB983073 IBX983050:IBX983073 ILT983050:ILT983073 IVP983050:IVP983073 JFL983050:JFL983073 JPH983050:JPH983073 JZD983050:JZD983073 KIZ983050:KIZ983073 KSV983050:KSV983073 LCR983050:LCR983073 LMN983050:LMN983073 LWJ983050:LWJ983073 MGF983050:MGF983073 MQB983050:MQB983073 MZX983050:MZX983073 NJT983050:NJT983073 NTP983050:NTP983073 ODL983050:ODL983073 ONH983050:ONH983073 OXD983050:OXD983073 PGZ983050:PGZ983073 PQV983050:PQV983073 QAR983050:QAR983073 QKN983050:QKN983073 QUJ983050:QUJ983073 REF983050:REF983073 ROB983050:ROB983073 RXX983050:RXX983073 SHT983050:SHT983073 SRP983050:SRP983073 TBL983050:TBL983073 TLH983050:TLH983073 TVD983050:TVD983073 UEZ983050:UEZ983073 UOV983050:UOV983073 UYR983050:UYR983073 VIN983050:VIN983073 VSJ983050:VSJ983073 WCF983050:WCF983073 WMB983050:WMB983073 SQ11:SQ23 IU11:IU23 WVI11:WVI23 WLM11:WLM23 WBQ11:WBQ23 VRU11:VRU23 VHY11:VHY23 UYC11:UYC23 UOG11:UOG23 UEK11:UEK23 TUO11:TUO23 TKS11:TKS23 TAW11:TAW23 SRA11:SRA23 SHE11:SHE23 RXI11:RXI23 RNM11:RNM23 RDQ11:RDQ23 QTU11:QTU23 QJY11:QJY23 QAC11:QAC23 PQG11:PQG23 PGK11:PGK23 OWO11:OWO23 OMS11:OMS23 OCW11:OCW23 NTA11:NTA23 NJE11:NJE23 MZI11:MZI23 MPM11:MPM23 MFQ11:MFQ23 LVU11:LVU23 LLY11:LLY23 LCC11:LCC23 KSG11:KSG23 KIK11:KIK23 JYO11:JYO23 JOS11:JOS23 JEW11:JEW23 IVA11:IVA23 ILE11:ILE23 IBI11:IBI23 HRM11:HRM23 HHQ11:HHQ23 GXU11:GXU23 GNY11:GNY23 GEC11:GEC23 FUG11:FUG23 FKK11:FKK23 FAO11:FAO23 EQS11:EQS23 EGW11:EGW23 DXA11:DXA23 DNE11:DNE23 DDI11:DDI23 CTM11:CTM23 CJQ11:CJQ23 BZU11:BZU23 BPY11:BPY23 BGC11:BGC23 AWG11:AWG23 AMK11:AMK23 ACO11:ACO23 SS11:SS23 IW11:IW23 WVG11:WVG23 WLK11:WLK23 WBO11:WBO23 VRS11:VRS23 VHW11:VHW23 UYA11:UYA23 UOE11:UOE23 UEI11:UEI23 TUM11:TUM23 TKQ11:TKQ23 TAU11:TAU23 SQY11:SQY23 SHC11:SHC23 RXG11:RXG23 RNK11:RNK23 RDO11:RDO23 QTS11:QTS23 QJW11:QJW23 QAA11:QAA23 PQE11:PQE23 PGI11:PGI23 OWM11:OWM23 OMQ11:OMQ23 OCU11:OCU23 NSY11:NSY23 NJC11:NJC23 MZG11:MZG23 MPK11:MPK23 MFO11:MFO23 LVS11:LVS23 LLW11:LLW23 LCA11:LCA23 KSE11:KSE23 KII11:KII23 JYM11:JYM23 JOQ11:JOQ23 JEU11:JEU23 IUY11:IUY23 ILC11:ILC23 IBG11:IBG23 HRK11:HRK23 HHO11:HHO23 GXS11:GXS23 GNW11:GNW23 GEA11:GEA23 FUE11:FUE23 FKI11:FKI23 FAM11:FAM23 EQQ11:EQQ23 EGU11:EGU23 DWY11:DWY23 DNC11:DNC23 DDG11:DDG23 CTK11:CTK23 CJO11:CJO23 BZS11:BZS23 BPW11:BPW23 BGA11:BGA23 AWE11:AWE23 AMI11:AMI23 ACM11:ACM23 U11:U34 W11:W34" xr:uid="{00000000-0002-0000-0600-000001000000}">
      <formula1>"1,2,3,4"</formula1>
    </dataValidation>
  </dataValidations>
  <pageMargins left="0" right="0" top="0.39370078740157483" bottom="0.59055118110236227" header="0.51181102362204722" footer="0.39370078740157483"/>
  <pageSetup paperSize="9" scale="82" fitToHeight="0" orientation="landscape" r:id="rId1"/>
  <headerFooter alignWithMargins="0">
    <oddFooter>第 &amp;P 頁，共 &amp;N 頁</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8">
    <tabColor rgb="FFFF0000"/>
    <pageSetUpPr fitToPage="1"/>
  </sheetPr>
  <dimension ref="A1:Z39"/>
  <sheetViews>
    <sheetView topLeftCell="M16" zoomScale="97" zoomScaleNormal="97" workbookViewId="0">
      <selection activeCell="N7" sqref="N7:P7"/>
    </sheetView>
  </sheetViews>
  <sheetFormatPr defaultRowHeight="15.5"/>
  <cols>
    <col min="1" max="1" width="7.7265625" style="35" hidden="1" customWidth="1"/>
    <col min="2" max="2" width="11.90625" style="35" hidden="1" customWidth="1"/>
    <col min="3" max="4" width="9.7265625" style="35" hidden="1" customWidth="1"/>
    <col min="5" max="5" width="5.7265625" style="35" hidden="1" customWidth="1"/>
    <col min="6" max="6" width="7.7265625" style="35" hidden="1" customWidth="1"/>
    <col min="7" max="7" width="3.08984375" style="35" hidden="1" customWidth="1"/>
    <col min="8" max="8" width="2.26953125" style="35" hidden="1" customWidth="1"/>
    <col min="9" max="9" width="3.08984375" style="35" hidden="1" customWidth="1"/>
    <col min="10" max="10" width="5.26953125" style="35" hidden="1" customWidth="1"/>
    <col min="11" max="11" width="9.7265625" style="35" hidden="1" customWidth="1"/>
    <col min="12" max="12" width="5.7265625" style="35" hidden="1" customWidth="1"/>
    <col min="13" max="13" width="21.08984375" style="6" customWidth="1"/>
    <col min="14" max="14" width="8.90625" style="6" customWidth="1"/>
    <col min="15" max="15" width="11.36328125" style="6" customWidth="1"/>
    <col min="16" max="16" width="8.90625" style="6" customWidth="1"/>
    <col min="17" max="17" width="8.90625" style="36" customWidth="1"/>
    <col min="18" max="18" width="16.90625" style="6" customWidth="1"/>
    <col min="19" max="19" width="16.90625" style="36" customWidth="1"/>
    <col min="20" max="20" width="10" style="6" customWidth="1"/>
    <col min="21" max="21" width="10" style="36" customWidth="1"/>
    <col min="22" max="22" width="17.7265625" style="6" customWidth="1"/>
    <col min="23" max="23" width="10" style="6" customWidth="1"/>
    <col min="24" max="24" width="17.7265625" style="6" customWidth="1"/>
    <col min="25" max="25" width="10" style="6" customWidth="1"/>
    <col min="26" max="26" width="5.90625" style="6" customWidth="1"/>
    <col min="27" max="261" width="9" style="6"/>
    <col min="262" max="262" width="16.26953125" style="6" customWidth="1"/>
    <col min="263" max="263" width="9" style="6"/>
    <col min="264" max="264" width="11.36328125" style="6" customWidth="1"/>
    <col min="265" max="266" width="9" style="6"/>
    <col min="267" max="267" width="23" style="6" bestFit="1" customWidth="1"/>
    <col min="268" max="268" width="10" style="6" customWidth="1"/>
    <col min="269" max="269" width="6.26953125" style="6" bestFit="1" customWidth="1"/>
    <col min="270" max="270" width="7.26953125" style="6" bestFit="1" customWidth="1"/>
    <col min="271" max="271" width="16.7265625" style="6" customWidth="1"/>
    <col min="272" max="272" width="7.26953125" style="6" bestFit="1" customWidth="1"/>
    <col min="273" max="273" width="16.7265625" style="6" customWidth="1"/>
    <col min="274" max="517" width="9" style="6"/>
    <col min="518" max="518" width="16.26953125" style="6" customWidth="1"/>
    <col min="519" max="519" width="9" style="6"/>
    <col min="520" max="520" width="11.36328125" style="6" customWidth="1"/>
    <col min="521" max="522" width="9" style="6"/>
    <col min="523" max="523" width="23" style="6" bestFit="1" customWidth="1"/>
    <col min="524" max="524" width="10" style="6" customWidth="1"/>
    <col min="525" max="525" width="6.26953125" style="6" bestFit="1" customWidth="1"/>
    <col min="526" max="526" width="7.26953125" style="6" bestFit="1" customWidth="1"/>
    <col min="527" max="527" width="16.7265625" style="6" customWidth="1"/>
    <col min="528" max="528" width="7.26953125" style="6" bestFit="1" customWidth="1"/>
    <col min="529" max="529" width="16.7265625" style="6" customWidth="1"/>
    <col min="530" max="773" width="9" style="6"/>
    <col min="774" max="774" width="16.26953125" style="6" customWidth="1"/>
    <col min="775" max="775" width="9" style="6"/>
    <col min="776" max="776" width="11.36328125" style="6" customWidth="1"/>
    <col min="777" max="778" width="9" style="6"/>
    <col min="779" max="779" width="23" style="6" bestFit="1" customWidth="1"/>
    <col min="780" max="780" width="10" style="6" customWidth="1"/>
    <col min="781" max="781" width="6.26953125" style="6" bestFit="1" customWidth="1"/>
    <col min="782" max="782" width="7.26953125" style="6" bestFit="1" customWidth="1"/>
    <col min="783" max="783" width="16.7265625" style="6" customWidth="1"/>
    <col min="784" max="784" width="7.26953125" style="6" bestFit="1" customWidth="1"/>
    <col min="785" max="785" width="16.7265625" style="6" customWidth="1"/>
    <col min="786" max="1029" width="9" style="6"/>
    <col min="1030" max="1030" width="16.26953125" style="6" customWidth="1"/>
    <col min="1031" max="1031" width="9" style="6"/>
    <col min="1032" max="1032" width="11.36328125" style="6" customWidth="1"/>
    <col min="1033" max="1034" width="9" style="6"/>
    <col min="1035" max="1035" width="23" style="6" bestFit="1" customWidth="1"/>
    <col min="1036" max="1036" width="10" style="6" customWidth="1"/>
    <col min="1037" max="1037" width="6.26953125" style="6" bestFit="1" customWidth="1"/>
    <col min="1038" max="1038" width="7.26953125" style="6" bestFit="1" customWidth="1"/>
    <col min="1039" max="1039" width="16.7265625" style="6" customWidth="1"/>
    <col min="1040" max="1040" width="7.26953125" style="6" bestFit="1" customWidth="1"/>
    <col min="1041" max="1041" width="16.7265625" style="6" customWidth="1"/>
    <col min="1042" max="1285" width="9" style="6"/>
    <col min="1286" max="1286" width="16.26953125" style="6" customWidth="1"/>
    <col min="1287" max="1287" width="9" style="6"/>
    <col min="1288" max="1288" width="11.36328125" style="6" customWidth="1"/>
    <col min="1289" max="1290" width="9" style="6"/>
    <col min="1291" max="1291" width="23" style="6" bestFit="1" customWidth="1"/>
    <col min="1292" max="1292" width="10" style="6" customWidth="1"/>
    <col min="1293" max="1293" width="6.26953125" style="6" bestFit="1" customWidth="1"/>
    <col min="1294" max="1294" width="7.26953125" style="6" bestFit="1" customWidth="1"/>
    <col min="1295" max="1295" width="16.7265625" style="6" customWidth="1"/>
    <col min="1296" max="1296" width="7.26953125" style="6" bestFit="1" customWidth="1"/>
    <col min="1297" max="1297" width="16.7265625" style="6" customWidth="1"/>
    <col min="1298" max="1541" width="9" style="6"/>
    <col min="1542" max="1542" width="16.26953125" style="6" customWidth="1"/>
    <col min="1543" max="1543" width="9" style="6"/>
    <col min="1544" max="1544" width="11.36328125" style="6" customWidth="1"/>
    <col min="1545" max="1546" width="9" style="6"/>
    <col min="1547" max="1547" width="23" style="6" bestFit="1" customWidth="1"/>
    <col min="1548" max="1548" width="10" style="6" customWidth="1"/>
    <col min="1549" max="1549" width="6.26953125" style="6" bestFit="1" customWidth="1"/>
    <col min="1550" max="1550" width="7.26953125" style="6" bestFit="1" customWidth="1"/>
    <col min="1551" max="1551" width="16.7265625" style="6" customWidth="1"/>
    <col min="1552" max="1552" width="7.26953125" style="6" bestFit="1" customWidth="1"/>
    <col min="1553" max="1553" width="16.7265625" style="6" customWidth="1"/>
    <col min="1554" max="1797" width="9" style="6"/>
    <col min="1798" max="1798" width="16.26953125" style="6" customWidth="1"/>
    <col min="1799" max="1799" width="9" style="6"/>
    <col min="1800" max="1800" width="11.36328125" style="6" customWidth="1"/>
    <col min="1801" max="1802" width="9" style="6"/>
    <col min="1803" max="1803" width="23" style="6" bestFit="1" customWidth="1"/>
    <col min="1804" max="1804" width="10" style="6" customWidth="1"/>
    <col min="1805" max="1805" width="6.26953125" style="6" bestFit="1" customWidth="1"/>
    <col min="1806" max="1806" width="7.26953125" style="6" bestFit="1" customWidth="1"/>
    <col min="1807" max="1807" width="16.7265625" style="6" customWidth="1"/>
    <col min="1808" max="1808" width="7.26953125" style="6" bestFit="1" customWidth="1"/>
    <col min="1809" max="1809" width="16.7265625" style="6" customWidth="1"/>
    <col min="1810" max="2053" width="9" style="6"/>
    <col min="2054" max="2054" width="16.26953125" style="6" customWidth="1"/>
    <col min="2055" max="2055" width="9" style="6"/>
    <col min="2056" max="2056" width="11.36328125" style="6" customWidth="1"/>
    <col min="2057" max="2058" width="9" style="6"/>
    <col min="2059" max="2059" width="23" style="6" bestFit="1" customWidth="1"/>
    <col min="2060" max="2060" width="10" style="6" customWidth="1"/>
    <col min="2061" max="2061" width="6.26953125" style="6" bestFit="1" customWidth="1"/>
    <col min="2062" max="2062" width="7.26953125" style="6" bestFit="1" customWidth="1"/>
    <col min="2063" max="2063" width="16.7265625" style="6" customWidth="1"/>
    <col min="2064" max="2064" width="7.26953125" style="6" bestFit="1" customWidth="1"/>
    <col min="2065" max="2065" width="16.7265625" style="6" customWidth="1"/>
    <col min="2066" max="2309" width="9" style="6"/>
    <col min="2310" max="2310" width="16.26953125" style="6" customWidth="1"/>
    <col min="2311" max="2311" width="9" style="6"/>
    <col min="2312" max="2312" width="11.36328125" style="6" customWidth="1"/>
    <col min="2313" max="2314" width="9" style="6"/>
    <col min="2315" max="2315" width="23" style="6" bestFit="1" customWidth="1"/>
    <col min="2316" max="2316" width="10" style="6" customWidth="1"/>
    <col min="2317" max="2317" width="6.26953125" style="6" bestFit="1" customWidth="1"/>
    <col min="2318" max="2318" width="7.26953125" style="6" bestFit="1" customWidth="1"/>
    <col min="2319" max="2319" width="16.7265625" style="6" customWidth="1"/>
    <col min="2320" max="2320" width="7.26953125" style="6" bestFit="1" customWidth="1"/>
    <col min="2321" max="2321" width="16.7265625" style="6" customWidth="1"/>
    <col min="2322" max="2565" width="9" style="6"/>
    <col min="2566" max="2566" width="16.26953125" style="6" customWidth="1"/>
    <col min="2567" max="2567" width="9" style="6"/>
    <col min="2568" max="2568" width="11.36328125" style="6" customWidth="1"/>
    <col min="2569" max="2570" width="9" style="6"/>
    <col min="2571" max="2571" width="23" style="6" bestFit="1" customWidth="1"/>
    <col min="2572" max="2572" width="10" style="6" customWidth="1"/>
    <col min="2573" max="2573" width="6.26953125" style="6" bestFit="1" customWidth="1"/>
    <col min="2574" max="2574" width="7.26953125" style="6" bestFit="1" customWidth="1"/>
    <col min="2575" max="2575" width="16.7265625" style="6" customWidth="1"/>
    <col min="2576" max="2576" width="7.26953125" style="6" bestFit="1" customWidth="1"/>
    <col min="2577" max="2577" width="16.7265625" style="6" customWidth="1"/>
    <col min="2578" max="2821" width="9" style="6"/>
    <col min="2822" max="2822" width="16.26953125" style="6" customWidth="1"/>
    <col min="2823" max="2823" width="9" style="6"/>
    <col min="2824" max="2824" width="11.36328125" style="6" customWidth="1"/>
    <col min="2825" max="2826" width="9" style="6"/>
    <col min="2827" max="2827" width="23" style="6" bestFit="1" customWidth="1"/>
    <col min="2828" max="2828" width="10" style="6" customWidth="1"/>
    <col min="2829" max="2829" width="6.26953125" style="6" bestFit="1" customWidth="1"/>
    <col min="2830" max="2830" width="7.26953125" style="6" bestFit="1" customWidth="1"/>
    <col min="2831" max="2831" width="16.7265625" style="6" customWidth="1"/>
    <col min="2832" max="2832" width="7.26953125" style="6" bestFit="1" customWidth="1"/>
    <col min="2833" max="2833" width="16.7265625" style="6" customWidth="1"/>
    <col min="2834" max="3077" width="9" style="6"/>
    <col min="3078" max="3078" width="16.26953125" style="6" customWidth="1"/>
    <col min="3079" max="3079" width="9" style="6"/>
    <col min="3080" max="3080" width="11.36328125" style="6" customWidth="1"/>
    <col min="3081" max="3082" width="9" style="6"/>
    <col min="3083" max="3083" width="23" style="6" bestFit="1" customWidth="1"/>
    <col min="3084" max="3084" width="10" style="6" customWidth="1"/>
    <col min="3085" max="3085" width="6.26953125" style="6" bestFit="1" customWidth="1"/>
    <col min="3086" max="3086" width="7.26953125" style="6" bestFit="1" customWidth="1"/>
    <col min="3087" max="3087" width="16.7265625" style="6" customWidth="1"/>
    <col min="3088" max="3088" width="7.26953125" style="6" bestFit="1" customWidth="1"/>
    <col min="3089" max="3089" width="16.7265625" style="6" customWidth="1"/>
    <col min="3090" max="3333" width="9" style="6"/>
    <col min="3334" max="3334" width="16.26953125" style="6" customWidth="1"/>
    <col min="3335" max="3335" width="9" style="6"/>
    <col min="3336" max="3336" width="11.36328125" style="6" customWidth="1"/>
    <col min="3337" max="3338" width="9" style="6"/>
    <col min="3339" max="3339" width="23" style="6" bestFit="1" customWidth="1"/>
    <col min="3340" max="3340" width="10" style="6" customWidth="1"/>
    <col min="3341" max="3341" width="6.26953125" style="6" bestFit="1" customWidth="1"/>
    <col min="3342" max="3342" width="7.26953125" style="6" bestFit="1" customWidth="1"/>
    <col min="3343" max="3343" width="16.7265625" style="6" customWidth="1"/>
    <col min="3344" max="3344" width="7.26953125" style="6" bestFit="1" customWidth="1"/>
    <col min="3345" max="3345" width="16.7265625" style="6" customWidth="1"/>
    <col min="3346" max="3589" width="9" style="6"/>
    <col min="3590" max="3590" width="16.26953125" style="6" customWidth="1"/>
    <col min="3591" max="3591" width="9" style="6"/>
    <col min="3592" max="3592" width="11.36328125" style="6" customWidth="1"/>
    <col min="3593" max="3594" width="9" style="6"/>
    <col min="3595" max="3595" width="23" style="6" bestFit="1" customWidth="1"/>
    <col min="3596" max="3596" width="10" style="6" customWidth="1"/>
    <col min="3597" max="3597" width="6.26953125" style="6" bestFit="1" customWidth="1"/>
    <col min="3598" max="3598" width="7.26953125" style="6" bestFit="1" customWidth="1"/>
    <col min="3599" max="3599" width="16.7265625" style="6" customWidth="1"/>
    <col min="3600" max="3600" width="7.26953125" style="6" bestFit="1" customWidth="1"/>
    <col min="3601" max="3601" width="16.7265625" style="6" customWidth="1"/>
    <col min="3602" max="3845" width="9" style="6"/>
    <col min="3846" max="3846" width="16.26953125" style="6" customWidth="1"/>
    <col min="3847" max="3847" width="9" style="6"/>
    <col min="3848" max="3848" width="11.36328125" style="6" customWidth="1"/>
    <col min="3849" max="3850" width="9" style="6"/>
    <col min="3851" max="3851" width="23" style="6" bestFit="1" customWidth="1"/>
    <col min="3852" max="3852" width="10" style="6" customWidth="1"/>
    <col min="3853" max="3853" width="6.26953125" style="6" bestFit="1" customWidth="1"/>
    <col min="3854" max="3854" width="7.26953125" style="6" bestFit="1" customWidth="1"/>
    <col min="3855" max="3855" width="16.7265625" style="6" customWidth="1"/>
    <col min="3856" max="3856" width="7.26953125" style="6" bestFit="1" customWidth="1"/>
    <col min="3857" max="3857" width="16.7265625" style="6" customWidth="1"/>
    <col min="3858" max="4101" width="9" style="6"/>
    <col min="4102" max="4102" width="16.26953125" style="6" customWidth="1"/>
    <col min="4103" max="4103" width="9" style="6"/>
    <col min="4104" max="4104" width="11.36328125" style="6" customWidth="1"/>
    <col min="4105" max="4106" width="9" style="6"/>
    <col min="4107" max="4107" width="23" style="6" bestFit="1" customWidth="1"/>
    <col min="4108" max="4108" width="10" style="6" customWidth="1"/>
    <col min="4109" max="4109" width="6.26953125" style="6" bestFit="1" customWidth="1"/>
    <col min="4110" max="4110" width="7.26953125" style="6" bestFit="1" customWidth="1"/>
    <col min="4111" max="4111" width="16.7265625" style="6" customWidth="1"/>
    <col min="4112" max="4112" width="7.26953125" style="6" bestFit="1" customWidth="1"/>
    <col min="4113" max="4113" width="16.7265625" style="6" customWidth="1"/>
    <col min="4114" max="4357" width="9" style="6"/>
    <col min="4358" max="4358" width="16.26953125" style="6" customWidth="1"/>
    <col min="4359" max="4359" width="9" style="6"/>
    <col min="4360" max="4360" width="11.36328125" style="6" customWidth="1"/>
    <col min="4361" max="4362" width="9" style="6"/>
    <col min="4363" max="4363" width="23" style="6" bestFit="1" customWidth="1"/>
    <col min="4364" max="4364" width="10" style="6" customWidth="1"/>
    <col min="4365" max="4365" width="6.26953125" style="6" bestFit="1" customWidth="1"/>
    <col min="4366" max="4366" width="7.26953125" style="6" bestFit="1" customWidth="1"/>
    <col min="4367" max="4367" width="16.7265625" style="6" customWidth="1"/>
    <col min="4368" max="4368" width="7.26953125" style="6" bestFit="1" customWidth="1"/>
    <col min="4369" max="4369" width="16.7265625" style="6" customWidth="1"/>
    <col min="4370" max="4613" width="9" style="6"/>
    <col min="4614" max="4614" width="16.26953125" style="6" customWidth="1"/>
    <col min="4615" max="4615" width="9" style="6"/>
    <col min="4616" max="4616" width="11.36328125" style="6" customWidth="1"/>
    <col min="4617" max="4618" width="9" style="6"/>
    <col min="4619" max="4619" width="23" style="6" bestFit="1" customWidth="1"/>
    <col min="4620" max="4620" width="10" style="6" customWidth="1"/>
    <col min="4621" max="4621" width="6.26953125" style="6" bestFit="1" customWidth="1"/>
    <col min="4622" max="4622" width="7.26953125" style="6" bestFit="1" customWidth="1"/>
    <col min="4623" max="4623" width="16.7265625" style="6" customWidth="1"/>
    <col min="4624" max="4624" width="7.26953125" style="6" bestFit="1" customWidth="1"/>
    <col min="4625" max="4625" width="16.7265625" style="6" customWidth="1"/>
    <col min="4626" max="4869" width="9" style="6"/>
    <col min="4870" max="4870" width="16.26953125" style="6" customWidth="1"/>
    <col min="4871" max="4871" width="9" style="6"/>
    <col min="4872" max="4872" width="11.36328125" style="6" customWidth="1"/>
    <col min="4873" max="4874" width="9" style="6"/>
    <col min="4875" max="4875" width="23" style="6" bestFit="1" customWidth="1"/>
    <col min="4876" max="4876" width="10" style="6" customWidth="1"/>
    <col min="4877" max="4877" width="6.26953125" style="6" bestFit="1" customWidth="1"/>
    <col min="4878" max="4878" width="7.26953125" style="6" bestFit="1" customWidth="1"/>
    <col min="4879" max="4879" width="16.7265625" style="6" customWidth="1"/>
    <col min="4880" max="4880" width="7.26953125" style="6" bestFit="1" customWidth="1"/>
    <col min="4881" max="4881" width="16.7265625" style="6" customWidth="1"/>
    <col min="4882" max="5125" width="9" style="6"/>
    <col min="5126" max="5126" width="16.26953125" style="6" customWidth="1"/>
    <col min="5127" max="5127" width="9" style="6"/>
    <col min="5128" max="5128" width="11.36328125" style="6" customWidth="1"/>
    <col min="5129" max="5130" width="9" style="6"/>
    <col min="5131" max="5131" width="23" style="6" bestFit="1" customWidth="1"/>
    <col min="5132" max="5132" width="10" style="6" customWidth="1"/>
    <col min="5133" max="5133" width="6.26953125" style="6" bestFit="1" customWidth="1"/>
    <col min="5134" max="5134" width="7.26953125" style="6" bestFit="1" customWidth="1"/>
    <col min="5135" max="5135" width="16.7265625" style="6" customWidth="1"/>
    <col min="5136" max="5136" width="7.26953125" style="6" bestFit="1" customWidth="1"/>
    <col min="5137" max="5137" width="16.7265625" style="6" customWidth="1"/>
    <col min="5138" max="5381" width="9" style="6"/>
    <col min="5382" max="5382" width="16.26953125" style="6" customWidth="1"/>
    <col min="5383" max="5383" width="9" style="6"/>
    <col min="5384" max="5384" width="11.36328125" style="6" customWidth="1"/>
    <col min="5385" max="5386" width="9" style="6"/>
    <col min="5387" max="5387" width="23" style="6" bestFit="1" customWidth="1"/>
    <col min="5388" max="5388" width="10" style="6" customWidth="1"/>
    <col min="5389" max="5389" width="6.26953125" style="6" bestFit="1" customWidth="1"/>
    <col min="5390" max="5390" width="7.26953125" style="6" bestFit="1" customWidth="1"/>
    <col min="5391" max="5391" width="16.7265625" style="6" customWidth="1"/>
    <col min="5392" max="5392" width="7.26953125" style="6" bestFit="1" customWidth="1"/>
    <col min="5393" max="5393" width="16.7265625" style="6" customWidth="1"/>
    <col min="5394" max="5637" width="9" style="6"/>
    <col min="5638" max="5638" width="16.26953125" style="6" customWidth="1"/>
    <col min="5639" max="5639" width="9" style="6"/>
    <col min="5640" max="5640" width="11.36328125" style="6" customWidth="1"/>
    <col min="5641" max="5642" width="9" style="6"/>
    <col min="5643" max="5643" width="23" style="6" bestFit="1" customWidth="1"/>
    <col min="5644" max="5644" width="10" style="6" customWidth="1"/>
    <col min="5645" max="5645" width="6.26953125" style="6" bestFit="1" customWidth="1"/>
    <col min="5646" max="5646" width="7.26953125" style="6" bestFit="1" customWidth="1"/>
    <col min="5647" max="5647" width="16.7265625" style="6" customWidth="1"/>
    <col min="5648" max="5648" width="7.26953125" style="6" bestFit="1" customWidth="1"/>
    <col min="5649" max="5649" width="16.7265625" style="6" customWidth="1"/>
    <col min="5650" max="5893" width="9" style="6"/>
    <col min="5894" max="5894" width="16.26953125" style="6" customWidth="1"/>
    <col min="5895" max="5895" width="9" style="6"/>
    <col min="5896" max="5896" width="11.36328125" style="6" customWidth="1"/>
    <col min="5897" max="5898" width="9" style="6"/>
    <col min="5899" max="5899" width="23" style="6" bestFit="1" customWidth="1"/>
    <col min="5900" max="5900" width="10" style="6" customWidth="1"/>
    <col min="5901" max="5901" width="6.26953125" style="6" bestFit="1" customWidth="1"/>
    <col min="5902" max="5902" width="7.26953125" style="6" bestFit="1" customWidth="1"/>
    <col min="5903" max="5903" width="16.7265625" style="6" customWidth="1"/>
    <col min="5904" max="5904" width="7.26953125" style="6" bestFit="1" customWidth="1"/>
    <col min="5905" max="5905" width="16.7265625" style="6" customWidth="1"/>
    <col min="5906" max="6149" width="9" style="6"/>
    <col min="6150" max="6150" width="16.26953125" style="6" customWidth="1"/>
    <col min="6151" max="6151" width="9" style="6"/>
    <col min="6152" max="6152" width="11.36328125" style="6" customWidth="1"/>
    <col min="6153" max="6154" width="9" style="6"/>
    <col min="6155" max="6155" width="23" style="6" bestFit="1" customWidth="1"/>
    <col min="6156" max="6156" width="10" style="6" customWidth="1"/>
    <col min="6157" max="6157" width="6.26953125" style="6" bestFit="1" customWidth="1"/>
    <col min="6158" max="6158" width="7.26953125" style="6" bestFit="1" customWidth="1"/>
    <col min="6159" max="6159" width="16.7265625" style="6" customWidth="1"/>
    <col min="6160" max="6160" width="7.26953125" style="6" bestFit="1" customWidth="1"/>
    <col min="6161" max="6161" width="16.7265625" style="6" customWidth="1"/>
    <col min="6162" max="6405" width="9" style="6"/>
    <col min="6406" max="6406" width="16.26953125" style="6" customWidth="1"/>
    <col min="6407" max="6407" width="9" style="6"/>
    <col min="6408" max="6408" width="11.36328125" style="6" customWidth="1"/>
    <col min="6409" max="6410" width="9" style="6"/>
    <col min="6411" max="6411" width="23" style="6" bestFit="1" customWidth="1"/>
    <col min="6412" max="6412" width="10" style="6" customWidth="1"/>
    <col min="6413" max="6413" width="6.26953125" style="6" bestFit="1" customWidth="1"/>
    <col min="6414" max="6414" width="7.26953125" style="6" bestFit="1" customWidth="1"/>
    <col min="6415" max="6415" width="16.7265625" style="6" customWidth="1"/>
    <col min="6416" max="6416" width="7.26953125" style="6" bestFit="1" customWidth="1"/>
    <col min="6417" max="6417" width="16.7265625" style="6" customWidth="1"/>
    <col min="6418" max="6661" width="9" style="6"/>
    <col min="6662" max="6662" width="16.26953125" style="6" customWidth="1"/>
    <col min="6663" max="6663" width="9" style="6"/>
    <col min="6664" max="6664" width="11.36328125" style="6" customWidth="1"/>
    <col min="6665" max="6666" width="9" style="6"/>
    <col min="6667" max="6667" width="23" style="6" bestFit="1" customWidth="1"/>
    <col min="6668" max="6668" width="10" style="6" customWidth="1"/>
    <col min="6669" max="6669" width="6.26953125" style="6" bestFit="1" customWidth="1"/>
    <col min="6670" max="6670" width="7.26953125" style="6" bestFit="1" customWidth="1"/>
    <col min="6671" max="6671" width="16.7265625" style="6" customWidth="1"/>
    <col min="6672" max="6672" width="7.26953125" style="6" bestFit="1" customWidth="1"/>
    <col min="6673" max="6673" width="16.7265625" style="6" customWidth="1"/>
    <col min="6674" max="6917" width="9" style="6"/>
    <col min="6918" max="6918" width="16.26953125" style="6" customWidth="1"/>
    <col min="6919" max="6919" width="9" style="6"/>
    <col min="6920" max="6920" width="11.36328125" style="6" customWidth="1"/>
    <col min="6921" max="6922" width="9" style="6"/>
    <col min="6923" max="6923" width="23" style="6" bestFit="1" customWidth="1"/>
    <col min="6924" max="6924" width="10" style="6" customWidth="1"/>
    <col min="6925" max="6925" width="6.26953125" style="6" bestFit="1" customWidth="1"/>
    <col min="6926" max="6926" width="7.26953125" style="6" bestFit="1" customWidth="1"/>
    <col min="6927" max="6927" width="16.7265625" style="6" customWidth="1"/>
    <col min="6928" max="6928" width="7.26953125" style="6" bestFit="1" customWidth="1"/>
    <col min="6929" max="6929" width="16.7265625" style="6" customWidth="1"/>
    <col min="6930" max="7173" width="9" style="6"/>
    <col min="7174" max="7174" width="16.26953125" style="6" customWidth="1"/>
    <col min="7175" max="7175" width="9" style="6"/>
    <col min="7176" max="7176" width="11.36328125" style="6" customWidth="1"/>
    <col min="7177" max="7178" width="9" style="6"/>
    <col min="7179" max="7179" width="23" style="6" bestFit="1" customWidth="1"/>
    <col min="7180" max="7180" width="10" style="6" customWidth="1"/>
    <col min="7181" max="7181" width="6.26953125" style="6" bestFit="1" customWidth="1"/>
    <col min="7182" max="7182" width="7.26953125" style="6" bestFit="1" customWidth="1"/>
    <col min="7183" max="7183" width="16.7265625" style="6" customWidth="1"/>
    <col min="7184" max="7184" width="7.26953125" style="6" bestFit="1" customWidth="1"/>
    <col min="7185" max="7185" width="16.7265625" style="6" customWidth="1"/>
    <col min="7186" max="7429" width="9" style="6"/>
    <col min="7430" max="7430" width="16.26953125" style="6" customWidth="1"/>
    <col min="7431" max="7431" width="9" style="6"/>
    <col min="7432" max="7432" width="11.36328125" style="6" customWidth="1"/>
    <col min="7433" max="7434" width="9" style="6"/>
    <col min="7435" max="7435" width="23" style="6" bestFit="1" customWidth="1"/>
    <col min="7436" max="7436" width="10" style="6" customWidth="1"/>
    <col min="7437" max="7437" width="6.26953125" style="6" bestFit="1" customWidth="1"/>
    <col min="7438" max="7438" width="7.26953125" style="6" bestFit="1" customWidth="1"/>
    <col min="7439" max="7439" width="16.7265625" style="6" customWidth="1"/>
    <col min="7440" max="7440" width="7.26953125" style="6" bestFit="1" customWidth="1"/>
    <col min="7441" max="7441" width="16.7265625" style="6" customWidth="1"/>
    <col min="7442" max="7685" width="9" style="6"/>
    <col min="7686" max="7686" width="16.26953125" style="6" customWidth="1"/>
    <col min="7687" max="7687" width="9" style="6"/>
    <col min="7688" max="7688" width="11.36328125" style="6" customWidth="1"/>
    <col min="7689" max="7690" width="9" style="6"/>
    <col min="7691" max="7691" width="23" style="6" bestFit="1" customWidth="1"/>
    <col min="7692" max="7692" width="10" style="6" customWidth="1"/>
    <col min="7693" max="7693" width="6.26953125" style="6" bestFit="1" customWidth="1"/>
    <col min="7694" max="7694" width="7.26953125" style="6" bestFit="1" customWidth="1"/>
    <col min="7695" max="7695" width="16.7265625" style="6" customWidth="1"/>
    <col min="7696" max="7696" width="7.26953125" style="6" bestFit="1" customWidth="1"/>
    <col min="7697" max="7697" width="16.7265625" style="6" customWidth="1"/>
    <col min="7698" max="7941" width="9" style="6"/>
    <col min="7942" max="7942" width="16.26953125" style="6" customWidth="1"/>
    <col min="7943" max="7943" width="9" style="6"/>
    <col min="7944" max="7944" width="11.36328125" style="6" customWidth="1"/>
    <col min="7945" max="7946" width="9" style="6"/>
    <col min="7947" max="7947" width="23" style="6" bestFit="1" customWidth="1"/>
    <col min="7948" max="7948" width="10" style="6" customWidth="1"/>
    <col min="7949" max="7949" width="6.26953125" style="6" bestFit="1" customWidth="1"/>
    <col min="7950" max="7950" width="7.26953125" style="6" bestFit="1" customWidth="1"/>
    <col min="7951" max="7951" width="16.7265625" style="6" customWidth="1"/>
    <col min="7952" max="7952" width="7.26953125" style="6" bestFit="1" customWidth="1"/>
    <col min="7953" max="7953" width="16.7265625" style="6" customWidth="1"/>
    <col min="7954" max="8197" width="9" style="6"/>
    <col min="8198" max="8198" width="16.26953125" style="6" customWidth="1"/>
    <col min="8199" max="8199" width="9" style="6"/>
    <col min="8200" max="8200" width="11.36328125" style="6" customWidth="1"/>
    <col min="8201" max="8202" width="9" style="6"/>
    <col min="8203" max="8203" width="23" style="6" bestFit="1" customWidth="1"/>
    <col min="8204" max="8204" width="10" style="6" customWidth="1"/>
    <col min="8205" max="8205" width="6.26953125" style="6" bestFit="1" customWidth="1"/>
    <col min="8206" max="8206" width="7.26953125" style="6" bestFit="1" customWidth="1"/>
    <col min="8207" max="8207" width="16.7265625" style="6" customWidth="1"/>
    <col min="8208" max="8208" width="7.26953125" style="6" bestFit="1" customWidth="1"/>
    <col min="8209" max="8209" width="16.7265625" style="6" customWidth="1"/>
    <col min="8210" max="8453" width="9" style="6"/>
    <col min="8454" max="8454" width="16.26953125" style="6" customWidth="1"/>
    <col min="8455" max="8455" width="9" style="6"/>
    <col min="8456" max="8456" width="11.36328125" style="6" customWidth="1"/>
    <col min="8457" max="8458" width="9" style="6"/>
    <col min="8459" max="8459" width="23" style="6" bestFit="1" customWidth="1"/>
    <col min="8460" max="8460" width="10" style="6" customWidth="1"/>
    <col min="8461" max="8461" width="6.26953125" style="6" bestFit="1" customWidth="1"/>
    <col min="8462" max="8462" width="7.26953125" style="6" bestFit="1" customWidth="1"/>
    <col min="8463" max="8463" width="16.7265625" style="6" customWidth="1"/>
    <col min="8464" max="8464" width="7.26953125" style="6" bestFit="1" customWidth="1"/>
    <col min="8465" max="8465" width="16.7265625" style="6" customWidth="1"/>
    <col min="8466" max="8709" width="9" style="6"/>
    <col min="8710" max="8710" width="16.26953125" style="6" customWidth="1"/>
    <col min="8711" max="8711" width="9" style="6"/>
    <col min="8712" max="8712" width="11.36328125" style="6" customWidth="1"/>
    <col min="8713" max="8714" width="9" style="6"/>
    <col min="8715" max="8715" width="23" style="6" bestFit="1" customWidth="1"/>
    <col min="8716" max="8716" width="10" style="6" customWidth="1"/>
    <col min="8717" max="8717" width="6.26953125" style="6" bestFit="1" customWidth="1"/>
    <col min="8718" max="8718" width="7.26953125" style="6" bestFit="1" customWidth="1"/>
    <col min="8719" max="8719" width="16.7265625" style="6" customWidth="1"/>
    <col min="8720" max="8720" width="7.26953125" style="6" bestFit="1" customWidth="1"/>
    <col min="8721" max="8721" width="16.7265625" style="6" customWidth="1"/>
    <col min="8722" max="8965" width="9" style="6"/>
    <col min="8966" max="8966" width="16.26953125" style="6" customWidth="1"/>
    <col min="8967" max="8967" width="9" style="6"/>
    <col min="8968" max="8968" width="11.36328125" style="6" customWidth="1"/>
    <col min="8969" max="8970" width="9" style="6"/>
    <col min="8971" max="8971" width="23" style="6" bestFit="1" customWidth="1"/>
    <col min="8972" max="8972" width="10" style="6" customWidth="1"/>
    <col min="8973" max="8973" width="6.26953125" style="6" bestFit="1" customWidth="1"/>
    <col min="8974" max="8974" width="7.26953125" style="6" bestFit="1" customWidth="1"/>
    <col min="8975" max="8975" width="16.7265625" style="6" customWidth="1"/>
    <col min="8976" max="8976" width="7.26953125" style="6" bestFit="1" customWidth="1"/>
    <col min="8977" max="8977" width="16.7265625" style="6" customWidth="1"/>
    <col min="8978" max="9221" width="9" style="6"/>
    <col min="9222" max="9222" width="16.26953125" style="6" customWidth="1"/>
    <col min="9223" max="9223" width="9" style="6"/>
    <col min="9224" max="9224" width="11.36328125" style="6" customWidth="1"/>
    <col min="9225" max="9226" width="9" style="6"/>
    <col min="9227" max="9227" width="23" style="6" bestFit="1" customWidth="1"/>
    <col min="9228" max="9228" width="10" style="6" customWidth="1"/>
    <col min="9229" max="9229" width="6.26953125" style="6" bestFit="1" customWidth="1"/>
    <col min="9230" max="9230" width="7.26953125" style="6" bestFit="1" customWidth="1"/>
    <col min="9231" max="9231" width="16.7265625" style="6" customWidth="1"/>
    <col min="9232" max="9232" width="7.26953125" style="6" bestFit="1" customWidth="1"/>
    <col min="9233" max="9233" width="16.7265625" style="6" customWidth="1"/>
    <col min="9234" max="9477" width="9" style="6"/>
    <col min="9478" max="9478" width="16.26953125" style="6" customWidth="1"/>
    <col min="9479" max="9479" width="9" style="6"/>
    <col min="9480" max="9480" width="11.36328125" style="6" customWidth="1"/>
    <col min="9481" max="9482" width="9" style="6"/>
    <col min="9483" max="9483" width="23" style="6" bestFit="1" customWidth="1"/>
    <col min="9484" max="9484" width="10" style="6" customWidth="1"/>
    <col min="9485" max="9485" width="6.26953125" style="6" bestFit="1" customWidth="1"/>
    <col min="9486" max="9486" width="7.26953125" style="6" bestFit="1" customWidth="1"/>
    <col min="9487" max="9487" width="16.7265625" style="6" customWidth="1"/>
    <col min="9488" max="9488" width="7.26953125" style="6" bestFit="1" customWidth="1"/>
    <col min="9489" max="9489" width="16.7265625" style="6" customWidth="1"/>
    <col min="9490" max="9733" width="9" style="6"/>
    <col min="9734" max="9734" width="16.26953125" style="6" customWidth="1"/>
    <col min="9735" max="9735" width="9" style="6"/>
    <col min="9736" max="9736" width="11.36328125" style="6" customWidth="1"/>
    <col min="9737" max="9738" width="9" style="6"/>
    <col min="9739" max="9739" width="23" style="6" bestFit="1" customWidth="1"/>
    <col min="9740" max="9740" width="10" style="6" customWidth="1"/>
    <col min="9741" max="9741" width="6.26953125" style="6" bestFit="1" customWidth="1"/>
    <col min="9742" max="9742" width="7.26953125" style="6" bestFit="1" customWidth="1"/>
    <col min="9743" max="9743" width="16.7265625" style="6" customWidth="1"/>
    <col min="9744" max="9744" width="7.26953125" style="6" bestFit="1" customWidth="1"/>
    <col min="9745" max="9745" width="16.7265625" style="6" customWidth="1"/>
    <col min="9746" max="9989" width="9" style="6"/>
    <col min="9990" max="9990" width="16.26953125" style="6" customWidth="1"/>
    <col min="9991" max="9991" width="9" style="6"/>
    <col min="9992" max="9992" width="11.36328125" style="6" customWidth="1"/>
    <col min="9993" max="9994" width="9" style="6"/>
    <col min="9995" max="9995" width="23" style="6" bestFit="1" customWidth="1"/>
    <col min="9996" max="9996" width="10" style="6" customWidth="1"/>
    <col min="9997" max="9997" width="6.26953125" style="6" bestFit="1" customWidth="1"/>
    <col min="9998" max="9998" width="7.26953125" style="6" bestFit="1" customWidth="1"/>
    <col min="9999" max="9999" width="16.7265625" style="6" customWidth="1"/>
    <col min="10000" max="10000" width="7.26953125" style="6" bestFit="1" customWidth="1"/>
    <col min="10001" max="10001" width="16.7265625" style="6" customWidth="1"/>
    <col min="10002" max="10245" width="9" style="6"/>
    <col min="10246" max="10246" width="16.26953125" style="6" customWidth="1"/>
    <col min="10247" max="10247" width="9" style="6"/>
    <col min="10248" max="10248" width="11.36328125" style="6" customWidth="1"/>
    <col min="10249" max="10250" width="9" style="6"/>
    <col min="10251" max="10251" width="23" style="6" bestFit="1" customWidth="1"/>
    <col min="10252" max="10252" width="10" style="6" customWidth="1"/>
    <col min="10253" max="10253" width="6.26953125" style="6" bestFit="1" customWidth="1"/>
    <col min="10254" max="10254" width="7.26953125" style="6" bestFit="1" customWidth="1"/>
    <col min="10255" max="10255" width="16.7265625" style="6" customWidth="1"/>
    <col min="10256" max="10256" width="7.26953125" style="6" bestFit="1" customWidth="1"/>
    <col min="10257" max="10257" width="16.7265625" style="6" customWidth="1"/>
    <col min="10258" max="10501" width="9" style="6"/>
    <col min="10502" max="10502" width="16.26953125" style="6" customWidth="1"/>
    <col min="10503" max="10503" width="9" style="6"/>
    <col min="10504" max="10504" width="11.36328125" style="6" customWidth="1"/>
    <col min="10505" max="10506" width="9" style="6"/>
    <col min="10507" max="10507" width="23" style="6" bestFit="1" customWidth="1"/>
    <col min="10508" max="10508" width="10" style="6" customWidth="1"/>
    <col min="10509" max="10509" width="6.26953125" style="6" bestFit="1" customWidth="1"/>
    <col min="10510" max="10510" width="7.26953125" style="6" bestFit="1" customWidth="1"/>
    <col min="10511" max="10511" width="16.7265625" style="6" customWidth="1"/>
    <col min="10512" max="10512" width="7.26953125" style="6" bestFit="1" customWidth="1"/>
    <col min="10513" max="10513" width="16.7265625" style="6" customWidth="1"/>
    <col min="10514" max="10757" width="9" style="6"/>
    <col min="10758" max="10758" width="16.26953125" style="6" customWidth="1"/>
    <col min="10759" max="10759" width="9" style="6"/>
    <col min="10760" max="10760" width="11.36328125" style="6" customWidth="1"/>
    <col min="10761" max="10762" width="9" style="6"/>
    <col min="10763" max="10763" width="23" style="6" bestFit="1" customWidth="1"/>
    <col min="10764" max="10764" width="10" style="6" customWidth="1"/>
    <col min="10765" max="10765" width="6.26953125" style="6" bestFit="1" customWidth="1"/>
    <col min="10766" max="10766" width="7.26953125" style="6" bestFit="1" customWidth="1"/>
    <col min="10767" max="10767" width="16.7265625" style="6" customWidth="1"/>
    <col min="10768" max="10768" width="7.26953125" style="6" bestFit="1" customWidth="1"/>
    <col min="10769" max="10769" width="16.7265625" style="6" customWidth="1"/>
    <col min="10770" max="11013" width="9" style="6"/>
    <col min="11014" max="11014" width="16.26953125" style="6" customWidth="1"/>
    <col min="11015" max="11015" width="9" style="6"/>
    <col min="11016" max="11016" width="11.36328125" style="6" customWidth="1"/>
    <col min="11017" max="11018" width="9" style="6"/>
    <col min="11019" max="11019" width="23" style="6" bestFit="1" customWidth="1"/>
    <col min="11020" max="11020" width="10" style="6" customWidth="1"/>
    <col min="11021" max="11021" width="6.26953125" style="6" bestFit="1" customWidth="1"/>
    <col min="11022" max="11022" width="7.26953125" style="6" bestFit="1" customWidth="1"/>
    <col min="11023" max="11023" width="16.7265625" style="6" customWidth="1"/>
    <col min="11024" max="11024" width="7.26953125" style="6" bestFit="1" customWidth="1"/>
    <col min="11025" max="11025" width="16.7265625" style="6" customWidth="1"/>
    <col min="11026" max="11269" width="9" style="6"/>
    <col min="11270" max="11270" width="16.26953125" style="6" customWidth="1"/>
    <col min="11271" max="11271" width="9" style="6"/>
    <col min="11272" max="11272" width="11.36328125" style="6" customWidth="1"/>
    <col min="11273" max="11274" width="9" style="6"/>
    <col min="11275" max="11275" width="23" style="6" bestFit="1" customWidth="1"/>
    <col min="11276" max="11276" width="10" style="6" customWidth="1"/>
    <col min="11277" max="11277" width="6.26953125" style="6" bestFit="1" customWidth="1"/>
    <col min="11278" max="11278" width="7.26953125" style="6" bestFit="1" customWidth="1"/>
    <col min="11279" max="11279" width="16.7265625" style="6" customWidth="1"/>
    <col min="11280" max="11280" width="7.26953125" style="6" bestFit="1" customWidth="1"/>
    <col min="11281" max="11281" width="16.7265625" style="6" customWidth="1"/>
    <col min="11282" max="11525" width="9" style="6"/>
    <col min="11526" max="11526" width="16.26953125" style="6" customWidth="1"/>
    <col min="11527" max="11527" width="9" style="6"/>
    <col min="11528" max="11528" width="11.36328125" style="6" customWidth="1"/>
    <col min="11529" max="11530" width="9" style="6"/>
    <col min="11531" max="11531" width="23" style="6" bestFit="1" customWidth="1"/>
    <col min="11532" max="11532" width="10" style="6" customWidth="1"/>
    <col min="11533" max="11533" width="6.26953125" style="6" bestFit="1" customWidth="1"/>
    <col min="11534" max="11534" width="7.26953125" style="6" bestFit="1" customWidth="1"/>
    <col min="11535" max="11535" width="16.7265625" style="6" customWidth="1"/>
    <col min="11536" max="11536" width="7.26953125" style="6" bestFit="1" customWidth="1"/>
    <col min="11537" max="11537" width="16.7265625" style="6" customWidth="1"/>
    <col min="11538" max="11781" width="9" style="6"/>
    <col min="11782" max="11782" width="16.26953125" style="6" customWidth="1"/>
    <col min="11783" max="11783" width="9" style="6"/>
    <col min="11784" max="11784" width="11.36328125" style="6" customWidth="1"/>
    <col min="11785" max="11786" width="9" style="6"/>
    <col min="11787" max="11787" width="23" style="6" bestFit="1" customWidth="1"/>
    <col min="11788" max="11788" width="10" style="6" customWidth="1"/>
    <col min="11789" max="11789" width="6.26953125" style="6" bestFit="1" customWidth="1"/>
    <col min="11790" max="11790" width="7.26953125" style="6" bestFit="1" customWidth="1"/>
    <col min="11791" max="11791" width="16.7265625" style="6" customWidth="1"/>
    <col min="11792" max="11792" width="7.26953125" style="6" bestFit="1" customWidth="1"/>
    <col min="11793" max="11793" width="16.7265625" style="6" customWidth="1"/>
    <col min="11794" max="12037" width="9" style="6"/>
    <col min="12038" max="12038" width="16.26953125" style="6" customWidth="1"/>
    <col min="12039" max="12039" width="9" style="6"/>
    <col min="12040" max="12040" width="11.36328125" style="6" customWidth="1"/>
    <col min="12041" max="12042" width="9" style="6"/>
    <col min="12043" max="12043" width="23" style="6" bestFit="1" customWidth="1"/>
    <col min="12044" max="12044" width="10" style="6" customWidth="1"/>
    <col min="12045" max="12045" width="6.26953125" style="6" bestFit="1" customWidth="1"/>
    <col min="12046" max="12046" width="7.26953125" style="6" bestFit="1" customWidth="1"/>
    <col min="12047" max="12047" width="16.7265625" style="6" customWidth="1"/>
    <col min="12048" max="12048" width="7.26953125" style="6" bestFit="1" customWidth="1"/>
    <col min="12049" max="12049" width="16.7265625" style="6" customWidth="1"/>
    <col min="12050" max="12293" width="9" style="6"/>
    <col min="12294" max="12294" width="16.26953125" style="6" customWidth="1"/>
    <col min="12295" max="12295" width="9" style="6"/>
    <col min="12296" max="12296" width="11.36328125" style="6" customWidth="1"/>
    <col min="12297" max="12298" width="9" style="6"/>
    <col min="12299" max="12299" width="23" style="6" bestFit="1" customWidth="1"/>
    <col min="12300" max="12300" width="10" style="6" customWidth="1"/>
    <col min="12301" max="12301" width="6.26953125" style="6" bestFit="1" customWidth="1"/>
    <col min="12302" max="12302" width="7.26953125" style="6" bestFit="1" customWidth="1"/>
    <col min="12303" max="12303" width="16.7265625" style="6" customWidth="1"/>
    <col min="12304" max="12304" width="7.26953125" style="6" bestFit="1" customWidth="1"/>
    <col min="12305" max="12305" width="16.7265625" style="6" customWidth="1"/>
    <col min="12306" max="12549" width="9" style="6"/>
    <col min="12550" max="12550" width="16.26953125" style="6" customWidth="1"/>
    <col min="12551" max="12551" width="9" style="6"/>
    <col min="12552" max="12552" width="11.36328125" style="6" customWidth="1"/>
    <col min="12553" max="12554" width="9" style="6"/>
    <col min="12555" max="12555" width="23" style="6" bestFit="1" customWidth="1"/>
    <col min="12556" max="12556" width="10" style="6" customWidth="1"/>
    <col min="12557" max="12557" width="6.26953125" style="6" bestFit="1" customWidth="1"/>
    <col min="12558" max="12558" width="7.26953125" style="6" bestFit="1" customWidth="1"/>
    <col min="12559" max="12559" width="16.7265625" style="6" customWidth="1"/>
    <col min="12560" max="12560" width="7.26953125" style="6" bestFit="1" customWidth="1"/>
    <col min="12561" max="12561" width="16.7265625" style="6" customWidth="1"/>
    <col min="12562" max="12805" width="9" style="6"/>
    <col min="12806" max="12806" width="16.26953125" style="6" customWidth="1"/>
    <col min="12807" max="12807" width="9" style="6"/>
    <col min="12808" max="12808" width="11.36328125" style="6" customWidth="1"/>
    <col min="12809" max="12810" width="9" style="6"/>
    <col min="12811" max="12811" width="23" style="6" bestFit="1" customWidth="1"/>
    <col min="12812" max="12812" width="10" style="6" customWidth="1"/>
    <col min="12813" max="12813" width="6.26953125" style="6" bestFit="1" customWidth="1"/>
    <col min="12814" max="12814" width="7.26953125" style="6" bestFit="1" customWidth="1"/>
    <col min="12815" max="12815" width="16.7265625" style="6" customWidth="1"/>
    <col min="12816" max="12816" width="7.26953125" style="6" bestFit="1" customWidth="1"/>
    <col min="12817" max="12817" width="16.7265625" style="6" customWidth="1"/>
    <col min="12818" max="13061" width="9" style="6"/>
    <col min="13062" max="13062" width="16.26953125" style="6" customWidth="1"/>
    <col min="13063" max="13063" width="9" style="6"/>
    <col min="13064" max="13064" width="11.36328125" style="6" customWidth="1"/>
    <col min="13065" max="13066" width="9" style="6"/>
    <col min="13067" max="13067" width="23" style="6" bestFit="1" customWidth="1"/>
    <col min="13068" max="13068" width="10" style="6" customWidth="1"/>
    <col min="13069" max="13069" width="6.26953125" style="6" bestFit="1" customWidth="1"/>
    <col min="13070" max="13070" width="7.26953125" style="6" bestFit="1" customWidth="1"/>
    <col min="13071" max="13071" width="16.7265625" style="6" customWidth="1"/>
    <col min="13072" max="13072" width="7.26953125" style="6" bestFit="1" customWidth="1"/>
    <col min="13073" max="13073" width="16.7265625" style="6" customWidth="1"/>
    <col min="13074" max="13317" width="9" style="6"/>
    <col min="13318" max="13318" width="16.26953125" style="6" customWidth="1"/>
    <col min="13319" max="13319" width="9" style="6"/>
    <col min="13320" max="13320" width="11.36328125" style="6" customWidth="1"/>
    <col min="13321" max="13322" width="9" style="6"/>
    <col min="13323" max="13323" width="23" style="6" bestFit="1" customWidth="1"/>
    <col min="13324" max="13324" width="10" style="6" customWidth="1"/>
    <col min="13325" max="13325" width="6.26953125" style="6" bestFit="1" customWidth="1"/>
    <col min="13326" max="13326" width="7.26953125" style="6" bestFit="1" customWidth="1"/>
    <col min="13327" max="13327" width="16.7265625" style="6" customWidth="1"/>
    <col min="13328" max="13328" width="7.26953125" style="6" bestFit="1" customWidth="1"/>
    <col min="13329" max="13329" width="16.7265625" style="6" customWidth="1"/>
    <col min="13330" max="13573" width="9" style="6"/>
    <col min="13574" max="13574" width="16.26953125" style="6" customWidth="1"/>
    <col min="13575" max="13575" width="9" style="6"/>
    <col min="13576" max="13576" width="11.36328125" style="6" customWidth="1"/>
    <col min="13577" max="13578" width="9" style="6"/>
    <col min="13579" max="13579" width="23" style="6" bestFit="1" customWidth="1"/>
    <col min="13580" max="13580" width="10" style="6" customWidth="1"/>
    <col min="13581" max="13581" width="6.26953125" style="6" bestFit="1" customWidth="1"/>
    <col min="13582" max="13582" width="7.26953125" style="6" bestFit="1" customWidth="1"/>
    <col min="13583" max="13583" width="16.7265625" style="6" customWidth="1"/>
    <col min="13584" max="13584" width="7.26953125" style="6" bestFit="1" customWidth="1"/>
    <col min="13585" max="13585" width="16.7265625" style="6" customWidth="1"/>
    <col min="13586" max="13829" width="9" style="6"/>
    <col min="13830" max="13830" width="16.26953125" style="6" customWidth="1"/>
    <col min="13831" max="13831" width="9" style="6"/>
    <col min="13832" max="13832" width="11.36328125" style="6" customWidth="1"/>
    <col min="13833" max="13834" width="9" style="6"/>
    <col min="13835" max="13835" width="23" style="6" bestFit="1" customWidth="1"/>
    <col min="13836" max="13836" width="10" style="6" customWidth="1"/>
    <col min="13837" max="13837" width="6.26953125" style="6" bestFit="1" customWidth="1"/>
    <col min="13838" max="13838" width="7.26953125" style="6" bestFit="1" customWidth="1"/>
    <col min="13839" max="13839" width="16.7265625" style="6" customWidth="1"/>
    <col min="13840" max="13840" width="7.26953125" style="6" bestFit="1" customWidth="1"/>
    <col min="13841" max="13841" width="16.7265625" style="6" customWidth="1"/>
    <col min="13842" max="14085" width="9" style="6"/>
    <col min="14086" max="14086" width="16.26953125" style="6" customWidth="1"/>
    <col min="14087" max="14087" width="9" style="6"/>
    <col min="14088" max="14088" width="11.36328125" style="6" customWidth="1"/>
    <col min="14089" max="14090" width="9" style="6"/>
    <col min="14091" max="14091" width="23" style="6" bestFit="1" customWidth="1"/>
    <col min="14092" max="14092" width="10" style="6" customWidth="1"/>
    <col min="14093" max="14093" width="6.26953125" style="6" bestFit="1" customWidth="1"/>
    <col min="14094" max="14094" width="7.26953125" style="6" bestFit="1" customWidth="1"/>
    <col min="14095" max="14095" width="16.7265625" style="6" customWidth="1"/>
    <col min="14096" max="14096" width="7.26953125" style="6" bestFit="1" customWidth="1"/>
    <col min="14097" max="14097" width="16.7265625" style="6" customWidth="1"/>
    <col min="14098" max="14341" width="9" style="6"/>
    <col min="14342" max="14342" width="16.26953125" style="6" customWidth="1"/>
    <col min="14343" max="14343" width="9" style="6"/>
    <col min="14344" max="14344" width="11.36328125" style="6" customWidth="1"/>
    <col min="14345" max="14346" width="9" style="6"/>
    <col min="14347" max="14347" width="23" style="6" bestFit="1" customWidth="1"/>
    <col min="14348" max="14348" width="10" style="6" customWidth="1"/>
    <col min="14349" max="14349" width="6.26953125" style="6" bestFit="1" customWidth="1"/>
    <col min="14350" max="14350" width="7.26953125" style="6" bestFit="1" customWidth="1"/>
    <col min="14351" max="14351" width="16.7265625" style="6" customWidth="1"/>
    <col min="14352" max="14352" width="7.26953125" style="6" bestFit="1" customWidth="1"/>
    <col min="14353" max="14353" width="16.7265625" style="6" customWidth="1"/>
    <col min="14354" max="14597" width="9" style="6"/>
    <col min="14598" max="14598" width="16.26953125" style="6" customWidth="1"/>
    <col min="14599" max="14599" width="9" style="6"/>
    <col min="14600" max="14600" width="11.36328125" style="6" customWidth="1"/>
    <col min="14601" max="14602" width="9" style="6"/>
    <col min="14603" max="14603" width="23" style="6" bestFit="1" customWidth="1"/>
    <col min="14604" max="14604" width="10" style="6" customWidth="1"/>
    <col min="14605" max="14605" width="6.26953125" style="6" bestFit="1" customWidth="1"/>
    <col min="14606" max="14606" width="7.26953125" style="6" bestFit="1" customWidth="1"/>
    <col min="14607" max="14607" width="16.7265625" style="6" customWidth="1"/>
    <col min="14608" max="14608" width="7.26953125" style="6" bestFit="1" customWidth="1"/>
    <col min="14609" max="14609" width="16.7265625" style="6" customWidth="1"/>
    <col min="14610" max="14853" width="9" style="6"/>
    <col min="14854" max="14854" width="16.26953125" style="6" customWidth="1"/>
    <col min="14855" max="14855" width="9" style="6"/>
    <col min="14856" max="14856" width="11.36328125" style="6" customWidth="1"/>
    <col min="14857" max="14858" width="9" style="6"/>
    <col min="14859" max="14859" width="23" style="6" bestFit="1" customWidth="1"/>
    <col min="14860" max="14860" width="10" style="6" customWidth="1"/>
    <col min="14861" max="14861" width="6.26953125" style="6" bestFit="1" customWidth="1"/>
    <col min="14862" max="14862" width="7.26953125" style="6" bestFit="1" customWidth="1"/>
    <col min="14863" max="14863" width="16.7265625" style="6" customWidth="1"/>
    <col min="14864" max="14864" width="7.26953125" style="6" bestFit="1" customWidth="1"/>
    <col min="14865" max="14865" width="16.7265625" style="6" customWidth="1"/>
    <col min="14866" max="15109" width="9" style="6"/>
    <col min="15110" max="15110" width="16.26953125" style="6" customWidth="1"/>
    <col min="15111" max="15111" width="9" style="6"/>
    <col min="15112" max="15112" width="11.36328125" style="6" customWidth="1"/>
    <col min="15113" max="15114" width="9" style="6"/>
    <col min="15115" max="15115" width="23" style="6" bestFit="1" customWidth="1"/>
    <col min="15116" max="15116" width="10" style="6" customWidth="1"/>
    <col min="15117" max="15117" width="6.26953125" style="6" bestFit="1" customWidth="1"/>
    <col min="15118" max="15118" width="7.26953125" style="6" bestFit="1" customWidth="1"/>
    <col min="15119" max="15119" width="16.7265625" style="6" customWidth="1"/>
    <col min="15120" max="15120" width="7.26953125" style="6" bestFit="1" customWidth="1"/>
    <col min="15121" max="15121" width="16.7265625" style="6" customWidth="1"/>
    <col min="15122" max="15365" width="9" style="6"/>
    <col min="15366" max="15366" width="16.26953125" style="6" customWidth="1"/>
    <col min="15367" max="15367" width="9" style="6"/>
    <col min="15368" max="15368" width="11.36328125" style="6" customWidth="1"/>
    <col min="15369" max="15370" width="9" style="6"/>
    <col min="15371" max="15371" width="23" style="6" bestFit="1" customWidth="1"/>
    <col min="15372" max="15372" width="10" style="6" customWidth="1"/>
    <col min="15373" max="15373" width="6.26953125" style="6" bestFit="1" customWidth="1"/>
    <col min="15374" max="15374" width="7.26953125" style="6" bestFit="1" customWidth="1"/>
    <col min="15375" max="15375" width="16.7265625" style="6" customWidth="1"/>
    <col min="15376" max="15376" width="7.26953125" style="6" bestFit="1" customWidth="1"/>
    <col min="15377" max="15377" width="16.7265625" style="6" customWidth="1"/>
    <col min="15378" max="15621" width="9" style="6"/>
    <col min="15622" max="15622" width="16.26953125" style="6" customWidth="1"/>
    <col min="15623" max="15623" width="9" style="6"/>
    <col min="15624" max="15624" width="11.36328125" style="6" customWidth="1"/>
    <col min="15625" max="15626" width="9" style="6"/>
    <col min="15627" max="15627" width="23" style="6" bestFit="1" customWidth="1"/>
    <col min="15628" max="15628" width="10" style="6" customWidth="1"/>
    <col min="15629" max="15629" width="6.26953125" style="6" bestFit="1" customWidth="1"/>
    <col min="15630" max="15630" width="7.26953125" style="6" bestFit="1" customWidth="1"/>
    <col min="15631" max="15631" width="16.7265625" style="6" customWidth="1"/>
    <col min="15632" max="15632" width="7.26953125" style="6" bestFit="1" customWidth="1"/>
    <col min="15633" max="15633" width="16.7265625" style="6" customWidth="1"/>
    <col min="15634" max="15877" width="9" style="6"/>
    <col min="15878" max="15878" width="16.26953125" style="6" customWidth="1"/>
    <col min="15879" max="15879" width="9" style="6"/>
    <col min="15880" max="15880" width="11.36328125" style="6" customWidth="1"/>
    <col min="15881" max="15882" width="9" style="6"/>
    <col min="15883" max="15883" width="23" style="6" bestFit="1" customWidth="1"/>
    <col min="15884" max="15884" width="10" style="6" customWidth="1"/>
    <col min="15885" max="15885" width="6.26953125" style="6" bestFit="1" customWidth="1"/>
    <col min="15886" max="15886" width="7.26953125" style="6" bestFit="1" customWidth="1"/>
    <col min="15887" max="15887" width="16.7265625" style="6" customWidth="1"/>
    <col min="15888" max="15888" width="7.26953125" style="6" bestFit="1" customWidth="1"/>
    <col min="15889" max="15889" width="16.7265625" style="6" customWidth="1"/>
    <col min="15890" max="16133" width="9" style="6"/>
    <col min="16134" max="16134" width="16.26953125" style="6" customWidth="1"/>
    <col min="16135" max="16135" width="9" style="6"/>
    <col min="16136" max="16136" width="11.36328125" style="6" customWidth="1"/>
    <col min="16137" max="16138" width="9" style="6"/>
    <col min="16139" max="16139" width="23" style="6" bestFit="1" customWidth="1"/>
    <col min="16140" max="16140" width="10" style="6" customWidth="1"/>
    <col min="16141" max="16141" width="6.26953125" style="6" bestFit="1" customWidth="1"/>
    <col min="16142" max="16142" width="7.26953125" style="6" bestFit="1" customWidth="1"/>
    <col min="16143" max="16143" width="16.7265625" style="6" customWidth="1"/>
    <col min="16144" max="16144" width="7.26953125" style="6" bestFit="1" customWidth="1"/>
    <col min="16145" max="16145" width="16.7265625" style="6" customWidth="1"/>
    <col min="16146" max="16384" width="9" style="6"/>
  </cols>
  <sheetData>
    <row r="1" spans="1:26" s="17" customFormat="1" ht="23.5" customHeight="1">
      <c r="A1" s="35"/>
      <c r="B1" s="35"/>
      <c r="C1" s="35"/>
      <c r="D1" s="35"/>
      <c r="E1" s="35"/>
      <c r="F1" s="35"/>
      <c r="G1" s="35"/>
      <c r="H1" s="35"/>
      <c r="I1" s="35"/>
      <c r="J1" s="35"/>
      <c r="K1" s="35"/>
      <c r="L1" s="35"/>
      <c r="M1" s="147" t="str">
        <f>資訊清單資訊!B3 &amp;資訊清單資訊!B7 &amp;資訊清單資訊!B5</f>
        <v>石油與天然氣輸儲查核與檢測雲端平台資料類(DA)資訊資產風險評鑑</v>
      </c>
      <c r="N1" s="147"/>
      <c r="O1" s="147"/>
      <c r="P1" s="147"/>
      <c r="Q1" s="147"/>
      <c r="R1" s="147"/>
      <c r="S1" s="147"/>
      <c r="T1" s="147"/>
      <c r="U1" s="147"/>
      <c r="V1" s="147"/>
      <c r="W1" s="147"/>
      <c r="X1" s="147"/>
      <c r="Y1" s="147"/>
      <c r="Z1" s="147"/>
    </row>
    <row r="2" spans="1:26">
      <c r="M2" s="37" t="s">
        <v>9</v>
      </c>
      <c r="N2" s="109" t="str">
        <f>資訊清單資訊!B7</f>
        <v>資料類(DA)</v>
      </c>
      <c r="O2" s="110"/>
      <c r="P2" s="111"/>
      <c r="Q2" s="61"/>
      <c r="R2" s="29" t="s">
        <v>11</v>
      </c>
      <c r="S2" s="15">
        <f>IF(ISNA(VLOOKUP($N$3,ALL_LIST,16,FALSE)), "",VLOOKUP($N$3,ALL_LIST,16,FALSE))</f>
        <v>3</v>
      </c>
    </row>
    <row r="3" spans="1:26" ht="31.75" customHeight="1">
      <c r="M3" s="40" t="s">
        <v>5</v>
      </c>
      <c r="N3" s="112" t="s">
        <v>210</v>
      </c>
      <c r="O3" s="113"/>
      <c r="P3" s="114"/>
      <c r="R3" s="28" t="s">
        <v>72</v>
      </c>
      <c r="S3" s="16">
        <f>IF(ISNA(VLOOKUP($N$3,ALL_LIST,8,FALSE)), "",VLOOKUP($N$3,ALL_LIST,8,FALSE))</f>
        <v>3</v>
      </c>
    </row>
    <row r="4" spans="1:26" ht="31.75" customHeight="1">
      <c r="M4" s="38" t="s">
        <v>10</v>
      </c>
      <c r="N4" s="115" t="str">
        <f>IF(ISNA(VLOOKUP($N$3,ALL_LIST,3,FALSE)), "",VLOOKUP($N$3,ALL_LIST,3,FALSE))</f>
        <v>合約書(SCAN檔)</v>
      </c>
      <c r="O4" s="116"/>
      <c r="P4" s="117"/>
      <c r="Q4" s="61"/>
      <c r="R4" s="28" t="s">
        <v>73</v>
      </c>
      <c r="S4" s="16">
        <f>IF(ISNA(VLOOKUP($N$3,ALL_LIST,10,FALSE)), "",VLOOKUP($N$3,ALL_LIST,10,FALSE))</f>
        <v>3</v>
      </c>
    </row>
    <row r="5" spans="1:26">
      <c r="M5" s="37" t="s">
        <v>6</v>
      </c>
      <c r="N5" s="118" t="str">
        <f>IF(ISNA(VLOOKUP($N$3,ALL_LIST,17,FALSE)), "",VLOOKUP($N$3,ALL_LIST,17,FALSE))</f>
        <v>賴斐瓔 </v>
      </c>
      <c r="O5" s="119"/>
      <c r="P5" s="120"/>
      <c r="Q5" s="61"/>
      <c r="R5" s="28" t="s">
        <v>74</v>
      </c>
      <c r="S5" s="16">
        <f>IF(ISNA(VLOOKUP($N$3,ALL_LIST,12,FALSE)), " ",VLOOKUP($N$3,ALL_LIST,12,FALSE))</f>
        <v>2</v>
      </c>
    </row>
    <row r="6" spans="1:26">
      <c r="M6" s="39" t="s">
        <v>7</v>
      </c>
      <c r="N6" s="121" t="s">
        <v>232</v>
      </c>
      <c r="O6" s="122"/>
      <c r="P6" s="123"/>
      <c r="R6" s="28" t="s">
        <v>75</v>
      </c>
      <c r="S6" s="16" t="str">
        <f>IF(ISNA(VLOOKUP($N$3,ALL_LIST,14,FALSE)), "",VLOOKUP($N$3,ALL_LIST,14,FALSE))</f>
        <v>NA</v>
      </c>
    </row>
    <row r="7" spans="1:26">
      <c r="M7" s="39" t="s">
        <v>8</v>
      </c>
      <c r="N7" s="124" t="s">
        <v>205</v>
      </c>
      <c r="O7" s="125"/>
      <c r="P7" s="126"/>
      <c r="Q7" s="61"/>
      <c r="R7" s="30" t="s">
        <v>12</v>
      </c>
      <c r="S7" s="22">
        <f>MAX(Y11:Y34)</f>
        <v>12</v>
      </c>
    </row>
    <row r="10" spans="1:26" s="18" customFormat="1" ht="16">
      <c r="A10" s="31" t="s">
        <v>13</v>
      </c>
      <c r="B10" s="31" t="s">
        <v>2</v>
      </c>
      <c r="C10" s="31" t="s">
        <v>15</v>
      </c>
      <c r="D10" s="31" t="s">
        <v>16</v>
      </c>
      <c r="E10" s="31" t="s">
        <v>3</v>
      </c>
      <c r="F10" s="31" t="s">
        <v>17</v>
      </c>
      <c r="G10" s="32" t="s">
        <v>18</v>
      </c>
      <c r="H10" s="32" t="s">
        <v>19</v>
      </c>
      <c r="I10" s="32" t="s">
        <v>20</v>
      </c>
      <c r="J10" s="32" t="s">
        <v>21</v>
      </c>
      <c r="K10" s="33" t="s">
        <v>22</v>
      </c>
      <c r="L10" s="34" t="s">
        <v>31</v>
      </c>
      <c r="M10" s="151" t="s">
        <v>23</v>
      </c>
      <c r="N10" s="152"/>
      <c r="O10" s="153"/>
      <c r="P10" s="151" t="s">
        <v>4</v>
      </c>
      <c r="Q10" s="152"/>
      <c r="R10" s="152"/>
      <c r="S10" s="153"/>
      <c r="T10" s="27" t="s">
        <v>24</v>
      </c>
      <c r="U10" s="27" t="s">
        <v>25</v>
      </c>
      <c r="V10" s="27" t="s">
        <v>26</v>
      </c>
      <c r="W10" s="27" t="s">
        <v>27</v>
      </c>
      <c r="X10" s="27" t="s">
        <v>26</v>
      </c>
      <c r="Y10" s="27" t="s">
        <v>28</v>
      </c>
      <c r="Z10" s="27" t="s">
        <v>29</v>
      </c>
    </row>
    <row r="11" spans="1:26" ht="59" customHeight="1">
      <c r="A11" s="52" t="str">
        <f>$N$3</f>
        <v>材1-1-DA-05</v>
      </c>
      <c r="B11" s="52">
        <f t="shared" ref="B11:B34" si="0">VLOOKUP($N$3,ALL_LIST,2,FALSE)</f>
        <v>0</v>
      </c>
      <c r="C11" s="52" t="str">
        <f t="shared" ref="C11:C34" si="1">VLOOKUP($N$3,ALL_LIST,3,FALSE)</f>
        <v>合約書(SCAN檔)</v>
      </c>
      <c r="D11" s="52" t="str">
        <f t="shared" ref="D11:D34" si="2">VLOOKUP($N$3,ALL_LIST,4,FALSE)</f>
        <v>包括合約書與簽約執行計畫書(SCAN檔)</v>
      </c>
      <c r="E11" s="52">
        <f t="shared" ref="E11:E34" si="3">VLOOKUP($N$3,ALL_LIST,6,FALSE)</f>
        <v>1</v>
      </c>
      <c r="F11" s="52" t="str">
        <f t="shared" ref="F11:F34" si="4">VLOOKUP($N$3,ALL_LIST,7,FALSE)</f>
        <v>吳榮正</v>
      </c>
      <c r="G11" s="52">
        <f t="shared" ref="G11:G34" si="5">VLOOKUP($N$3,ALL_LIST,8,FALSE)</f>
        <v>3</v>
      </c>
      <c r="H11" s="52">
        <f t="shared" ref="H11:H34" si="6">VLOOKUP($N$3,ALL_LIST,10,FALSE)</f>
        <v>3</v>
      </c>
      <c r="I11" s="52">
        <f t="shared" ref="I11:I34" si="7">VLOOKUP($N$3,ALL_LIST,12,FALSE)</f>
        <v>2</v>
      </c>
      <c r="J11" s="52" t="str">
        <f t="shared" ref="J11:J34" si="8">VLOOKUP($N$3,ALL_LIST,14,FALSE)</f>
        <v>NA</v>
      </c>
      <c r="K11" s="53">
        <f t="shared" ref="K11:K34" si="9">VLOOKUP($N$3,ALL_LIST,16,FALSE)</f>
        <v>3</v>
      </c>
      <c r="L11" s="53">
        <f>$S$7</f>
        <v>12</v>
      </c>
      <c r="M11" s="127" t="s">
        <v>114</v>
      </c>
      <c r="N11" s="128" t="s">
        <v>77</v>
      </c>
      <c r="O11" s="129" t="s">
        <v>77</v>
      </c>
      <c r="P11" s="130" t="s">
        <v>113</v>
      </c>
      <c r="Q11" s="131"/>
      <c r="R11" s="131"/>
      <c r="S11" s="131"/>
      <c r="T11" s="54" t="s">
        <v>161</v>
      </c>
      <c r="U11" s="54">
        <v>2</v>
      </c>
      <c r="V11" s="55" t="s">
        <v>216</v>
      </c>
      <c r="W11" s="54">
        <v>2</v>
      </c>
      <c r="X11" s="55" t="s">
        <v>211</v>
      </c>
      <c r="Y11" s="56">
        <f>IF((T11="N"),"不適用",IF(COUNTA(U11,W11)&lt;2,"評鑑中",$S$2*U11*W11))</f>
        <v>12</v>
      </c>
      <c r="Z11" s="49"/>
    </row>
    <row r="12" spans="1:26" ht="31">
      <c r="A12" s="52" t="str">
        <f t="shared" ref="A12:A34" si="10">$N$3</f>
        <v>材1-1-DA-05</v>
      </c>
      <c r="B12" s="52">
        <f t="shared" si="0"/>
        <v>0</v>
      </c>
      <c r="C12" s="52" t="str">
        <f t="shared" si="1"/>
        <v>合約書(SCAN檔)</v>
      </c>
      <c r="D12" s="52" t="str">
        <f t="shared" si="2"/>
        <v>包括合約書與簽約執行計畫書(SCAN檔)</v>
      </c>
      <c r="E12" s="52">
        <f t="shared" si="3"/>
        <v>1</v>
      </c>
      <c r="F12" s="52" t="str">
        <f t="shared" si="4"/>
        <v>吳榮正</v>
      </c>
      <c r="G12" s="52">
        <f t="shared" si="5"/>
        <v>3</v>
      </c>
      <c r="H12" s="52">
        <f t="shared" si="6"/>
        <v>3</v>
      </c>
      <c r="I12" s="52">
        <f t="shared" si="7"/>
        <v>2</v>
      </c>
      <c r="J12" s="52" t="str">
        <f t="shared" si="8"/>
        <v>NA</v>
      </c>
      <c r="K12" s="53">
        <f t="shared" si="9"/>
        <v>3</v>
      </c>
      <c r="L12" s="53">
        <f>$S$7</f>
        <v>12</v>
      </c>
      <c r="M12" s="132" t="s">
        <v>114</v>
      </c>
      <c r="N12" s="133"/>
      <c r="O12" s="134"/>
      <c r="P12" s="135" t="s">
        <v>115</v>
      </c>
      <c r="Q12" s="136"/>
      <c r="R12" s="136"/>
      <c r="S12" s="136"/>
      <c r="T12" s="54" t="s">
        <v>161</v>
      </c>
      <c r="U12" s="54">
        <v>2</v>
      </c>
      <c r="V12" s="55" t="s">
        <v>216</v>
      </c>
      <c r="W12" s="54">
        <v>2</v>
      </c>
      <c r="X12" s="55" t="s">
        <v>211</v>
      </c>
      <c r="Y12" s="56">
        <f t="shared" ref="Y12:Y34" si="11">IF((T12="N"),"不適用",IF(COUNTA(U12,W12)&lt;2,"評鑑中",$S$2*U12*W12))</f>
        <v>12</v>
      </c>
      <c r="Z12" s="49"/>
    </row>
    <row r="13" spans="1:26" ht="31">
      <c r="A13" s="52" t="str">
        <f t="shared" si="10"/>
        <v>材1-1-DA-05</v>
      </c>
      <c r="B13" s="52">
        <f t="shared" si="0"/>
        <v>0</v>
      </c>
      <c r="C13" s="52" t="str">
        <f t="shared" si="1"/>
        <v>合約書(SCAN檔)</v>
      </c>
      <c r="D13" s="52" t="str">
        <f t="shared" si="2"/>
        <v>包括合約書與簽約執行計畫書(SCAN檔)</v>
      </c>
      <c r="E13" s="52">
        <f t="shared" si="3"/>
        <v>1</v>
      </c>
      <c r="F13" s="52" t="str">
        <f t="shared" si="4"/>
        <v>吳榮正</v>
      </c>
      <c r="G13" s="52">
        <f t="shared" si="5"/>
        <v>3</v>
      </c>
      <c r="H13" s="52">
        <f t="shared" si="6"/>
        <v>3</v>
      </c>
      <c r="I13" s="52">
        <f t="shared" si="7"/>
        <v>2</v>
      </c>
      <c r="J13" s="52" t="str">
        <f t="shared" si="8"/>
        <v>NA</v>
      </c>
      <c r="K13" s="53">
        <f t="shared" si="9"/>
        <v>3</v>
      </c>
      <c r="L13" s="53">
        <f>$S$7</f>
        <v>12</v>
      </c>
      <c r="M13" s="132" t="s">
        <v>114</v>
      </c>
      <c r="N13" s="133"/>
      <c r="O13" s="134"/>
      <c r="P13" s="135" t="s">
        <v>116</v>
      </c>
      <c r="Q13" s="136"/>
      <c r="R13" s="136"/>
      <c r="S13" s="136"/>
      <c r="T13" s="54" t="s">
        <v>166</v>
      </c>
      <c r="U13" s="54">
        <v>2</v>
      </c>
      <c r="V13" s="55" t="s">
        <v>216</v>
      </c>
      <c r="W13" s="54">
        <v>2</v>
      </c>
      <c r="X13" s="55" t="s">
        <v>211</v>
      </c>
      <c r="Y13" s="56">
        <f t="shared" si="11"/>
        <v>12</v>
      </c>
      <c r="Z13" s="49"/>
    </row>
    <row r="14" spans="1:26" ht="33" customHeight="1">
      <c r="A14" s="52" t="str">
        <f t="shared" si="10"/>
        <v>材1-1-DA-05</v>
      </c>
      <c r="B14" s="52">
        <f t="shared" si="0"/>
        <v>0</v>
      </c>
      <c r="C14" s="52" t="str">
        <f t="shared" si="1"/>
        <v>合約書(SCAN檔)</v>
      </c>
      <c r="D14" s="52" t="str">
        <f t="shared" si="2"/>
        <v>包括合約書與簽約執行計畫書(SCAN檔)</v>
      </c>
      <c r="E14" s="52">
        <f t="shared" si="3"/>
        <v>1</v>
      </c>
      <c r="F14" s="52" t="str">
        <f t="shared" si="4"/>
        <v>吳榮正</v>
      </c>
      <c r="G14" s="52">
        <f t="shared" si="5"/>
        <v>3</v>
      </c>
      <c r="H14" s="52">
        <f t="shared" si="6"/>
        <v>3</v>
      </c>
      <c r="I14" s="52">
        <f t="shared" si="7"/>
        <v>2</v>
      </c>
      <c r="J14" s="52" t="str">
        <f t="shared" si="8"/>
        <v>NA</v>
      </c>
      <c r="K14" s="53">
        <f t="shared" si="9"/>
        <v>3</v>
      </c>
      <c r="L14" s="53">
        <f>$S$7</f>
        <v>12</v>
      </c>
      <c r="M14" s="148" t="s">
        <v>119</v>
      </c>
      <c r="N14" s="149" t="s">
        <v>117</v>
      </c>
      <c r="O14" s="150" t="s">
        <v>117</v>
      </c>
      <c r="P14" s="135" t="s">
        <v>118</v>
      </c>
      <c r="Q14" s="136"/>
      <c r="R14" s="136"/>
      <c r="S14" s="136"/>
      <c r="T14" s="54" t="s">
        <v>160</v>
      </c>
      <c r="U14" s="54"/>
      <c r="V14" s="77"/>
      <c r="W14" s="54"/>
      <c r="X14" s="55"/>
      <c r="Y14" s="56" t="str">
        <f t="shared" si="11"/>
        <v>不適用</v>
      </c>
      <c r="Z14" s="49"/>
    </row>
    <row r="15" spans="1:26">
      <c r="A15" s="52" t="str">
        <f t="shared" si="10"/>
        <v>材1-1-DA-05</v>
      </c>
      <c r="B15" s="52">
        <f t="shared" si="0"/>
        <v>0</v>
      </c>
      <c r="C15" s="52" t="str">
        <f t="shared" si="1"/>
        <v>合約書(SCAN檔)</v>
      </c>
      <c r="D15" s="52" t="str">
        <f t="shared" si="2"/>
        <v>包括合約書與簽約執行計畫書(SCAN檔)</v>
      </c>
      <c r="E15" s="52">
        <f t="shared" si="3"/>
        <v>1</v>
      </c>
      <c r="F15" s="52" t="str">
        <f t="shared" si="4"/>
        <v>吳榮正</v>
      </c>
      <c r="G15" s="52">
        <f t="shared" si="5"/>
        <v>3</v>
      </c>
      <c r="H15" s="52">
        <f t="shared" si="6"/>
        <v>3</v>
      </c>
      <c r="I15" s="52">
        <f t="shared" si="7"/>
        <v>2</v>
      </c>
      <c r="J15" s="52" t="str">
        <f t="shared" si="8"/>
        <v>NA</v>
      </c>
      <c r="K15" s="53">
        <f t="shared" si="9"/>
        <v>3</v>
      </c>
      <c r="L15" s="53">
        <f>$S$7</f>
        <v>12</v>
      </c>
      <c r="M15" s="137" t="s">
        <v>119</v>
      </c>
      <c r="N15" s="138" t="s">
        <v>117</v>
      </c>
      <c r="O15" s="139" t="s">
        <v>117</v>
      </c>
      <c r="P15" s="130" t="s">
        <v>120</v>
      </c>
      <c r="Q15" s="131"/>
      <c r="R15" s="131"/>
      <c r="S15" s="131"/>
      <c r="T15" s="54" t="s">
        <v>160</v>
      </c>
      <c r="U15" s="54"/>
      <c r="V15" s="55"/>
      <c r="W15" s="54"/>
      <c r="X15" s="55"/>
      <c r="Y15" s="56" t="str">
        <f t="shared" si="11"/>
        <v>不適用</v>
      </c>
      <c r="Z15" s="49"/>
    </row>
    <row r="16" spans="1:26">
      <c r="A16" s="52"/>
      <c r="B16" s="52"/>
      <c r="C16" s="52"/>
      <c r="D16" s="52"/>
      <c r="E16" s="52"/>
      <c r="F16" s="52"/>
      <c r="G16" s="52"/>
      <c r="H16" s="52"/>
      <c r="I16" s="52"/>
      <c r="J16" s="52"/>
      <c r="K16" s="53"/>
      <c r="L16" s="53"/>
      <c r="M16" s="140" t="s">
        <v>119</v>
      </c>
      <c r="N16" s="141" t="s">
        <v>117</v>
      </c>
      <c r="O16" s="142" t="s">
        <v>117</v>
      </c>
      <c r="P16" s="143" t="s">
        <v>121</v>
      </c>
      <c r="Q16" s="143"/>
      <c r="R16" s="143"/>
      <c r="S16" s="130"/>
      <c r="T16" s="54" t="s">
        <v>161</v>
      </c>
      <c r="U16" s="54">
        <v>2</v>
      </c>
      <c r="V16" s="55" t="s">
        <v>167</v>
      </c>
      <c r="W16" s="54">
        <v>2</v>
      </c>
      <c r="X16" s="55" t="s">
        <v>211</v>
      </c>
      <c r="Y16" s="56">
        <f t="shared" si="11"/>
        <v>12</v>
      </c>
      <c r="Z16" s="49"/>
    </row>
    <row r="17" spans="1:26" ht="34.65" customHeight="1">
      <c r="A17" s="52" t="str">
        <f t="shared" si="10"/>
        <v>材1-1-DA-05</v>
      </c>
      <c r="B17" s="52">
        <f t="shared" si="0"/>
        <v>0</v>
      </c>
      <c r="C17" s="52" t="str">
        <f t="shared" si="1"/>
        <v>合約書(SCAN檔)</v>
      </c>
      <c r="D17" s="52" t="str">
        <f t="shared" si="2"/>
        <v>包括合約書與簽約執行計畫書(SCAN檔)</v>
      </c>
      <c r="E17" s="52">
        <f t="shared" si="3"/>
        <v>1</v>
      </c>
      <c r="F17" s="52" t="str">
        <f t="shared" si="4"/>
        <v>吳榮正</v>
      </c>
      <c r="G17" s="52">
        <f t="shared" si="5"/>
        <v>3</v>
      </c>
      <c r="H17" s="52">
        <f t="shared" si="6"/>
        <v>3</v>
      </c>
      <c r="I17" s="52">
        <f t="shared" si="7"/>
        <v>2</v>
      </c>
      <c r="J17" s="52" t="str">
        <f t="shared" si="8"/>
        <v>NA</v>
      </c>
      <c r="K17" s="53">
        <f t="shared" si="9"/>
        <v>3</v>
      </c>
      <c r="L17" s="53">
        <f t="shared" ref="L17:L28" si="12">$S$7</f>
        <v>12</v>
      </c>
      <c r="M17" s="144" t="s">
        <v>149</v>
      </c>
      <c r="N17" s="145" t="s">
        <v>122</v>
      </c>
      <c r="O17" s="146" t="s">
        <v>122</v>
      </c>
      <c r="P17" s="130" t="s">
        <v>123</v>
      </c>
      <c r="Q17" s="131"/>
      <c r="R17" s="131"/>
      <c r="S17" s="131"/>
      <c r="T17" s="54" t="s">
        <v>166</v>
      </c>
      <c r="U17" s="54">
        <v>2</v>
      </c>
      <c r="V17" s="55" t="s">
        <v>167</v>
      </c>
      <c r="W17" s="54">
        <v>2</v>
      </c>
      <c r="X17" s="55" t="s">
        <v>211</v>
      </c>
      <c r="Y17" s="56">
        <f t="shared" si="11"/>
        <v>12</v>
      </c>
      <c r="Z17" s="49"/>
    </row>
    <row r="18" spans="1:26" ht="65.5" customHeight="1">
      <c r="A18" s="52" t="str">
        <f t="shared" si="10"/>
        <v>材1-1-DA-05</v>
      </c>
      <c r="B18" s="52">
        <f t="shared" si="0"/>
        <v>0</v>
      </c>
      <c r="C18" s="52" t="str">
        <f t="shared" si="1"/>
        <v>合約書(SCAN檔)</v>
      </c>
      <c r="D18" s="52" t="str">
        <f t="shared" si="2"/>
        <v>包括合約書與簽約執行計畫書(SCAN檔)</v>
      </c>
      <c r="E18" s="52">
        <f t="shared" si="3"/>
        <v>1</v>
      </c>
      <c r="F18" s="52" t="str">
        <f t="shared" si="4"/>
        <v>吳榮正</v>
      </c>
      <c r="G18" s="52">
        <f t="shared" si="5"/>
        <v>3</v>
      </c>
      <c r="H18" s="52">
        <f t="shared" si="6"/>
        <v>3</v>
      </c>
      <c r="I18" s="52">
        <f t="shared" si="7"/>
        <v>2</v>
      </c>
      <c r="J18" s="52" t="str">
        <f t="shared" si="8"/>
        <v>NA</v>
      </c>
      <c r="K18" s="53">
        <f t="shared" si="9"/>
        <v>3</v>
      </c>
      <c r="L18" s="53">
        <f t="shared" si="12"/>
        <v>12</v>
      </c>
      <c r="M18" s="148" t="s">
        <v>150</v>
      </c>
      <c r="N18" s="149" t="s">
        <v>124</v>
      </c>
      <c r="O18" s="150" t="s">
        <v>124</v>
      </c>
      <c r="P18" s="154" t="s">
        <v>125</v>
      </c>
      <c r="Q18" s="155"/>
      <c r="R18" s="155"/>
      <c r="S18" s="155"/>
      <c r="T18" s="54" t="s">
        <v>166</v>
      </c>
      <c r="U18" s="54">
        <v>2</v>
      </c>
      <c r="V18" s="55" t="s">
        <v>168</v>
      </c>
      <c r="W18" s="54">
        <v>2</v>
      </c>
      <c r="X18" s="55" t="s">
        <v>211</v>
      </c>
      <c r="Y18" s="56">
        <f t="shared" si="11"/>
        <v>12</v>
      </c>
      <c r="Z18" s="49"/>
    </row>
    <row r="19" spans="1:26">
      <c r="A19" s="52" t="str">
        <f t="shared" si="10"/>
        <v>材1-1-DA-05</v>
      </c>
      <c r="B19" s="52">
        <f t="shared" si="0"/>
        <v>0</v>
      </c>
      <c r="C19" s="52" t="str">
        <f t="shared" si="1"/>
        <v>合約書(SCAN檔)</v>
      </c>
      <c r="D19" s="52" t="str">
        <f t="shared" si="2"/>
        <v>包括合約書與簽約執行計畫書(SCAN檔)</v>
      </c>
      <c r="E19" s="52">
        <f t="shared" si="3"/>
        <v>1</v>
      </c>
      <c r="F19" s="52" t="str">
        <f t="shared" si="4"/>
        <v>吳榮正</v>
      </c>
      <c r="G19" s="52">
        <f t="shared" si="5"/>
        <v>3</v>
      </c>
      <c r="H19" s="52">
        <f t="shared" si="6"/>
        <v>3</v>
      </c>
      <c r="I19" s="52">
        <f t="shared" si="7"/>
        <v>2</v>
      </c>
      <c r="J19" s="52" t="str">
        <f t="shared" si="8"/>
        <v>NA</v>
      </c>
      <c r="K19" s="53">
        <f t="shared" si="9"/>
        <v>3</v>
      </c>
      <c r="L19" s="53">
        <f t="shared" si="12"/>
        <v>12</v>
      </c>
      <c r="M19" s="140" t="s">
        <v>124</v>
      </c>
      <c r="N19" s="141" t="s">
        <v>124</v>
      </c>
      <c r="O19" s="142" t="s">
        <v>124</v>
      </c>
      <c r="P19" s="135" t="s">
        <v>126</v>
      </c>
      <c r="Q19" s="136"/>
      <c r="R19" s="136"/>
      <c r="S19" s="136"/>
      <c r="T19" s="54" t="s">
        <v>212</v>
      </c>
      <c r="U19" s="54"/>
      <c r="V19" s="55"/>
      <c r="W19" s="54"/>
      <c r="X19" s="55"/>
      <c r="Y19" s="56" t="str">
        <f t="shared" si="11"/>
        <v>不適用</v>
      </c>
      <c r="Z19" s="49"/>
    </row>
    <row r="20" spans="1:26">
      <c r="A20" s="52" t="str">
        <f t="shared" si="10"/>
        <v>材1-1-DA-05</v>
      </c>
      <c r="B20" s="52">
        <f t="shared" si="0"/>
        <v>0</v>
      </c>
      <c r="C20" s="52" t="str">
        <f t="shared" si="1"/>
        <v>合約書(SCAN檔)</v>
      </c>
      <c r="D20" s="52" t="str">
        <f t="shared" si="2"/>
        <v>包括合約書與簽約執行計畫書(SCAN檔)</v>
      </c>
      <c r="E20" s="52">
        <f t="shared" si="3"/>
        <v>1</v>
      </c>
      <c r="F20" s="52" t="str">
        <f t="shared" si="4"/>
        <v>吳榮正</v>
      </c>
      <c r="G20" s="52">
        <f t="shared" si="5"/>
        <v>3</v>
      </c>
      <c r="H20" s="52">
        <f t="shared" si="6"/>
        <v>3</v>
      </c>
      <c r="I20" s="52">
        <f t="shared" si="7"/>
        <v>2</v>
      </c>
      <c r="J20" s="52" t="str">
        <f t="shared" si="8"/>
        <v>NA</v>
      </c>
      <c r="K20" s="53">
        <f t="shared" si="9"/>
        <v>3</v>
      </c>
      <c r="L20" s="53">
        <f t="shared" si="12"/>
        <v>12</v>
      </c>
      <c r="M20" s="156" t="s">
        <v>92</v>
      </c>
      <c r="N20" s="157" t="s">
        <v>127</v>
      </c>
      <c r="O20" s="158" t="s">
        <v>127</v>
      </c>
      <c r="P20" s="130" t="s">
        <v>128</v>
      </c>
      <c r="Q20" s="131"/>
      <c r="R20" s="131"/>
      <c r="S20" s="131"/>
      <c r="T20" s="54" t="s">
        <v>166</v>
      </c>
      <c r="U20" s="54">
        <v>2</v>
      </c>
      <c r="V20" s="55" t="s">
        <v>169</v>
      </c>
      <c r="W20" s="54">
        <v>2</v>
      </c>
      <c r="X20" s="55" t="s">
        <v>211</v>
      </c>
      <c r="Y20" s="56">
        <f t="shared" si="11"/>
        <v>12</v>
      </c>
      <c r="Z20" s="49"/>
    </row>
    <row r="21" spans="1:26">
      <c r="A21" s="52" t="str">
        <f t="shared" si="10"/>
        <v>材1-1-DA-05</v>
      </c>
      <c r="B21" s="52">
        <f t="shared" si="0"/>
        <v>0</v>
      </c>
      <c r="C21" s="52" t="str">
        <f t="shared" si="1"/>
        <v>合約書(SCAN檔)</v>
      </c>
      <c r="D21" s="52" t="str">
        <f t="shared" si="2"/>
        <v>包括合約書與簽約執行計畫書(SCAN檔)</v>
      </c>
      <c r="E21" s="52">
        <f t="shared" si="3"/>
        <v>1</v>
      </c>
      <c r="F21" s="52" t="str">
        <f t="shared" si="4"/>
        <v>吳榮正</v>
      </c>
      <c r="G21" s="52">
        <f t="shared" si="5"/>
        <v>3</v>
      </c>
      <c r="H21" s="52">
        <f t="shared" si="6"/>
        <v>3</v>
      </c>
      <c r="I21" s="52">
        <f t="shared" si="7"/>
        <v>2</v>
      </c>
      <c r="J21" s="52" t="str">
        <f t="shared" si="8"/>
        <v>NA</v>
      </c>
      <c r="K21" s="53">
        <f t="shared" si="9"/>
        <v>3</v>
      </c>
      <c r="L21" s="53">
        <f t="shared" si="12"/>
        <v>12</v>
      </c>
      <c r="M21" s="159" t="s">
        <v>151</v>
      </c>
      <c r="N21" s="160" t="s">
        <v>129</v>
      </c>
      <c r="O21" s="161" t="s">
        <v>129</v>
      </c>
      <c r="P21" s="130" t="s">
        <v>130</v>
      </c>
      <c r="Q21" s="131"/>
      <c r="R21" s="131"/>
      <c r="S21" s="131"/>
      <c r="T21" s="54" t="s">
        <v>161</v>
      </c>
      <c r="U21" s="54">
        <v>2</v>
      </c>
      <c r="V21" s="55" t="s">
        <v>217</v>
      </c>
      <c r="W21" s="54">
        <v>1</v>
      </c>
      <c r="X21" s="55" t="s">
        <v>211</v>
      </c>
      <c r="Y21" s="56">
        <f t="shared" si="11"/>
        <v>6</v>
      </c>
      <c r="Z21" s="49"/>
    </row>
    <row r="22" spans="1:26" ht="31">
      <c r="A22" s="52" t="str">
        <f t="shared" si="10"/>
        <v>材1-1-DA-05</v>
      </c>
      <c r="B22" s="52">
        <f t="shared" si="0"/>
        <v>0</v>
      </c>
      <c r="C22" s="52" t="str">
        <f t="shared" si="1"/>
        <v>合約書(SCAN檔)</v>
      </c>
      <c r="D22" s="52" t="str">
        <f t="shared" si="2"/>
        <v>包括合約書與簽約執行計畫書(SCAN檔)</v>
      </c>
      <c r="E22" s="52">
        <f t="shared" si="3"/>
        <v>1</v>
      </c>
      <c r="F22" s="52" t="str">
        <f t="shared" si="4"/>
        <v>吳榮正</v>
      </c>
      <c r="G22" s="52">
        <f t="shared" si="5"/>
        <v>3</v>
      </c>
      <c r="H22" s="52">
        <f t="shared" si="6"/>
        <v>3</v>
      </c>
      <c r="I22" s="52">
        <f t="shared" si="7"/>
        <v>2</v>
      </c>
      <c r="J22" s="52" t="str">
        <f t="shared" si="8"/>
        <v>NA</v>
      </c>
      <c r="K22" s="53">
        <f t="shared" si="9"/>
        <v>3</v>
      </c>
      <c r="L22" s="53">
        <f t="shared" si="12"/>
        <v>12</v>
      </c>
      <c r="M22" s="162" t="s">
        <v>152</v>
      </c>
      <c r="N22" s="163"/>
      <c r="O22" s="164"/>
      <c r="P22" s="154" t="s">
        <v>131</v>
      </c>
      <c r="Q22" s="155"/>
      <c r="R22" s="155"/>
      <c r="S22" s="155"/>
      <c r="T22" s="54" t="s">
        <v>214</v>
      </c>
      <c r="U22" s="54">
        <v>2</v>
      </c>
      <c r="V22" s="55" t="s">
        <v>213</v>
      </c>
      <c r="W22" s="54">
        <v>1</v>
      </c>
      <c r="X22" s="55" t="s">
        <v>211</v>
      </c>
      <c r="Y22" s="56">
        <f t="shared" si="11"/>
        <v>6</v>
      </c>
      <c r="Z22" s="21"/>
    </row>
    <row r="23" spans="1:26" ht="46.5">
      <c r="A23" s="52" t="str">
        <f t="shared" si="10"/>
        <v>材1-1-DA-05</v>
      </c>
      <c r="B23" s="52">
        <f t="shared" si="0"/>
        <v>0</v>
      </c>
      <c r="C23" s="52" t="str">
        <f t="shared" si="1"/>
        <v>合約書(SCAN檔)</v>
      </c>
      <c r="D23" s="52" t="str">
        <f t="shared" si="2"/>
        <v>包括合約書與簽約執行計畫書(SCAN檔)</v>
      </c>
      <c r="E23" s="52">
        <f t="shared" si="3"/>
        <v>1</v>
      </c>
      <c r="F23" s="52" t="str">
        <f t="shared" si="4"/>
        <v>吳榮正</v>
      </c>
      <c r="G23" s="52">
        <f t="shared" si="5"/>
        <v>3</v>
      </c>
      <c r="H23" s="52">
        <f t="shared" si="6"/>
        <v>3</v>
      </c>
      <c r="I23" s="52">
        <f t="shared" si="7"/>
        <v>2</v>
      </c>
      <c r="J23" s="52" t="str">
        <f t="shared" si="8"/>
        <v>NA</v>
      </c>
      <c r="K23" s="53">
        <f t="shared" si="9"/>
        <v>3</v>
      </c>
      <c r="L23" s="53">
        <f t="shared" si="12"/>
        <v>12</v>
      </c>
      <c r="M23" s="162" t="s">
        <v>153</v>
      </c>
      <c r="N23" s="163"/>
      <c r="O23" s="164"/>
      <c r="P23" s="130" t="s">
        <v>132</v>
      </c>
      <c r="Q23" s="131"/>
      <c r="R23" s="131"/>
      <c r="S23" s="131"/>
      <c r="T23" s="54" t="s">
        <v>161</v>
      </c>
      <c r="U23" s="54">
        <v>2</v>
      </c>
      <c r="V23" s="57" t="s">
        <v>170</v>
      </c>
      <c r="W23" s="54">
        <v>1</v>
      </c>
      <c r="X23" s="55" t="s">
        <v>211</v>
      </c>
      <c r="Y23" s="56">
        <f t="shared" si="11"/>
        <v>6</v>
      </c>
      <c r="Z23" s="21"/>
    </row>
    <row r="24" spans="1:26">
      <c r="A24" s="52" t="str">
        <f t="shared" si="10"/>
        <v>材1-1-DA-05</v>
      </c>
      <c r="B24" s="52">
        <f t="shared" si="0"/>
        <v>0</v>
      </c>
      <c r="C24" s="52" t="str">
        <f t="shared" si="1"/>
        <v>合約書(SCAN檔)</v>
      </c>
      <c r="D24" s="52" t="str">
        <f t="shared" si="2"/>
        <v>包括合約書與簽約執行計畫書(SCAN檔)</v>
      </c>
      <c r="E24" s="52">
        <f t="shared" si="3"/>
        <v>1</v>
      </c>
      <c r="F24" s="52" t="str">
        <f t="shared" si="4"/>
        <v>吳榮正</v>
      </c>
      <c r="G24" s="52">
        <f t="shared" si="5"/>
        <v>3</v>
      </c>
      <c r="H24" s="52">
        <f t="shared" si="6"/>
        <v>3</v>
      </c>
      <c r="I24" s="52">
        <f t="shared" si="7"/>
        <v>2</v>
      </c>
      <c r="J24" s="52" t="str">
        <f t="shared" si="8"/>
        <v>NA</v>
      </c>
      <c r="K24" s="53">
        <f t="shared" si="9"/>
        <v>3</v>
      </c>
      <c r="L24" s="53">
        <f t="shared" si="12"/>
        <v>12</v>
      </c>
      <c r="M24" s="162" t="s">
        <v>154</v>
      </c>
      <c r="N24" s="163"/>
      <c r="O24" s="164"/>
      <c r="P24" s="130" t="s">
        <v>133</v>
      </c>
      <c r="Q24" s="131"/>
      <c r="R24" s="131"/>
      <c r="S24" s="131"/>
      <c r="T24" s="54" t="s">
        <v>215</v>
      </c>
      <c r="U24" s="54"/>
      <c r="V24" s="57"/>
      <c r="W24" s="54"/>
      <c r="X24" s="57"/>
      <c r="Y24" s="56" t="str">
        <f t="shared" si="11"/>
        <v>不適用</v>
      </c>
      <c r="Z24" s="21"/>
    </row>
    <row r="25" spans="1:26">
      <c r="A25" s="52" t="str">
        <f t="shared" si="10"/>
        <v>材1-1-DA-05</v>
      </c>
      <c r="B25" s="52">
        <f t="shared" si="0"/>
        <v>0</v>
      </c>
      <c r="C25" s="52" t="str">
        <f t="shared" si="1"/>
        <v>合約書(SCAN檔)</v>
      </c>
      <c r="D25" s="52" t="str">
        <f t="shared" si="2"/>
        <v>包括合約書與簽約執行計畫書(SCAN檔)</v>
      </c>
      <c r="E25" s="52">
        <f t="shared" si="3"/>
        <v>1</v>
      </c>
      <c r="F25" s="52" t="str">
        <f t="shared" si="4"/>
        <v>吳榮正</v>
      </c>
      <c r="G25" s="52">
        <f t="shared" si="5"/>
        <v>3</v>
      </c>
      <c r="H25" s="52">
        <f t="shared" si="6"/>
        <v>3</v>
      </c>
      <c r="I25" s="52">
        <f t="shared" si="7"/>
        <v>2</v>
      </c>
      <c r="J25" s="52" t="str">
        <f t="shared" si="8"/>
        <v>NA</v>
      </c>
      <c r="K25" s="53">
        <f t="shared" si="9"/>
        <v>3</v>
      </c>
      <c r="L25" s="53">
        <f t="shared" si="12"/>
        <v>12</v>
      </c>
      <c r="M25" s="162" t="s">
        <v>155</v>
      </c>
      <c r="N25" s="163"/>
      <c r="O25" s="164"/>
      <c r="P25" s="130" t="s">
        <v>134</v>
      </c>
      <c r="Q25" s="131"/>
      <c r="R25" s="131"/>
      <c r="S25" s="131"/>
      <c r="T25" s="54" t="s">
        <v>161</v>
      </c>
      <c r="U25" s="54">
        <v>2</v>
      </c>
      <c r="V25" s="57" t="s">
        <v>171</v>
      </c>
      <c r="W25" s="54">
        <v>2</v>
      </c>
      <c r="X25" s="55" t="s">
        <v>211</v>
      </c>
      <c r="Y25" s="56">
        <f t="shared" si="11"/>
        <v>12</v>
      </c>
      <c r="Z25" s="21"/>
    </row>
    <row r="26" spans="1:26" ht="31">
      <c r="A26" s="52" t="str">
        <f t="shared" si="10"/>
        <v>材1-1-DA-05</v>
      </c>
      <c r="B26" s="52">
        <f t="shared" si="0"/>
        <v>0</v>
      </c>
      <c r="C26" s="52" t="str">
        <f t="shared" si="1"/>
        <v>合約書(SCAN檔)</v>
      </c>
      <c r="D26" s="52" t="str">
        <f t="shared" si="2"/>
        <v>包括合約書與簽約執行計畫書(SCAN檔)</v>
      </c>
      <c r="E26" s="52">
        <f t="shared" si="3"/>
        <v>1</v>
      </c>
      <c r="F26" s="52" t="str">
        <f t="shared" si="4"/>
        <v>吳榮正</v>
      </c>
      <c r="G26" s="52">
        <f t="shared" si="5"/>
        <v>3</v>
      </c>
      <c r="H26" s="52">
        <f t="shared" si="6"/>
        <v>3</v>
      </c>
      <c r="I26" s="52">
        <f t="shared" si="7"/>
        <v>2</v>
      </c>
      <c r="J26" s="52" t="str">
        <f t="shared" si="8"/>
        <v>NA</v>
      </c>
      <c r="K26" s="53">
        <f t="shared" si="9"/>
        <v>3</v>
      </c>
      <c r="L26" s="53">
        <f t="shared" si="12"/>
        <v>12</v>
      </c>
      <c r="M26" s="165" t="s">
        <v>135</v>
      </c>
      <c r="N26" s="166"/>
      <c r="O26" s="167"/>
      <c r="P26" s="168" t="s">
        <v>136</v>
      </c>
      <c r="Q26" s="169"/>
      <c r="R26" s="169"/>
      <c r="S26" s="169"/>
      <c r="T26" s="54" t="s">
        <v>161</v>
      </c>
      <c r="U26" s="54">
        <v>2</v>
      </c>
      <c r="V26" s="57" t="s">
        <v>172</v>
      </c>
      <c r="W26" s="54">
        <v>2</v>
      </c>
      <c r="X26" s="55" t="s">
        <v>211</v>
      </c>
      <c r="Y26" s="56">
        <f t="shared" si="11"/>
        <v>12</v>
      </c>
      <c r="Z26" s="21"/>
    </row>
    <row r="27" spans="1:26">
      <c r="A27" s="52" t="str">
        <f t="shared" si="10"/>
        <v>材1-1-DA-05</v>
      </c>
      <c r="B27" s="52">
        <f t="shared" si="0"/>
        <v>0</v>
      </c>
      <c r="C27" s="52" t="str">
        <f t="shared" si="1"/>
        <v>合約書(SCAN檔)</v>
      </c>
      <c r="D27" s="52" t="str">
        <f t="shared" si="2"/>
        <v>包括合約書與簽約執行計畫書(SCAN檔)</v>
      </c>
      <c r="E27" s="52">
        <f t="shared" si="3"/>
        <v>1</v>
      </c>
      <c r="F27" s="52" t="str">
        <f t="shared" si="4"/>
        <v>吳榮正</v>
      </c>
      <c r="G27" s="52">
        <f t="shared" si="5"/>
        <v>3</v>
      </c>
      <c r="H27" s="52">
        <f t="shared" si="6"/>
        <v>3</v>
      </c>
      <c r="I27" s="52">
        <f t="shared" si="7"/>
        <v>2</v>
      </c>
      <c r="J27" s="52" t="str">
        <f t="shared" si="8"/>
        <v>NA</v>
      </c>
      <c r="K27" s="53">
        <f t="shared" si="9"/>
        <v>3</v>
      </c>
      <c r="L27" s="53">
        <f t="shared" si="12"/>
        <v>12</v>
      </c>
      <c r="M27" s="170" t="s">
        <v>138</v>
      </c>
      <c r="N27" s="171"/>
      <c r="O27" s="172"/>
      <c r="P27" s="150" t="s">
        <v>137</v>
      </c>
      <c r="Q27" s="173"/>
      <c r="R27" s="173"/>
      <c r="S27" s="173"/>
      <c r="T27" s="64" t="s">
        <v>160</v>
      </c>
      <c r="U27" s="64"/>
      <c r="V27" s="65"/>
      <c r="W27" s="64"/>
      <c r="X27" s="65"/>
      <c r="Y27" s="59" t="str">
        <f t="shared" si="11"/>
        <v>不適用</v>
      </c>
      <c r="Z27" s="58"/>
    </row>
    <row r="28" spans="1:26">
      <c r="A28" s="52" t="str">
        <f t="shared" si="10"/>
        <v>材1-1-DA-05</v>
      </c>
      <c r="B28" s="52">
        <f t="shared" si="0"/>
        <v>0</v>
      </c>
      <c r="C28" s="52" t="str">
        <f t="shared" si="1"/>
        <v>合約書(SCAN檔)</v>
      </c>
      <c r="D28" s="52" t="str">
        <f t="shared" si="2"/>
        <v>包括合約書與簽約執行計畫書(SCAN檔)</v>
      </c>
      <c r="E28" s="52">
        <f t="shared" si="3"/>
        <v>1</v>
      </c>
      <c r="F28" s="52" t="str">
        <f t="shared" si="4"/>
        <v>吳榮正</v>
      </c>
      <c r="G28" s="52">
        <f t="shared" si="5"/>
        <v>3</v>
      </c>
      <c r="H28" s="52">
        <f t="shared" si="6"/>
        <v>3</v>
      </c>
      <c r="I28" s="52">
        <f t="shared" si="7"/>
        <v>2</v>
      </c>
      <c r="J28" s="52" t="str">
        <f t="shared" si="8"/>
        <v>NA</v>
      </c>
      <c r="K28" s="53">
        <f t="shared" si="9"/>
        <v>3</v>
      </c>
      <c r="L28" s="53">
        <f t="shared" si="12"/>
        <v>12</v>
      </c>
      <c r="M28" s="165" t="s">
        <v>138</v>
      </c>
      <c r="N28" s="166"/>
      <c r="O28" s="167"/>
      <c r="P28" s="130" t="s">
        <v>139</v>
      </c>
      <c r="Q28" s="131"/>
      <c r="R28" s="131"/>
      <c r="S28" s="131"/>
      <c r="T28" s="54" t="s">
        <v>160</v>
      </c>
      <c r="U28" s="54"/>
      <c r="V28" s="57"/>
      <c r="W28" s="54"/>
      <c r="X28" s="57"/>
      <c r="Y28" s="56" t="str">
        <f t="shared" si="11"/>
        <v>不適用</v>
      </c>
      <c r="Z28" s="21"/>
    </row>
    <row r="29" spans="1:26" ht="40.5" customHeight="1">
      <c r="A29" s="52"/>
      <c r="B29" s="52"/>
      <c r="C29" s="52"/>
      <c r="D29" s="52"/>
      <c r="E29" s="52"/>
      <c r="F29" s="52"/>
      <c r="G29" s="52"/>
      <c r="H29" s="52"/>
      <c r="I29" s="52"/>
      <c r="J29" s="52"/>
      <c r="K29" s="53"/>
      <c r="L29" s="53"/>
      <c r="M29" s="174" t="s">
        <v>141</v>
      </c>
      <c r="N29" s="175"/>
      <c r="O29" s="176"/>
      <c r="P29" s="130" t="s">
        <v>140</v>
      </c>
      <c r="Q29" s="131"/>
      <c r="R29" s="131"/>
      <c r="S29" s="131"/>
      <c r="T29" s="54" t="s">
        <v>160</v>
      </c>
      <c r="U29" s="64"/>
      <c r="V29" s="65"/>
      <c r="W29" s="64"/>
      <c r="X29" s="65"/>
      <c r="Y29" s="56" t="str">
        <f t="shared" si="11"/>
        <v>不適用</v>
      </c>
      <c r="Z29" s="58"/>
    </row>
    <row r="30" spans="1:26">
      <c r="A30" s="52"/>
      <c r="B30" s="52"/>
      <c r="C30" s="52"/>
      <c r="D30" s="52"/>
      <c r="E30" s="52"/>
      <c r="F30" s="52"/>
      <c r="G30" s="52"/>
      <c r="H30" s="52"/>
      <c r="I30" s="52"/>
      <c r="J30" s="52"/>
      <c r="K30" s="53"/>
      <c r="L30" s="53"/>
      <c r="M30" s="177" t="s">
        <v>141</v>
      </c>
      <c r="N30" s="178"/>
      <c r="O30" s="179"/>
      <c r="P30" s="130" t="s">
        <v>142</v>
      </c>
      <c r="Q30" s="131"/>
      <c r="R30" s="131"/>
      <c r="S30" s="131"/>
      <c r="T30" s="54" t="s">
        <v>160</v>
      </c>
      <c r="U30" s="64"/>
      <c r="V30" s="65"/>
      <c r="W30" s="64"/>
      <c r="X30" s="65"/>
      <c r="Y30" s="56" t="str">
        <f t="shared" si="11"/>
        <v>不適用</v>
      </c>
      <c r="Z30" s="58"/>
    </row>
    <row r="31" spans="1:26" ht="37.75" customHeight="1">
      <c r="A31" s="52"/>
      <c r="B31" s="52"/>
      <c r="C31" s="52"/>
      <c r="D31" s="52"/>
      <c r="E31" s="52"/>
      <c r="F31" s="52"/>
      <c r="G31" s="52"/>
      <c r="H31" s="52"/>
      <c r="I31" s="52"/>
      <c r="J31" s="52"/>
      <c r="K31" s="53"/>
      <c r="L31" s="53"/>
      <c r="M31" s="185" t="s">
        <v>144</v>
      </c>
      <c r="N31" s="186"/>
      <c r="O31" s="187"/>
      <c r="P31" s="130" t="s">
        <v>143</v>
      </c>
      <c r="Q31" s="131"/>
      <c r="R31" s="131"/>
      <c r="S31" s="131"/>
      <c r="T31" s="54" t="s">
        <v>160</v>
      </c>
      <c r="U31" s="64"/>
      <c r="V31" s="65"/>
      <c r="W31" s="64"/>
      <c r="X31" s="65"/>
      <c r="Y31" s="56" t="str">
        <f t="shared" si="11"/>
        <v>不適用</v>
      </c>
      <c r="Z31" s="58"/>
    </row>
    <row r="32" spans="1:26">
      <c r="A32" s="52"/>
      <c r="B32" s="52"/>
      <c r="C32" s="52"/>
      <c r="D32" s="52"/>
      <c r="E32" s="52"/>
      <c r="F32" s="52"/>
      <c r="G32" s="52"/>
      <c r="H32" s="52"/>
      <c r="I32" s="52"/>
      <c r="J32" s="52"/>
      <c r="K32" s="53"/>
      <c r="L32" s="53"/>
      <c r="M32" s="188" t="s">
        <v>144</v>
      </c>
      <c r="N32" s="189"/>
      <c r="O32" s="190"/>
      <c r="P32" s="130" t="s">
        <v>145</v>
      </c>
      <c r="Q32" s="131"/>
      <c r="R32" s="131"/>
      <c r="S32" s="131"/>
      <c r="T32" s="54" t="s">
        <v>160</v>
      </c>
      <c r="U32" s="64"/>
      <c r="V32" s="65"/>
      <c r="W32" s="64"/>
      <c r="X32" s="65"/>
      <c r="Y32" s="56" t="str">
        <f t="shared" si="11"/>
        <v>不適用</v>
      </c>
      <c r="Z32" s="58"/>
    </row>
    <row r="33" spans="1:26">
      <c r="A33" s="52"/>
      <c r="B33" s="52"/>
      <c r="C33" s="52"/>
      <c r="D33" s="52"/>
      <c r="E33" s="52"/>
      <c r="F33" s="52"/>
      <c r="G33" s="52"/>
      <c r="H33" s="52"/>
      <c r="I33" s="52"/>
      <c r="J33" s="52"/>
      <c r="K33" s="53"/>
      <c r="L33" s="53"/>
      <c r="M33" s="191" t="s">
        <v>156</v>
      </c>
      <c r="N33" s="192"/>
      <c r="O33" s="193"/>
      <c r="P33" s="130" t="s">
        <v>146</v>
      </c>
      <c r="Q33" s="131"/>
      <c r="R33" s="131"/>
      <c r="S33" s="131"/>
      <c r="T33" s="54" t="s">
        <v>160</v>
      </c>
      <c r="U33" s="64"/>
      <c r="V33" s="65"/>
      <c r="W33" s="64"/>
      <c r="X33" s="65"/>
      <c r="Y33" s="56" t="str">
        <f t="shared" si="11"/>
        <v>不適用</v>
      </c>
      <c r="Z33" s="58"/>
    </row>
    <row r="34" spans="1:26">
      <c r="A34" s="52" t="str">
        <f t="shared" si="10"/>
        <v>材1-1-DA-05</v>
      </c>
      <c r="B34" s="52">
        <f t="shared" si="0"/>
        <v>0</v>
      </c>
      <c r="C34" s="52" t="str">
        <f t="shared" si="1"/>
        <v>合約書(SCAN檔)</v>
      </c>
      <c r="D34" s="52" t="str">
        <f t="shared" si="2"/>
        <v>包括合約書與簽約執行計畫書(SCAN檔)</v>
      </c>
      <c r="E34" s="52">
        <f t="shared" si="3"/>
        <v>1</v>
      </c>
      <c r="F34" s="52" t="str">
        <f t="shared" si="4"/>
        <v>吳榮正</v>
      </c>
      <c r="G34" s="52">
        <f t="shared" si="5"/>
        <v>3</v>
      </c>
      <c r="H34" s="52">
        <f t="shared" si="6"/>
        <v>3</v>
      </c>
      <c r="I34" s="52">
        <f t="shared" si="7"/>
        <v>2</v>
      </c>
      <c r="J34" s="52" t="str">
        <f t="shared" si="8"/>
        <v>NA</v>
      </c>
      <c r="K34" s="53">
        <f t="shared" si="9"/>
        <v>3</v>
      </c>
      <c r="L34" s="53">
        <f>$S$7</f>
        <v>12</v>
      </c>
      <c r="M34" s="180" t="s">
        <v>147</v>
      </c>
      <c r="N34" s="181"/>
      <c r="O34" s="182"/>
      <c r="P34" s="183" t="s">
        <v>148</v>
      </c>
      <c r="Q34" s="184"/>
      <c r="R34" s="184"/>
      <c r="S34" s="168"/>
      <c r="T34" s="54" t="s">
        <v>160</v>
      </c>
      <c r="U34" s="54"/>
      <c r="V34" s="55"/>
      <c r="W34" s="54"/>
      <c r="X34" s="55"/>
      <c r="Y34" s="60" t="str">
        <f t="shared" si="11"/>
        <v>不適用</v>
      </c>
      <c r="Z34" s="54"/>
    </row>
    <row r="39" spans="1:26">
      <c r="M39" s="7"/>
    </row>
  </sheetData>
  <sheetProtection formatCells="0" formatColumns="0" formatRows="0" insertColumns="0" insertRows="0" insertHyperlinks="0" deleteColumns="0" deleteRows="0" sort="0" autoFilter="0" pivotTables="0"/>
  <autoFilter ref="M10:Z10" xr:uid="{00000000-0009-0000-0000-000007000000}">
    <filterColumn colId="0" showButton="0"/>
    <filterColumn colId="1" showButton="0"/>
    <filterColumn colId="3" showButton="0"/>
    <filterColumn colId="4" showButton="0"/>
    <filterColumn colId="5" showButton="0"/>
  </autoFilter>
  <mergeCells count="57">
    <mergeCell ref="M34:O34"/>
    <mergeCell ref="P34:S34"/>
    <mergeCell ref="M31:O31"/>
    <mergeCell ref="P31:S31"/>
    <mergeCell ref="M32:O32"/>
    <mergeCell ref="P32:S32"/>
    <mergeCell ref="M33:O33"/>
    <mergeCell ref="P33:S33"/>
    <mergeCell ref="M28:O28"/>
    <mergeCell ref="P28:S28"/>
    <mergeCell ref="M29:O29"/>
    <mergeCell ref="P29:S29"/>
    <mergeCell ref="M30:O30"/>
    <mergeCell ref="P30:S30"/>
    <mergeCell ref="M25:O25"/>
    <mergeCell ref="P25:S25"/>
    <mergeCell ref="M26:O26"/>
    <mergeCell ref="P26:S26"/>
    <mergeCell ref="M27:O27"/>
    <mergeCell ref="P27:S27"/>
    <mergeCell ref="M22:O22"/>
    <mergeCell ref="P22:S22"/>
    <mergeCell ref="M23:O23"/>
    <mergeCell ref="P23:S23"/>
    <mergeCell ref="M24:O24"/>
    <mergeCell ref="P24:S24"/>
    <mergeCell ref="M19:O19"/>
    <mergeCell ref="P19:S19"/>
    <mergeCell ref="M20:O20"/>
    <mergeCell ref="P20:S20"/>
    <mergeCell ref="M21:O21"/>
    <mergeCell ref="P21:S21"/>
    <mergeCell ref="M16:O16"/>
    <mergeCell ref="P16:S16"/>
    <mergeCell ref="M17:O17"/>
    <mergeCell ref="P17:S17"/>
    <mergeCell ref="M18:O18"/>
    <mergeCell ref="P18:S18"/>
    <mergeCell ref="M13:O13"/>
    <mergeCell ref="P13:S13"/>
    <mergeCell ref="M14:O14"/>
    <mergeCell ref="P14:S14"/>
    <mergeCell ref="M15:O15"/>
    <mergeCell ref="P15:S15"/>
    <mergeCell ref="M12:O12"/>
    <mergeCell ref="P12:S12"/>
    <mergeCell ref="M1:Z1"/>
    <mergeCell ref="N2:P2"/>
    <mergeCell ref="N3:P3"/>
    <mergeCell ref="N4:P4"/>
    <mergeCell ref="N5:P5"/>
    <mergeCell ref="N6:P6"/>
    <mergeCell ref="N7:P7"/>
    <mergeCell ref="M10:O10"/>
    <mergeCell ref="P10:S10"/>
    <mergeCell ref="M11:O11"/>
    <mergeCell ref="P11:S11"/>
  </mergeCells>
  <phoneticPr fontId="1" type="noConversion"/>
  <dataValidations count="2">
    <dataValidation type="list" allowBlank="1" showInputMessage="1" showErrorMessage="1" sqref="T65546:T65569 JI65546:JI65569 TE65546:TE65569 ADA65546:ADA65569 AMW65546:AMW65569 AWS65546:AWS65569 BGO65546:BGO65569 BQK65546:BQK65569 CAG65546:CAG65569 CKC65546:CKC65569 CTY65546:CTY65569 DDU65546:DDU65569 DNQ65546:DNQ65569 DXM65546:DXM65569 EHI65546:EHI65569 ERE65546:ERE65569 FBA65546:FBA65569 FKW65546:FKW65569 FUS65546:FUS65569 GEO65546:GEO65569 GOK65546:GOK65569 GYG65546:GYG65569 HIC65546:HIC65569 HRY65546:HRY65569 IBU65546:IBU65569 ILQ65546:ILQ65569 IVM65546:IVM65569 JFI65546:JFI65569 JPE65546:JPE65569 JZA65546:JZA65569 KIW65546:KIW65569 KSS65546:KSS65569 LCO65546:LCO65569 LMK65546:LMK65569 LWG65546:LWG65569 MGC65546:MGC65569 MPY65546:MPY65569 MZU65546:MZU65569 NJQ65546:NJQ65569 NTM65546:NTM65569 ODI65546:ODI65569 ONE65546:ONE65569 OXA65546:OXA65569 PGW65546:PGW65569 PQS65546:PQS65569 QAO65546:QAO65569 QKK65546:QKK65569 QUG65546:QUG65569 REC65546:REC65569 RNY65546:RNY65569 RXU65546:RXU65569 SHQ65546:SHQ65569 SRM65546:SRM65569 TBI65546:TBI65569 TLE65546:TLE65569 TVA65546:TVA65569 UEW65546:UEW65569 UOS65546:UOS65569 UYO65546:UYO65569 VIK65546:VIK65569 VSG65546:VSG65569 WCC65546:WCC65569 WLY65546:WLY65569 WVU65546:WVU65569 T131082:T131105 JI131082:JI131105 TE131082:TE131105 ADA131082:ADA131105 AMW131082:AMW131105 AWS131082:AWS131105 BGO131082:BGO131105 BQK131082:BQK131105 CAG131082:CAG131105 CKC131082:CKC131105 CTY131082:CTY131105 DDU131082:DDU131105 DNQ131082:DNQ131105 DXM131082:DXM131105 EHI131082:EHI131105 ERE131082:ERE131105 FBA131082:FBA131105 FKW131082:FKW131105 FUS131082:FUS131105 GEO131082:GEO131105 GOK131082:GOK131105 GYG131082:GYG131105 HIC131082:HIC131105 HRY131082:HRY131105 IBU131082:IBU131105 ILQ131082:ILQ131105 IVM131082:IVM131105 JFI131082:JFI131105 JPE131082:JPE131105 JZA131082:JZA131105 KIW131082:KIW131105 KSS131082:KSS131105 LCO131082:LCO131105 LMK131082:LMK131105 LWG131082:LWG131105 MGC131082:MGC131105 MPY131082:MPY131105 MZU131082:MZU131105 NJQ131082:NJQ131105 NTM131082:NTM131105 ODI131082:ODI131105 ONE131082:ONE131105 OXA131082:OXA131105 PGW131082:PGW131105 PQS131082:PQS131105 QAO131082:QAO131105 QKK131082:QKK131105 QUG131082:QUG131105 REC131082:REC131105 RNY131082:RNY131105 RXU131082:RXU131105 SHQ131082:SHQ131105 SRM131082:SRM131105 TBI131082:TBI131105 TLE131082:TLE131105 TVA131082:TVA131105 UEW131082:UEW131105 UOS131082:UOS131105 UYO131082:UYO131105 VIK131082:VIK131105 VSG131082:VSG131105 WCC131082:WCC131105 WLY131082:WLY131105 WVU131082:WVU131105 T196618:T196641 JI196618:JI196641 TE196618:TE196641 ADA196618:ADA196641 AMW196618:AMW196641 AWS196618:AWS196641 BGO196618:BGO196641 BQK196618:BQK196641 CAG196618:CAG196641 CKC196618:CKC196641 CTY196618:CTY196641 DDU196618:DDU196641 DNQ196618:DNQ196641 DXM196618:DXM196641 EHI196618:EHI196641 ERE196618:ERE196641 FBA196618:FBA196641 FKW196618:FKW196641 FUS196618:FUS196641 GEO196618:GEO196641 GOK196618:GOK196641 GYG196618:GYG196641 HIC196618:HIC196641 HRY196618:HRY196641 IBU196618:IBU196641 ILQ196618:ILQ196641 IVM196618:IVM196641 JFI196618:JFI196641 JPE196618:JPE196641 JZA196618:JZA196641 KIW196618:KIW196641 KSS196618:KSS196641 LCO196618:LCO196641 LMK196618:LMK196641 LWG196618:LWG196641 MGC196618:MGC196641 MPY196618:MPY196641 MZU196618:MZU196641 NJQ196618:NJQ196641 NTM196618:NTM196641 ODI196618:ODI196641 ONE196618:ONE196641 OXA196618:OXA196641 PGW196618:PGW196641 PQS196618:PQS196641 QAO196618:QAO196641 QKK196618:QKK196641 QUG196618:QUG196641 REC196618:REC196641 RNY196618:RNY196641 RXU196618:RXU196641 SHQ196618:SHQ196641 SRM196618:SRM196641 TBI196618:TBI196641 TLE196618:TLE196641 TVA196618:TVA196641 UEW196618:UEW196641 UOS196618:UOS196641 UYO196618:UYO196641 VIK196618:VIK196641 VSG196618:VSG196641 WCC196618:WCC196641 WLY196618:WLY196641 WVU196618:WVU196641 T262154:T262177 JI262154:JI262177 TE262154:TE262177 ADA262154:ADA262177 AMW262154:AMW262177 AWS262154:AWS262177 BGO262154:BGO262177 BQK262154:BQK262177 CAG262154:CAG262177 CKC262154:CKC262177 CTY262154:CTY262177 DDU262154:DDU262177 DNQ262154:DNQ262177 DXM262154:DXM262177 EHI262154:EHI262177 ERE262154:ERE262177 FBA262154:FBA262177 FKW262154:FKW262177 FUS262154:FUS262177 GEO262154:GEO262177 GOK262154:GOK262177 GYG262154:GYG262177 HIC262154:HIC262177 HRY262154:HRY262177 IBU262154:IBU262177 ILQ262154:ILQ262177 IVM262154:IVM262177 JFI262154:JFI262177 JPE262154:JPE262177 JZA262154:JZA262177 KIW262154:KIW262177 KSS262154:KSS262177 LCO262154:LCO262177 LMK262154:LMK262177 LWG262154:LWG262177 MGC262154:MGC262177 MPY262154:MPY262177 MZU262154:MZU262177 NJQ262154:NJQ262177 NTM262154:NTM262177 ODI262154:ODI262177 ONE262154:ONE262177 OXA262154:OXA262177 PGW262154:PGW262177 PQS262154:PQS262177 QAO262154:QAO262177 QKK262154:QKK262177 QUG262154:QUG262177 REC262154:REC262177 RNY262154:RNY262177 RXU262154:RXU262177 SHQ262154:SHQ262177 SRM262154:SRM262177 TBI262154:TBI262177 TLE262154:TLE262177 TVA262154:TVA262177 UEW262154:UEW262177 UOS262154:UOS262177 UYO262154:UYO262177 VIK262154:VIK262177 VSG262154:VSG262177 WCC262154:WCC262177 WLY262154:WLY262177 WVU262154:WVU262177 T327690:T327713 JI327690:JI327713 TE327690:TE327713 ADA327690:ADA327713 AMW327690:AMW327713 AWS327690:AWS327713 BGO327690:BGO327713 BQK327690:BQK327713 CAG327690:CAG327713 CKC327690:CKC327713 CTY327690:CTY327713 DDU327690:DDU327713 DNQ327690:DNQ327713 DXM327690:DXM327713 EHI327690:EHI327713 ERE327690:ERE327713 FBA327690:FBA327713 FKW327690:FKW327713 FUS327690:FUS327713 GEO327690:GEO327713 GOK327690:GOK327713 GYG327690:GYG327713 HIC327690:HIC327713 HRY327690:HRY327713 IBU327690:IBU327713 ILQ327690:ILQ327713 IVM327690:IVM327713 JFI327690:JFI327713 JPE327690:JPE327713 JZA327690:JZA327713 KIW327690:KIW327713 KSS327690:KSS327713 LCO327690:LCO327713 LMK327690:LMK327713 LWG327690:LWG327713 MGC327690:MGC327713 MPY327690:MPY327713 MZU327690:MZU327713 NJQ327690:NJQ327713 NTM327690:NTM327713 ODI327690:ODI327713 ONE327690:ONE327713 OXA327690:OXA327713 PGW327690:PGW327713 PQS327690:PQS327713 QAO327690:QAO327713 QKK327690:QKK327713 QUG327690:QUG327713 REC327690:REC327713 RNY327690:RNY327713 RXU327690:RXU327713 SHQ327690:SHQ327713 SRM327690:SRM327713 TBI327690:TBI327713 TLE327690:TLE327713 TVA327690:TVA327713 UEW327690:UEW327713 UOS327690:UOS327713 UYO327690:UYO327713 VIK327690:VIK327713 VSG327690:VSG327713 WCC327690:WCC327713 WLY327690:WLY327713 WVU327690:WVU327713 T393226:T393249 JI393226:JI393249 TE393226:TE393249 ADA393226:ADA393249 AMW393226:AMW393249 AWS393226:AWS393249 BGO393226:BGO393249 BQK393226:BQK393249 CAG393226:CAG393249 CKC393226:CKC393249 CTY393226:CTY393249 DDU393226:DDU393249 DNQ393226:DNQ393249 DXM393226:DXM393249 EHI393226:EHI393249 ERE393226:ERE393249 FBA393226:FBA393249 FKW393226:FKW393249 FUS393226:FUS393249 GEO393226:GEO393249 GOK393226:GOK393249 GYG393226:GYG393249 HIC393226:HIC393249 HRY393226:HRY393249 IBU393226:IBU393249 ILQ393226:ILQ393249 IVM393226:IVM393249 JFI393226:JFI393249 JPE393226:JPE393249 JZA393226:JZA393249 KIW393226:KIW393249 KSS393226:KSS393249 LCO393226:LCO393249 LMK393226:LMK393249 LWG393226:LWG393249 MGC393226:MGC393249 MPY393226:MPY393249 MZU393226:MZU393249 NJQ393226:NJQ393249 NTM393226:NTM393249 ODI393226:ODI393249 ONE393226:ONE393249 OXA393226:OXA393249 PGW393226:PGW393249 PQS393226:PQS393249 QAO393226:QAO393249 QKK393226:QKK393249 QUG393226:QUG393249 REC393226:REC393249 RNY393226:RNY393249 RXU393226:RXU393249 SHQ393226:SHQ393249 SRM393226:SRM393249 TBI393226:TBI393249 TLE393226:TLE393249 TVA393226:TVA393249 UEW393226:UEW393249 UOS393226:UOS393249 UYO393226:UYO393249 VIK393226:VIK393249 VSG393226:VSG393249 WCC393226:WCC393249 WLY393226:WLY393249 WVU393226:WVU393249 T458762:T458785 JI458762:JI458785 TE458762:TE458785 ADA458762:ADA458785 AMW458762:AMW458785 AWS458762:AWS458785 BGO458762:BGO458785 BQK458762:BQK458785 CAG458762:CAG458785 CKC458762:CKC458785 CTY458762:CTY458785 DDU458762:DDU458785 DNQ458762:DNQ458785 DXM458762:DXM458785 EHI458762:EHI458785 ERE458762:ERE458785 FBA458762:FBA458785 FKW458762:FKW458785 FUS458762:FUS458785 GEO458762:GEO458785 GOK458762:GOK458785 GYG458762:GYG458785 HIC458762:HIC458785 HRY458762:HRY458785 IBU458762:IBU458785 ILQ458762:ILQ458785 IVM458762:IVM458785 JFI458762:JFI458785 JPE458762:JPE458785 JZA458762:JZA458785 KIW458762:KIW458785 KSS458762:KSS458785 LCO458762:LCO458785 LMK458762:LMK458785 LWG458762:LWG458785 MGC458762:MGC458785 MPY458762:MPY458785 MZU458762:MZU458785 NJQ458762:NJQ458785 NTM458762:NTM458785 ODI458762:ODI458785 ONE458762:ONE458785 OXA458762:OXA458785 PGW458762:PGW458785 PQS458762:PQS458785 QAO458762:QAO458785 QKK458762:QKK458785 QUG458762:QUG458785 REC458762:REC458785 RNY458762:RNY458785 RXU458762:RXU458785 SHQ458762:SHQ458785 SRM458762:SRM458785 TBI458762:TBI458785 TLE458762:TLE458785 TVA458762:TVA458785 UEW458762:UEW458785 UOS458762:UOS458785 UYO458762:UYO458785 VIK458762:VIK458785 VSG458762:VSG458785 WCC458762:WCC458785 WLY458762:WLY458785 WVU458762:WVU458785 T524298:T524321 JI524298:JI524321 TE524298:TE524321 ADA524298:ADA524321 AMW524298:AMW524321 AWS524298:AWS524321 BGO524298:BGO524321 BQK524298:BQK524321 CAG524298:CAG524321 CKC524298:CKC524321 CTY524298:CTY524321 DDU524298:DDU524321 DNQ524298:DNQ524321 DXM524298:DXM524321 EHI524298:EHI524321 ERE524298:ERE524321 FBA524298:FBA524321 FKW524298:FKW524321 FUS524298:FUS524321 GEO524298:GEO524321 GOK524298:GOK524321 GYG524298:GYG524321 HIC524298:HIC524321 HRY524298:HRY524321 IBU524298:IBU524321 ILQ524298:ILQ524321 IVM524298:IVM524321 JFI524298:JFI524321 JPE524298:JPE524321 JZA524298:JZA524321 KIW524298:KIW524321 KSS524298:KSS524321 LCO524298:LCO524321 LMK524298:LMK524321 LWG524298:LWG524321 MGC524298:MGC524321 MPY524298:MPY524321 MZU524298:MZU524321 NJQ524298:NJQ524321 NTM524298:NTM524321 ODI524298:ODI524321 ONE524298:ONE524321 OXA524298:OXA524321 PGW524298:PGW524321 PQS524298:PQS524321 QAO524298:QAO524321 QKK524298:QKK524321 QUG524298:QUG524321 REC524298:REC524321 RNY524298:RNY524321 RXU524298:RXU524321 SHQ524298:SHQ524321 SRM524298:SRM524321 TBI524298:TBI524321 TLE524298:TLE524321 TVA524298:TVA524321 UEW524298:UEW524321 UOS524298:UOS524321 UYO524298:UYO524321 VIK524298:VIK524321 VSG524298:VSG524321 WCC524298:WCC524321 WLY524298:WLY524321 WVU524298:WVU524321 T589834:T589857 JI589834:JI589857 TE589834:TE589857 ADA589834:ADA589857 AMW589834:AMW589857 AWS589834:AWS589857 BGO589834:BGO589857 BQK589834:BQK589857 CAG589834:CAG589857 CKC589834:CKC589857 CTY589834:CTY589857 DDU589834:DDU589857 DNQ589834:DNQ589857 DXM589834:DXM589857 EHI589834:EHI589857 ERE589834:ERE589857 FBA589834:FBA589857 FKW589834:FKW589857 FUS589834:FUS589857 GEO589834:GEO589857 GOK589834:GOK589857 GYG589834:GYG589857 HIC589834:HIC589857 HRY589834:HRY589857 IBU589834:IBU589857 ILQ589834:ILQ589857 IVM589834:IVM589857 JFI589834:JFI589857 JPE589834:JPE589857 JZA589834:JZA589857 KIW589834:KIW589857 KSS589834:KSS589857 LCO589834:LCO589857 LMK589834:LMK589857 LWG589834:LWG589857 MGC589834:MGC589857 MPY589834:MPY589857 MZU589834:MZU589857 NJQ589834:NJQ589857 NTM589834:NTM589857 ODI589834:ODI589857 ONE589834:ONE589857 OXA589834:OXA589857 PGW589834:PGW589857 PQS589834:PQS589857 QAO589834:QAO589857 QKK589834:QKK589857 QUG589834:QUG589857 REC589834:REC589857 RNY589834:RNY589857 RXU589834:RXU589857 SHQ589834:SHQ589857 SRM589834:SRM589857 TBI589834:TBI589857 TLE589834:TLE589857 TVA589834:TVA589857 UEW589834:UEW589857 UOS589834:UOS589857 UYO589834:UYO589857 VIK589834:VIK589857 VSG589834:VSG589857 WCC589834:WCC589857 WLY589834:WLY589857 WVU589834:WVU589857 T655370:T655393 JI655370:JI655393 TE655370:TE655393 ADA655370:ADA655393 AMW655370:AMW655393 AWS655370:AWS655393 BGO655370:BGO655393 BQK655370:BQK655393 CAG655370:CAG655393 CKC655370:CKC655393 CTY655370:CTY655393 DDU655370:DDU655393 DNQ655370:DNQ655393 DXM655370:DXM655393 EHI655370:EHI655393 ERE655370:ERE655393 FBA655370:FBA655393 FKW655370:FKW655393 FUS655370:FUS655393 GEO655370:GEO655393 GOK655370:GOK655393 GYG655370:GYG655393 HIC655370:HIC655393 HRY655370:HRY655393 IBU655370:IBU655393 ILQ655370:ILQ655393 IVM655370:IVM655393 JFI655370:JFI655393 JPE655370:JPE655393 JZA655370:JZA655393 KIW655370:KIW655393 KSS655370:KSS655393 LCO655370:LCO655393 LMK655370:LMK655393 LWG655370:LWG655393 MGC655370:MGC655393 MPY655370:MPY655393 MZU655370:MZU655393 NJQ655370:NJQ655393 NTM655370:NTM655393 ODI655370:ODI655393 ONE655370:ONE655393 OXA655370:OXA655393 PGW655370:PGW655393 PQS655370:PQS655393 QAO655370:QAO655393 QKK655370:QKK655393 QUG655370:QUG655393 REC655370:REC655393 RNY655370:RNY655393 RXU655370:RXU655393 SHQ655370:SHQ655393 SRM655370:SRM655393 TBI655370:TBI655393 TLE655370:TLE655393 TVA655370:TVA655393 UEW655370:UEW655393 UOS655370:UOS655393 UYO655370:UYO655393 VIK655370:VIK655393 VSG655370:VSG655393 WCC655370:WCC655393 WLY655370:WLY655393 WVU655370:WVU655393 T720906:T720929 JI720906:JI720929 TE720906:TE720929 ADA720906:ADA720929 AMW720906:AMW720929 AWS720906:AWS720929 BGO720906:BGO720929 BQK720906:BQK720929 CAG720906:CAG720929 CKC720906:CKC720929 CTY720906:CTY720929 DDU720906:DDU720929 DNQ720906:DNQ720929 DXM720906:DXM720929 EHI720906:EHI720929 ERE720906:ERE720929 FBA720906:FBA720929 FKW720906:FKW720929 FUS720906:FUS720929 GEO720906:GEO720929 GOK720906:GOK720929 GYG720906:GYG720929 HIC720906:HIC720929 HRY720906:HRY720929 IBU720906:IBU720929 ILQ720906:ILQ720929 IVM720906:IVM720929 JFI720906:JFI720929 JPE720906:JPE720929 JZA720906:JZA720929 KIW720906:KIW720929 KSS720906:KSS720929 LCO720906:LCO720929 LMK720906:LMK720929 LWG720906:LWG720929 MGC720906:MGC720929 MPY720906:MPY720929 MZU720906:MZU720929 NJQ720906:NJQ720929 NTM720906:NTM720929 ODI720906:ODI720929 ONE720906:ONE720929 OXA720906:OXA720929 PGW720906:PGW720929 PQS720906:PQS720929 QAO720906:QAO720929 QKK720906:QKK720929 QUG720906:QUG720929 REC720906:REC720929 RNY720906:RNY720929 RXU720906:RXU720929 SHQ720906:SHQ720929 SRM720906:SRM720929 TBI720906:TBI720929 TLE720906:TLE720929 TVA720906:TVA720929 UEW720906:UEW720929 UOS720906:UOS720929 UYO720906:UYO720929 VIK720906:VIK720929 VSG720906:VSG720929 WCC720906:WCC720929 WLY720906:WLY720929 WVU720906:WVU720929 T786442:T786465 JI786442:JI786465 TE786442:TE786465 ADA786442:ADA786465 AMW786442:AMW786465 AWS786442:AWS786465 BGO786442:BGO786465 BQK786442:BQK786465 CAG786442:CAG786465 CKC786442:CKC786465 CTY786442:CTY786465 DDU786442:DDU786465 DNQ786442:DNQ786465 DXM786442:DXM786465 EHI786442:EHI786465 ERE786442:ERE786465 FBA786442:FBA786465 FKW786442:FKW786465 FUS786442:FUS786465 GEO786442:GEO786465 GOK786442:GOK786465 GYG786442:GYG786465 HIC786442:HIC786465 HRY786442:HRY786465 IBU786442:IBU786465 ILQ786442:ILQ786465 IVM786442:IVM786465 JFI786442:JFI786465 JPE786442:JPE786465 JZA786442:JZA786465 KIW786442:KIW786465 KSS786442:KSS786465 LCO786442:LCO786465 LMK786442:LMK786465 LWG786442:LWG786465 MGC786442:MGC786465 MPY786442:MPY786465 MZU786442:MZU786465 NJQ786442:NJQ786465 NTM786442:NTM786465 ODI786442:ODI786465 ONE786442:ONE786465 OXA786442:OXA786465 PGW786442:PGW786465 PQS786442:PQS786465 QAO786442:QAO786465 QKK786442:QKK786465 QUG786442:QUG786465 REC786442:REC786465 RNY786442:RNY786465 RXU786442:RXU786465 SHQ786442:SHQ786465 SRM786442:SRM786465 TBI786442:TBI786465 TLE786442:TLE786465 TVA786442:TVA786465 UEW786442:UEW786465 UOS786442:UOS786465 UYO786442:UYO786465 VIK786442:VIK786465 VSG786442:VSG786465 WCC786442:WCC786465 WLY786442:WLY786465 WVU786442:WVU786465 T851978:T852001 JI851978:JI852001 TE851978:TE852001 ADA851978:ADA852001 AMW851978:AMW852001 AWS851978:AWS852001 BGO851978:BGO852001 BQK851978:BQK852001 CAG851978:CAG852001 CKC851978:CKC852001 CTY851978:CTY852001 DDU851978:DDU852001 DNQ851978:DNQ852001 DXM851978:DXM852001 EHI851978:EHI852001 ERE851978:ERE852001 FBA851978:FBA852001 FKW851978:FKW852001 FUS851978:FUS852001 GEO851978:GEO852001 GOK851978:GOK852001 GYG851978:GYG852001 HIC851978:HIC852001 HRY851978:HRY852001 IBU851978:IBU852001 ILQ851978:ILQ852001 IVM851978:IVM852001 JFI851978:JFI852001 JPE851978:JPE852001 JZA851978:JZA852001 KIW851978:KIW852001 KSS851978:KSS852001 LCO851978:LCO852001 LMK851978:LMK852001 LWG851978:LWG852001 MGC851978:MGC852001 MPY851978:MPY852001 MZU851978:MZU852001 NJQ851978:NJQ852001 NTM851978:NTM852001 ODI851978:ODI852001 ONE851978:ONE852001 OXA851978:OXA852001 PGW851978:PGW852001 PQS851978:PQS852001 QAO851978:QAO852001 QKK851978:QKK852001 QUG851978:QUG852001 REC851978:REC852001 RNY851978:RNY852001 RXU851978:RXU852001 SHQ851978:SHQ852001 SRM851978:SRM852001 TBI851978:TBI852001 TLE851978:TLE852001 TVA851978:TVA852001 UEW851978:UEW852001 UOS851978:UOS852001 UYO851978:UYO852001 VIK851978:VIK852001 VSG851978:VSG852001 WCC851978:WCC852001 WLY851978:WLY852001 WVU851978:WVU852001 T917514:T917537 JI917514:JI917537 TE917514:TE917537 ADA917514:ADA917537 AMW917514:AMW917537 AWS917514:AWS917537 BGO917514:BGO917537 BQK917514:BQK917537 CAG917514:CAG917537 CKC917514:CKC917537 CTY917514:CTY917537 DDU917514:DDU917537 DNQ917514:DNQ917537 DXM917514:DXM917537 EHI917514:EHI917537 ERE917514:ERE917537 FBA917514:FBA917537 FKW917514:FKW917537 FUS917514:FUS917537 GEO917514:GEO917537 GOK917514:GOK917537 GYG917514:GYG917537 HIC917514:HIC917537 HRY917514:HRY917537 IBU917514:IBU917537 ILQ917514:ILQ917537 IVM917514:IVM917537 JFI917514:JFI917537 JPE917514:JPE917537 JZA917514:JZA917537 KIW917514:KIW917537 KSS917514:KSS917537 LCO917514:LCO917537 LMK917514:LMK917537 LWG917514:LWG917537 MGC917514:MGC917537 MPY917514:MPY917537 MZU917514:MZU917537 NJQ917514:NJQ917537 NTM917514:NTM917537 ODI917514:ODI917537 ONE917514:ONE917537 OXA917514:OXA917537 PGW917514:PGW917537 PQS917514:PQS917537 QAO917514:QAO917537 QKK917514:QKK917537 QUG917514:QUG917537 REC917514:REC917537 RNY917514:RNY917537 RXU917514:RXU917537 SHQ917514:SHQ917537 SRM917514:SRM917537 TBI917514:TBI917537 TLE917514:TLE917537 TVA917514:TVA917537 UEW917514:UEW917537 UOS917514:UOS917537 UYO917514:UYO917537 VIK917514:VIK917537 VSG917514:VSG917537 WCC917514:WCC917537 WLY917514:WLY917537 WVU917514:WVU917537 T983050:T983073 JI983050:JI983073 TE983050:TE983073 ADA983050:ADA983073 AMW983050:AMW983073 AWS983050:AWS983073 BGO983050:BGO983073 BQK983050:BQK983073 CAG983050:CAG983073 CKC983050:CKC983073 CTY983050:CTY983073 DDU983050:DDU983073 DNQ983050:DNQ983073 DXM983050:DXM983073 EHI983050:EHI983073 ERE983050:ERE983073 FBA983050:FBA983073 FKW983050:FKW983073 FUS983050:FUS983073 GEO983050:GEO983073 GOK983050:GOK983073 GYG983050:GYG983073 HIC983050:HIC983073 HRY983050:HRY983073 IBU983050:IBU983073 ILQ983050:ILQ983073 IVM983050:IVM983073 JFI983050:JFI983073 JPE983050:JPE983073 JZA983050:JZA983073 KIW983050:KIW983073 KSS983050:KSS983073 LCO983050:LCO983073 LMK983050:LMK983073 LWG983050:LWG983073 MGC983050:MGC983073 MPY983050:MPY983073 MZU983050:MZU983073 NJQ983050:NJQ983073 NTM983050:NTM983073 ODI983050:ODI983073 ONE983050:ONE983073 OXA983050:OXA983073 PGW983050:PGW983073 PQS983050:PQS983073 QAO983050:QAO983073 QKK983050:QKK983073 QUG983050:QUG983073 REC983050:REC983073 RNY983050:RNY983073 RXU983050:RXU983073 SHQ983050:SHQ983073 SRM983050:SRM983073 TBI983050:TBI983073 TLE983050:TLE983073 TVA983050:TVA983073 UEW983050:UEW983073 UOS983050:UOS983073 UYO983050:UYO983073 VIK983050:VIK983073 VSG983050:VSG983073 WCC983050:WCC983073 WLY983050:WLY983073 WVU983050:WVU983073 IT11:IT23 WVF11:WVF23 WLJ11:WLJ23 WBN11:WBN23 VRR11:VRR23 VHV11:VHV23 UXZ11:UXZ23 UOD11:UOD23 UEH11:UEH23 TUL11:TUL23 TKP11:TKP23 TAT11:TAT23 SQX11:SQX23 SHB11:SHB23 RXF11:RXF23 RNJ11:RNJ23 RDN11:RDN23 QTR11:QTR23 QJV11:QJV23 PZZ11:PZZ23 PQD11:PQD23 PGH11:PGH23 OWL11:OWL23 OMP11:OMP23 OCT11:OCT23 NSX11:NSX23 NJB11:NJB23 MZF11:MZF23 MPJ11:MPJ23 MFN11:MFN23 LVR11:LVR23 LLV11:LLV23 LBZ11:LBZ23 KSD11:KSD23 KIH11:KIH23 JYL11:JYL23 JOP11:JOP23 JET11:JET23 IUX11:IUX23 ILB11:ILB23 IBF11:IBF23 HRJ11:HRJ23 HHN11:HHN23 GXR11:GXR23 GNV11:GNV23 GDZ11:GDZ23 FUD11:FUD23 FKH11:FKH23 FAL11:FAL23 EQP11:EQP23 EGT11:EGT23 DWX11:DWX23 DNB11:DNB23 DDF11:DDF23 CTJ11:CTJ23 CJN11:CJN23 BZR11:BZR23 BPV11:BPV23 BFZ11:BFZ23 AWD11:AWD23 AMH11:AMH23 ACL11:ACL23 SP11:SP23 T11:T34" xr:uid="{00000000-0002-0000-0700-000000000000}">
      <formula1>"Y,N"</formula1>
    </dataValidation>
    <dataValidation type="list" allowBlank="1" showInputMessage="1" showErrorMessage="1" sqref="WVX983050:WVX983073 JH5:JH7 TD5:TD7 ACZ5:ACZ7 AMV5:AMV7 AWR5:AWR7 BGN5:BGN7 BQJ5:BQJ7 CAF5:CAF7 CKB5:CKB7 CTX5:CTX7 DDT5:DDT7 DNP5:DNP7 DXL5:DXL7 EHH5:EHH7 ERD5:ERD7 FAZ5:FAZ7 FKV5:FKV7 FUR5:FUR7 GEN5:GEN7 GOJ5:GOJ7 GYF5:GYF7 HIB5:HIB7 HRX5:HRX7 IBT5:IBT7 ILP5:ILP7 IVL5:IVL7 JFH5:JFH7 JPD5:JPD7 JYZ5:JYZ7 KIV5:KIV7 KSR5:KSR7 LCN5:LCN7 LMJ5:LMJ7 LWF5:LWF7 MGB5:MGB7 MPX5:MPX7 MZT5:MZT7 NJP5:NJP7 NTL5:NTL7 ODH5:ODH7 OND5:OND7 OWZ5:OWZ7 PGV5:PGV7 PQR5:PQR7 QAN5:QAN7 QKJ5:QKJ7 QUF5:QUF7 REB5:REB7 RNX5:RNX7 RXT5:RXT7 SHP5:SHP7 SRL5:SRL7 TBH5:TBH7 TLD5:TLD7 TUZ5:TUZ7 UEV5:UEV7 UOR5:UOR7 UYN5:UYN7 VIJ5:VIJ7 VSF5:VSF7 WCB5:WCB7 WLX5:WLX7 WVT5:WVT7 S65540:S65542 JH65540:JH65542 TD65540:TD65542 ACZ65540:ACZ65542 AMV65540:AMV65542 AWR65540:AWR65542 BGN65540:BGN65542 BQJ65540:BQJ65542 CAF65540:CAF65542 CKB65540:CKB65542 CTX65540:CTX65542 DDT65540:DDT65542 DNP65540:DNP65542 DXL65540:DXL65542 EHH65540:EHH65542 ERD65540:ERD65542 FAZ65540:FAZ65542 FKV65540:FKV65542 FUR65540:FUR65542 GEN65540:GEN65542 GOJ65540:GOJ65542 GYF65540:GYF65542 HIB65540:HIB65542 HRX65540:HRX65542 IBT65540:IBT65542 ILP65540:ILP65542 IVL65540:IVL65542 JFH65540:JFH65542 JPD65540:JPD65542 JYZ65540:JYZ65542 KIV65540:KIV65542 KSR65540:KSR65542 LCN65540:LCN65542 LMJ65540:LMJ65542 LWF65540:LWF65542 MGB65540:MGB65542 MPX65540:MPX65542 MZT65540:MZT65542 NJP65540:NJP65542 NTL65540:NTL65542 ODH65540:ODH65542 OND65540:OND65542 OWZ65540:OWZ65542 PGV65540:PGV65542 PQR65540:PQR65542 QAN65540:QAN65542 QKJ65540:QKJ65542 QUF65540:QUF65542 REB65540:REB65542 RNX65540:RNX65542 RXT65540:RXT65542 SHP65540:SHP65542 SRL65540:SRL65542 TBH65540:TBH65542 TLD65540:TLD65542 TUZ65540:TUZ65542 UEV65540:UEV65542 UOR65540:UOR65542 UYN65540:UYN65542 VIJ65540:VIJ65542 VSF65540:VSF65542 WCB65540:WCB65542 WLX65540:WLX65542 WVT65540:WVT65542 S131076:S131078 JH131076:JH131078 TD131076:TD131078 ACZ131076:ACZ131078 AMV131076:AMV131078 AWR131076:AWR131078 BGN131076:BGN131078 BQJ131076:BQJ131078 CAF131076:CAF131078 CKB131076:CKB131078 CTX131076:CTX131078 DDT131076:DDT131078 DNP131076:DNP131078 DXL131076:DXL131078 EHH131076:EHH131078 ERD131076:ERD131078 FAZ131076:FAZ131078 FKV131076:FKV131078 FUR131076:FUR131078 GEN131076:GEN131078 GOJ131076:GOJ131078 GYF131076:GYF131078 HIB131076:HIB131078 HRX131076:HRX131078 IBT131076:IBT131078 ILP131076:ILP131078 IVL131076:IVL131078 JFH131076:JFH131078 JPD131076:JPD131078 JYZ131076:JYZ131078 KIV131076:KIV131078 KSR131076:KSR131078 LCN131076:LCN131078 LMJ131076:LMJ131078 LWF131076:LWF131078 MGB131076:MGB131078 MPX131076:MPX131078 MZT131076:MZT131078 NJP131076:NJP131078 NTL131076:NTL131078 ODH131076:ODH131078 OND131076:OND131078 OWZ131076:OWZ131078 PGV131076:PGV131078 PQR131076:PQR131078 QAN131076:QAN131078 QKJ131076:QKJ131078 QUF131076:QUF131078 REB131076:REB131078 RNX131076:RNX131078 RXT131076:RXT131078 SHP131076:SHP131078 SRL131076:SRL131078 TBH131076:TBH131078 TLD131076:TLD131078 TUZ131076:TUZ131078 UEV131076:UEV131078 UOR131076:UOR131078 UYN131076:UYN131078 VIJ131076:VIJ131078 VSF131076:VSF131078 WCB131076:WCB131078 WLX131076:WLX131078 WVT131076:WVT131078 S196612:S196614 JH196612:JH196614 TD196612:TD196614 ACZ196612:ACZ196614 AMV196612:AMV196614 AWR196612:AWR196614 BGN196612:BGN196614 BQJ196612:BQJ196614 CAF196612:CAF196614 CKB196612:CKB196614 CTX196612:CTX196614 DDT196612:DDT196614 DNP196612:DNP196614 DXL196612:DXL196614 EHH196612:EHH196614 ERD196612:ERD196614 FAZ196612:FAZ196614 FKV196612:FKV196614 FUR196612:FUR196614 GEN196612:GEN196614 GOJ196612:GOJ196614 GYF196612:GYF196614 HIB196612:HIB196614 HRX196612:HRX196614 IBT196612:IBT196614 ILP196612:ILP196614 IVL196612:IVL196614 JFH196612:JFH196614 JPD196612:JPD196614 JYZ196612:JYZ196614 KIV196612:KIV196614 KSR196612:KSR196614 LCN196612:LCN196614 LMJ196612:LMJ196614 LWF196612:LWF196614 MGB196612:MGB196614 MPX196612:MPX196614 MZT196612:MZT196614 NJP196612:NJP196614 NTL196612:NTL196614 ODH196612:ODH196614 OND196612:OND196614 OWZ196612:OWZ196614 PGV196612:PGV196614 PQR196612:PQR196614 QAN196612:QAN196614 QKJ196612:QKJ196614 QUF196612:QUF196614 REB196612:REB196614 RNX196612:RNX196614 RXT196612:RXT196614 SHP196612:SHP196614 SRL196612:SRL196614 TBH196612:TBH196614 TLD196612:TLD196614 TUZ196612:TUZ196614 UEV196612:UEV196614 UOR196612:UOR196614 UYN196612:UYN196614 VIJ196612:VIJ196614 VSF196612:VSF196614 WCB196612:WCB196614 WLX196612:WLX196614 WVT196612:WVT196614 S262148:S262150 JH262148:JH262150 TD262148:TD262150 ACZ262148:ACZ262150 AMV262148:AMV262150 AWR262148:AWR262150 BGN262148:BGN262150 BQJ262148:BQJ262150 CAF262148:CAF262150 CKB262148:CKB262150 CTX262148:CTX262150 DDT262148:DDT262150 DNP262148:DNP262150 DXL262148:DXL262150 EHH262148:EHH262150 ERD262148:ERD262150 FAZ262148:FAZ262150 FKV262148:FKV262150 FUR262148:FUR262150 GEN262148:GEN262150 GOJ262148:GOJ262150 GYF262148:GYF262150 HIB262148:HIB262150 HRX262148:HRX262150 IBT262148:IBT262150 ILP262148:ILP262150 IVL262148:IVL262150 JFH262148:JFH262150 JPD262148:JPD262150 JYZ262148:JYZ262150 KIV262148:KIV262150 KSR262148:KSR262150 LCN262148:LCN262150 LMJ262148:LMJ262150 LWF262148:LWF262150 MGB262148:MGB262150 MPX262148:MPX262150 MZT262148:MZT262150 NJP262148:NJP262150 NTL262148:NTL262150 ODH262148:ODH262150 OND262148:OND262150 OWZ262148:OWZ262150 PGV262148:PGV262150 PQR262148:PQR262150 QAN262148:QAN262150 QKJ262148:QKJ262150 QUF262148:QUF262150 REB262148:REB262150 RNX262148:RNX262150 RXT262148:RXT262150 SHP262148:SHP262150 SRL262148:SRL262150 TBH262148:TBH262150 TLD262148:TLD262150 TUZ262148:TUZ262150 UEV262148:UEV262150 UOR262148:UOR262150 UYN262148:UYN262150 VIJ262148:VIJ262150 VSF262148:VSF262150 WCB262148:WCB262150 WLX262148:WLX262150 WVT262148:WVT262150 S327684:S327686 JH327684:JH327686 TD327684:TD327686 ACZ327684:ACZ327686 AMV327684:AMV327686 AWR327684:AWR327686 BGN327684:BGN327686 BQJ327684:BQJ327686 CAF327684:CAF327686 CKB327684:CKB327686 CTX327684:CTX327686 DDT327684:DDT327686 DNP327684:DNP327686 DXL327684:DXL327686 EHH327684:EHH327686 ERD327684:ERD327686 FAZ327684:FAZ327686 FKV327684:FKV327686 FUR327684:FUR327686 GEN327684:GEN327686 GOJ327684:GOJ327686 GYF327684:GYF327686 HIB327684:HIB327686 HRX327684:HRX327686 IBT327684:IBT327686 ILP327684:ILP327686 IVL327684:IVL327686 JFH327684:JFH327686 JPD327684:JPD327686 JYZ327684:JYZ327686 KIV327684:KIV327686 KSR327684:KSR327686 LCN327684:LCN327686 LMJ327684:LMJ327686 LWF327684:LWF327686 MGB327684:MGB327686 MPX327684:MPX327686 MZT327684:MZT327686 NJP327684:NJP327686 NTL327684:NTL327686 ODH327684:ODH327686 OND327684:OND327686 OWZ327684:OWZ327686 PGV327684:PGV327686 PQR327684:PQR327686 QAN327684:QAN327686 QKJ327684:QKJ327686 QUF327684:QUF327686 REB327684:REB327686 RNX327684:RNX327686 RXT327684:RXT327686 SHP327684:SHP327686 SRL327684:SRL327686 TBH327684:TBH327686 TLD327684:TLD327686 TUZ327684:TUZ327686 UEV327684:UEV327686 UOR327684:UOR327686 UYN327684:UYN327686 VIJ327684:VIJ327686 VSF327684:VSF327686 WCB327684:WCB327686 WLX327684:WLX327686 WVT327684:WVT327686 S393220:S393222 JH393220:JH393222 TD393220:TD393222 ACZ393220:ACZ393222 AMV393220:AMV393222 AWR393220:AWR393222 BGN393220:BGN393222 BQJ393220:BQJ393222 CAF393220:CAF393222 CKB393220:CKB393222 CTX393220:CTX393222 DDT393220:DDT393222 DNP393220:DNP393222 DXL393220:DXL393222 EHH393220:EHH393222 ERD393220:ERD393222 FAZ393220:FAZ393222 FKV393220:FKV393222 FUR393220:FUR393222 GEN393220:GEN393222 GOJ393220:GOJ393222 GYF393220:GYF393222 HIB393220:HIB393222 HRX393220:HRX393222 IBT393220:IBT393222 ILP393220:ILP393222 IVL393220:IVL393222 JFH393220:JFH393222 JPD393220:JPD393222 JYZ393220:JYZ393222 KIV393220:KIV393222 KSR393220:KSR393222 LCN393220:LCN393222 LMJ393220:LMJ393222 LWF393220:LWF393222 MGB393220:MGB393222 MPX393220:MPX393222 MZT393220:MZT393222 NJP393220:NJP393222 NTL393220:NTL393222 ODH393220:ODH393222 OND393220:OND393222 OWZ393220:OWZ393222 PGV393220:PGV393222 PQR393220:PQR393222 QAN393220:QAN393222 QKJ393220:QKJ393222 QUF393220:QUF393222 REB393220:REB393222 RNX393220:RNX393222 RXT393220:RXT393222 SHP393220:SHP393222 SRL393220:SRL393222 TBH393220:TBH393222 TLD393220:TLD393222 TUZ393220:TUZ393222 UEV393220:UEV393222 UOR393220:UOR393222 UYN393220:UYN393222 VIJ393220:VIJ393222 VSF393220:VSF393222 WCB393220:WCB393222 WLX393220:WLX393222 WVT393220:WVT393222 S458756:S458758 JH458756:JH458758 TD458756:TD458758 ACZ458756:ACZ458758 AMV458756:AMV458758 AWR458756:AWR458758 BGN458756:BGN458758 BQJ458756:BQJ458758 CAF458756:CAF458758 CKB458756:CKB458758 CTX458756:CTX458758 DDT458756:DDT458758 DNP458756:DNP458758 DXL458756:DXL458758 EHH458756:EHH458758 ERD458756:ERD458758 FAZ458756:FAZ458758 FKV458756:FKV458758 FUR458756:FUR458758 GEN458756:GEN458758 GOJ458756:GOJ458758 GYF458756:GYF458758 HIB458756:HIB458758 HRX458756:HRX458758 IBT458756:IBT458758 ILP458756:ILP458758 IVL458756:IVL458758 JFH458756:JFH458758 JPD458756:JPD458758 JYZ458756:JYZ458758 KIV458756:KIV458758 KSR458756:KSR458758 LCN458756:LCN458758 LMJ458756:LMJ458758 LWF458756:LWF458758 MGB458756:MGB458758 MPX458756:MPX458758 MZT458756:MZT458758 NJP458756:NJP458758 NTL458756:NTL458758 ODH458756:ODH458758 OND458756:OND458758 OWZ458756:OWZ458758 PGV458756:PGV458758 PQR458756:PQR458758 QAN458756:QAN458758 QKJ458756:QKJ458758 QUF458756:QUF458758 REB458756:REB458758 RNX458756:RNX458758 RXT458756:RXT458758 SHP458756:SHP458758 SRL458756:SRL458758 TBH458756:TBH458758 TLD458756:TLD458758 TUZ458756:TUZ458758 UEV458756:UEV458758 UOR458756:UOR458758 UYN458756:UYN458758 VIJ458756:VIJ458758 VSF458756:VSF458758 WCB458756:WCB458758 WLX458756:WLX458758 WVT458756:WVT458758 S524292:S524294 JH524292:JH524294 TD524292:TD524294 ACZ524292:ACZ524294 AMV524292:AMV524294 AWR524292:AWR524294 BGN524292:BGN524294 BQJ524292:BQJ524294 CAF524292:CAF524294 CKB524292:CKB524294 CTX524292:CTX524294 DDT524292:DDT524294 DNP524292:DNP524294 DXL524292:DXL524294 EHH524292:EHH524294 ERD524292:ERD524294 FAZ524292:FAZ524294 FKV524292:FKV524294 FUR524292:FUR524294 GEN524292:GEN524294 GOJ524292:GOJ524294 GYF524292:GYF524294 HIB524292:HIB524294 HRX524292:HRX524294 IBT524292:IBT524294 ILP524292:ILP524294 IVL524292:IVL524294 JFH524292:JFH524294 JPD524292:JPD524294 JYZ524292:JYZ524294 KIV524292:KIV524294 KSR524292:KSR524294 LCN524292:LCN524294 LMJ524292:LMJ524294 LWF524292:LWF524294 MGB524292:MGB524294 MPX524292:MPX524294 MZT524292:MZT524294 NJP524292:NJP524294 NTL524292:NTL524294 ODH524292:ODH524294 OND524292:OND524294 OWZ524292:OWZ524294 PGV524292:PGV524294 PQR524292:PQR524294 QAN524292:QAN524294 QKJ524292:QKJ524294 QUF524292:QUF524294 REB524292:REB524294 RNX524292:RNX524294 RXT524292:RXT524294 SHP524292:SHP524294 SRL524292:SRL524294 TBH524292:TBH524294 TLD524292:TLD524294 TUZ524292:TUZ524294 UEV524292:UEV524294 UOR524292:UOR524294 UYN524292:UYN524294 VIJ524292:VIJ524294 VSF524292:VSF524294 WCB524292:WCB524294 WLX524292:WLX524294 WVT524292:WVT524294 S589828:S589830 JH589828:JH589830 TD589828:TD589830 ACZ589828:ACZ589830 AMV589828:AMV589830 AWR589828:AWR589830 BGN589828:BGN589830 BQJ589828:BQJ589830 CAF589828:CAF589830 CKB589828:CKB589830 CTX589828:CTX589830 DDT589828:DDT589830 DNP589828:DNP589830 DXL589828:DXL589830 EHH589828:EHH589830 ERD589828:ERD589830 FAZ589828:FAZ589830 FKV589828:FKV589830 FUR589828:FUR589830 GEN589828:GEN589830 GOJ589828:GOJ589830 GYF589828:GYF589830 HIB589828:HIB589830 HRX589828:HRX589830 IBT589828:IBT589830 ILP589828:ILP589830 IVL589828:IVL589830 JFH589828:JFH589830 JPD589828:JPD589830 JYZ589828:JYZ589830 KIV589828:KIV589830 KSR589828:KSR589830 LCN589828:LCN589830 LMJ589828:LMJ589830 LWF589828:LWF589830 MGB589828:MGB589830 MPX589828:MPX589830 MZT589828:MZT589830 NJP589828:NJP589830 NTL589828:NTL589830 ODH589828:ODH589830 OND589828:OND589830 OWZ589828:OWZ589830 PGV589828:PGV589830 PQR589828:PQR589830 QAN589828:QAN589830 QKJ589828:QKJ589830 QUF589828:QUF589830 REB589828:REB589830 RNX589828:RNX589830 RXT589828:RXT589830 SHP589828:SHP589830 SRL589828:SRL589830 TBH589828:TBH589830 TLD589828:TLD589830 TUZ589828:TUZ589830 UEV589828:UEV589830 UOR589828:UOR589830 UYN589828:UYN589830 VIJ589828:VIJ589830 VSF589828:VSF589830 WCB589828:WCB589830 WLX589828:WLX589830 WVT589828:WVT589830 S655364:S655366 JH655364:JH655366 TD655364:TD655366 ACZ655364:ACZ655366 AMV655364:AMV655366 AWR655364:AWR655366 BGN655364:BGN655366 BQJ655364:BQJ655366 CAF655364:CAF655366 CKB655364:CKB655366 CTX655364:CTX655366 DDT655364:DDT655366 DNP655364:DNP655366 DXL655364:DXL655366 EHH655364:EHH655366 ERD655364:ERD655366 FAZ655364:FAZ655366 FKV655364:FKV655366 FUR655364:FUR655366 GEN655364:GEN655366 GOJ655364:GOJ655366 GYF655364:GYF655366 HIB655364:HIB655366 HRX655364:HRX655366 IBT655364:IBT655366 ILP655364:ILP655366 IVL655364:IVL655366 JFH655364:JFH655366 JPD655364:JPD655366 JYZ655364:JYZ655366 KIV655364:KIV655366 KSR655364:KSR655366 LCN655364:LCN655366 LMJ655364:LMJ655366 LWF655364:LWF655366 MGB655364:MGB655366 MPX655364:MPX655366 MZT655364:MZT655366 NJP655364:NJP655366 NTL655364:NTL655366 ODH655364:ODH655366 OND655364:OND655366 OWZ655364:OWZ655366 PGV655364:PGV655366 PQR655364:PQR655366 QAN655364:QAN655366 QKJ655364:QKJ655366 QUF655364:QUF655366 REB655364:REB655366 RNX655364:RNX655366 RXT655364:RXT655366 SHP655364:SHP655366 SRL655364:SRL655366 TBH655364:TBH655366 TLD655364:TLD655366 TUZ655364:TUZ655366 UEV655364:UEV655366 UOR655364:UOR655366 UYN655364:UYN655366 VIJ655364:VIJ655366 VSF655364:VSF655366 WCB655364:WCB655366 WLX655364:WLX655366 WVT655364:WVT655366 S720900:S720902 JH720900:JH720902 TD720900:TD720902 ACZ720900:ACZ720902 AMV720900:AMV720902 AWR720900:AWR720902 BGN720900:BGN720902 BQJ720900:BQJ720902 CAF720900:CAF720902 CKB720900:CKB720902 CTX720900:CTX720902 DDT720900:DDT720902 DNP720900:DNP720902 DXL720900:DXL720902 EHH720900:EHH720902 ERD720900:ERD720902 FAZ720900:FAZ720902 FKV720900:FKV720902 FUR720900:FUR720902 GEN720900:GEN720902 GOJ720900:GOJ720902 GYF720900:GYF720902 HIB720900:HIB720902 HRX720900:HRX720902 IBT720900:IBT720902 ILP720900:ILP720902 IVL720900:IVL720902 JFH720900:JFH720902 JPD720900:JPD720902 JYZ720900:JYZ720902 KIV720900:KIV720902 KSR720900:KSR720902 LCN720900:LCN720902 LMJ720900:LMJ720902 LWF720900:LWF720902 MGB720900:MGB720902 MPX720900:MPX720902 MZT720900:MZT720902 NJP720900:NJP720902 NTL720900:NTL720902 ODH720900:ODH720902 OND720900:OND720902 OWZ720900:OWZ720902 PGV720900:PGV720902 PQR720900:PQR720902 QAN720900:QAN720902 QKJ720900:QKJ720902 QUF720900:QUF720902 REB720900:REB720902 RNX720900:RNX720902 RXT720900:RXT720902 SHP720900:SHP720902 SRL720900:SRL720902 TBH720900:TBH720902 TLD720900:TLD720902 TUZ720900:TUZ720902 UEV720900:UEV720902 UOR720900:UOR720902 UYN720900:UYN720902 VIJ720900:VIJ720902 VSF720900:VSF720902 WCB720900:WCB720902 WLX720900:WLX720902 WVT720900:WVT720902 S786436:S786438 JH786436:JH786438 TD786436:TD786438 ACZ786436:ACZ786438 AMV786436:AMV786438 AWR786436:AWR786438 BGN786436:BGN786438 BQJ786436:BQJ786438 CAF786436:CAF786438 CKB786436:CKB786438 CTX786436:CTX786438 DDT786436:DDT786438 DNP786436:DNP786438 DXL786436:DXL786438 EHH786436:EHH786438 ERD786436:ERD786438 FAZ786436:FAZ786438 FKV786436:FKV786438 FUR786436:FUR786438 GEN786436:GEN786438 GOJ786436:GOJ786438 GYF786436:GYF786438 HIB786436:HIB786438 HRX786436:HRX786438 IBT786436:IBT786438 ILP786436:ILP786438 IVL786436:IVL786438 JFH786436:JFH786438 JPD786436:JPD786438 JYZ786436:JYZ786438 KIV786436:KIV786438 KSR786436:KSR786438 LCN786436:LCN786438 LMJ786436:LMJ786438 LWF786436:LWF786438 MGB786436:MGB786438 MPX786436:MPX786438 MZT786436:MZT786438 NJP786436:NJP786438 NTL786436:NTL786438 ODH786436:ODH786438 OND786436:OND786438 OWZ786436:OWZ786438 PGV786436:PGV786438 PQR786436:PQR786438 QAN786436:QAN786438 QKJ786436:QKJ786438 QUF786436:QUF786438 REB786436:REB786438 RNX786436:RNX786438 RXT786436:RXT786438 SHP786436:SHP786438 SRL786436:SRL786438 TBH786436:TBH786438 TLD786436:TLD786438 TUZ786436:TUZ786438 UEV786436:UEV786438 UOR786436:UOR786438 UYN786436:UYN786438 VIJ786436:VIJ786438 VSF786436:VSF786438 WCB786436:WCB786438 WLX786436:WLX786438 WVT786436:WVT786438 S851972:S851974 JH851972:JH851974 TD851972:TD851974 ACZ851972:ACZ851974 AMV851972:AMV851974 AWR851972:AWR851974 BGN851972:BGN851974 BQJ851972:BQJ851974 CAF851972:CAF851974 CKB851972:CKB851974 CTX851972:CTX851974 DDT851972:DDT851974 DNP851972:DNP851974 DXL851972:DXL851974 EHH851972:EHH851974 ERD851972:ERD851974 FAZ851972:FAZ851974 FKV851972:FKV851974 FUR851972:FUR851974 GEN851972:GEN851974 GOJ851972:GOJ851974 GYF851972:GYF851974 HIB851972:HIB851974 HRX851972:HRX851974 IBT851972:IBT851974 ILP851972:ILP851974 IVL851972:IVL851974 JFH851972:JFH851974 JPD851972:JPD851974 JYZ851972:JYZ851974 KIV851972:KIV851974 KSR851972:KSR851974 LCN851972:LCN851974 LMJ851972:LMJ851974 LWF851972:LWF851974 MGB851972:MGB851974 MPX851972:MPX851974 MZT851972:MZT851974 NJP851972:NJP851974 NTL851972:NTL851974 ODH851972:ODH851974 OND851972:OND851974 OWZ851972:OWZ851974 PGV851972:PGV851974 PQR851972:PQR851974 QAN851972:QAN851974 QKJ851972:QKJ851974 QUF851972:QUF851974 REB851972:REB851974 RNX851972:RNX851974 RXT851972:RXT851974 SHP851972:SHP851974 SRL851972:SRL851974 TBH851972:TBH851974 TLD851972:TLD851974 TUZ851972:TUZ851974 UEV851972:UEV851974 UOR851972:UOR851974 UYN851972:UYN851974 VIJ851972:VIJ851974 VSF851972:VSF851974 WCB851972:WCB851974 WLX851972:WLX851974 WVT851972:WVT851974 S917508:S917510 JH917508:JH917510 TD917508:TD917510 ACZ917508:ACZ917510 AMV917508:AMV917510 AWR917508:AWR917510 BGN917508:BGN917510 BQJ917508:BQJ917510 CAF917508:CAF917510 CKB917508:CKB917510 CTX917508:CTX917510 DDT917508:DDT917510 DNP917508:DNP917510 DXL917508:DXL917510 EHH917508:EHH917510 ERD917508:ERD917510 FAZ917508:FAZ917510 FKV917508:FKV917510 FUR917508:FUR917510 GEN917508:GEN917510 GOJ917508:GOJ917510 GYF917508:GYF917510 HIB917508:HIB917510 HRX917508:HRX917510 IBT917508:IBT917510 ILP917508:ILP917510 IVL917508:IVL917510 JFH917508:JFH917510 JPD917508:JPD917510 JYZ917508:JYZ917510 KIV917508:KIV917510 KSR917508:KSR917510 LCN917508:LCN917510 LMJ917508:LMJ917510 LWF917508:LWF917510 MGB917508:MGB917510 MPX917508:MPX917510 MZT917508:MZT917510 NJP917508:NJP917510 NTL917508:NTL917510 ODH917508:ODH917510 OND917508:OND917510 OWZ917508:OWZ917510 PGV917508:PGV917510 PQR917508:PQR917510 QAN917508:QAN917510 QKJ917508:QKJ917510 QUF917508:QUF917510 REB917508:REB917510 RNX917508:RNX917510 RXT917508:RXT917510 SHP917508:SHP917510 SRL917508:SRL917510 TBH917508:TBH917510 TLD917508:TLD917510 TUZ917508:TUZ917510 UEV917508:UEV917510 UOR917508:UOR917510 UYN917508:UYN917510 VIJ917508:VIJ917510 VSF917508:VSF917510 WCB917508:WCB917510 WLX917508:WLX917510 WVT917508:WVT917510 S983044:S983046 JH983044:JH983046 TD983044:TD983046 ACZ983044:ACZ983046 AMV983044:AMV983046 AWR983044:AWR983046 BGN983044:BGN983046 BQJ983044:BQJ983046 CAF983044:CAF983046 CKB983044:CKB983046 CTX983044:CTX983046 DDT983044:DDT983046 DNP983044:DNP983046 DXL983044:DXL983046 EHH983044:EHH983046 ERD983044:ERD983046 FAZ983044:FAZ983046 FKV983044:FKV983046 FUR983044:FUR983046 GEN983044:GEN983046 GOJ983044:GOJ983046 GYF983044:GYF983046 HIB983044:HIB983046 HRX983044:HRX983046 IBT983044:IBT983046 ILP983044:ILP983046 IVL983044:IVL983046 JFH983044:JFH983046 JPD983044:JPD983046 JYZ983044:JYZ983046 KIV983044:KIV983046 KSR983044:KSR983046 LCN983044:LCN983046 LMJ983044:LMJ983046 LWF983044:LWF983046 MGB983044:MGB983046 MPX983044:MPX983046 MZT983044:MZT983046 NJP983044:NJP983046 NTL983044:NTL983046 ODH983044:ODH983046 OND983044:OND983046 OWZ983044:OWZ983046 PGV983044:PGV983046 PQR983044:PQR983046 QAN983044:QAN983046 QKJ983044:QKJ983046 QUF983044:QUF983046 REB983044:REB983046 RNX983044:RNX983046 RXT983044:RXT983046 SHP983044:SHP983046 SRL983044:SRL983046 TBH983044:TBH983046 TLD983044:TLD983046 TUZ983044:TUZ983046 UEV983044:UEV983046 UOR983044:UOR983046 UYN983044:UYN983046 VIJ983044:VIJ983046 VSF983044:VSF983046 WCB983044:WCB983046 WLX983044:WLX983046 WVT983044:WVT983046 U65546:U65569 JJ65546:JJ65569 TF65546:TF65569 ADB65546:ADB65569 AMX65546:AMX65569 AWT65546:AWT65569 BGP65546:BGP65569 BQL65546:BQL65569 CAH65546:CAH65569 CKD65546:CKD65569 CTZ65546:CTZ65569 DDV65546:DDV65569 DNR65546:DNR65569 DXN65546:DXN65569 EHJ65546:EHJ65569 ERF65546:ERF65569 FBB65546:FBB65569 FKX65546:FKX65569 FUT65546:FUT65569 GEP65546:GEP65569 GOL65546:GOL65569 GYH65546:GYH65569 HID65546:HID65569 HRZ65546:HRZ65569 IBV65546:IBV65569 ILR65546:ILR65569 IVN65546:IVN65569 JFJ65546:JFJ65569 JPF65546:JPF65569 JZB65546:JZB65569 KIX65546:KIX65569 KST65546:KST65569 LCP65546:LCP65569 LML65546:LML65569 LWH65546:LWH65569 MGD65546:MGD65569 MPZ65546:MPZ65569 MZV65546:MZV65569 NJR65546:NJR65569 NTN65546:NTN65569 ODJ65546:ODJ65569 ONF65546:ONF65569 OXB65546:OXB65569 PGX65546:PGX65569 PQT65546:PQT65569 QAP65546:QAP65569 QKL65546:QKL65569 QUH65546:QUH65569 RED65546:RED65569 RNZ65546:RNZ65569 RXV65546:RXV65569 SHR65546:SHR65569 SRN65546:SRN65569 TBJ65546:TBJ65569 TLF65546:TLF65569 TVB65546:TVB65569 UEX65546:UEX65569 UOT65546:UOT65569 UYP65546:UYP65569 VIL65546:VIL65569 VSH65546:VSH65569 WCD65546:WCD65569 WLZ65546:WLZ65569 WVV65546:WVV65569 U131082:U131105 JJ131082:JJ131105 TF131082:TF131105 ADB131082:ADB131105 AMX131082:AMX131105 AWT131082:AWT131105 BGP131082:BGP131105 BQL131082:BQL131105 CAH131082:CAH131105 CKD131082:CKD131105 CTZ131082:CTZ131105 DDV131082:DDV131105 DNR131082:DNR131105 DXN131082:DXN131105 EHJ131082:EHJ131105 ERF131082:ERF131105 FBB131082:FBB131105 FKX131082:FKX131105 FUT131082:FUT131105 GEP131082:GEP131105 GOL131082:GOL131105 GYH131082:GYH131105 HID131082:HID131105 HRZ131082:HRZ131105 IBV131082:IBV131105 ILR131082:ILR131105 IVN131082:IVN131105 JFJ131082:JFJ131105 JPF131082:JPF131105 JZB131082:JZB131105 KIX131082:KIX131105 KST131082:KST131105 LCP131082:LCP131105 LML131082:LML131105 LWH131082:LWH131105 MGD131082:MGD131105 MPZ131082:MPZ131105 MZV131082:MZV131105 NJR131082:NJR131105 NTN131082:NTN131105 ODJ131082:ODJ131105 ONF131082:ONF131105 OXB131082:OXB131105 PGX131082:PGX131105 PQT131082:PQT131105 QAP131082:QAP131105 QKL131082:QKL131105 QUH131082:QUH131105 RED131082:RED131105 RNZ131082:RNZ131105 RXV131082:RXV131105 SHR131082:SHR131105 SRN131082:SRN131105 TBJ131082:TBJ131105 TLF131082:TLF131105 TVB131082:TVB131105 UEX131082:UEX131105 UOT131082:UOT131105 UYP131082:UYP131105 VIL131082:VIL131105 VSH131082:VSH131105 WCD131082:WCD131105 WLZ131082:WLZ131105 WVV131082:WVV131105 U196618:U196641 JJ196618:JJ196641 TF196618:TF196641 ADB196618:ADB196641 AMX196618:AMX196641 AWT196618:AWT196641 BGP196618:BGP196641 BQL196618:BQL196641 CAH196618:CAH196641 CKD196618:CKD196641 CTZ196618:CTZ196641 DDV196618:DDV196641 DNR196618:DNR196641 DXN196618:DXN196641 EHJ196618:EHJ196641 ERF196618:ERF196641 FBB196618:FBB196641 FKX196618:FKX196641 FUT196618:FUT196641 GEP196618:GEP196641 GOL196618:GOL196641 GYH196618:GYH196641 HID196618:HID196641 HRZ196618:HRZ196641 IBV196618:IBV196641 ILR196618:ILR196641 IVN196618:IVN196641 JFJ196618:JFJ196641 JPF196618:JPF196641 JZB196618:JZB196641 KIX196618:KIX196641 KST196618:KST196641 LCP196618:LCP196641 LML196618:LML196641 LWH196618:LWH196641 MGD196618:MGD196641 MPZ196618:MPZ196641 MZV196618:MZV196641 NJR196618:NJR196641 NTN196618:NTN196641 ODJ196618:ODJ196641 ONF196618:ONF196641 OXB196618:OXB196641 PGX196618:PGX196641 PQT196618:PQT196641 QAP196618:QAP196641 QKL196618:QKL196641 QUH196618:QUH196641 RED196618:RED196641 RNZ196618:RNZ196641 RXV196618:RXV196641 SHR196618:SHR196641 SRN196618:SRN196641 TBJ196618:TBJ196641 TLF196618:TLF196641 TVB196618:TVB196641 UEX196618:UEX196641 UOT196618:UOT196641 UYP196618:UYP196641 VIL196618:VIL196641 VSH196618:VSH196641 WCD196618:WCD196641 WLZ196618:WLZ196641 WVV196618:WVV196641 U262154:U262177 JJ262154:JJ262177 TF262154:TF262177 ADB262154:ADB262177 AMX262154:AMX262177 AWT262154:AWT262177 BGP262154:BGP262177 BQL262154:BQL262177 CAH262154:CAH262177 CKD262154:CKD262177 CTZ262154:CTZ262177 DDV262154:DDV262177 DNR262154:DNR262177 DXN262154:DXN262177 EHJ262154:EHJ262177 ERF262154:ERF262177 FBB262154:FBB262177 FKX262154:FKX262177 FUT262154:FUT262177 GEP262154:GEP262177 GOL262154:GOL262177 GYH262154:GYH262177 HID262154:HID262177 HRZ262154:HRZ262177 IBV262154:IBV262177 ILR262154:ILR262177 IVN262154:IVN262177 JFJ262154:JFJ262177 JPF262154:JPF262177 JZB262154:JZB262177 KIX262154:KIX262177 KST262154:KST262177 LCP262154:LCP262177 LML262154:LML262177 LWH262154:LWH262177 MGD262154:MGD262177 MPZ262154:MPZ262177 MZV262154:MZV262177 NJR262154:NJR262177 NTN262154:NTN262177 ODJ262154:ODJ262177 ONF262154:ONF262177 OXB262154:OXB262177 PGX262154:PGX262177 PQT262154:PQT262177 QAP262154:QAP262177 QKL262154:QKL262177 QUH262154:QUH262177 RED262154:RED262177 RNZ262154:RNZ262177 RXV262154:RXV262177 SHR262154:SHR262177 SRN262154:SRN262177 TBJ262154:TBJ262177 TLF262154:TLF262177 TVB262154:TVB262177 UEX262154:UEX262177 UOT262154:UOT262177 UYP262154:UYP262177 VIL262154:VIL262177 VSH262154:VSH262177 WCD262154:WCD262177 WLZ262154:WLZ262177 WVV262154:WVV262177 U327690:U327713 JJ327690:JJ327713 TF327690:TF327713 ADB327690:ADB327713 AMX327690:AMX327713 AWT327690:AWT327713 BGP327690:BGP327713 BQL327690:BQL327713 CAH327690:CAH327713 CKD327690:CKD327713 CTZ327690:CTZ327713 DDV327690:DDV327713 DNR327690:DNR327713 DXN327690:DXN327713 EHJ327690:EHJ327713 ERF327690:ERF327713 FBB327690:FBB327713 FKX327690:FKX327713 FUT327690:FUT327713 GEP327690:GEP327713 GOL327690:GOL327713 GYH327690:GYH327713 HID327690:HID327713 HRZ327690:HRZ327713 IBV327690:IBV327713 ILR327690:ILR327713 IVN327690:IVN327713 JFJ327690:JFJ327713 JPF327690:JPF327713 JZB327690:JZB327713 KIX327690:KIX327713 KST327690:KST327713 LCP327690:LCP327713 LML327690:LML327713 LWH327690:LWH327713 MGD327690:MGD327713 MPZ327690:MPZ327713 MZV327690:MZV327713 NJR327690:NJR327713 NTN327690:NTN327713 ODJ327690:ODJ327713 ONF327690:ONF327713 OXB327690:OXB327713 PGX327690:PGX327713 PQT327690:PQT327713 QAP327690:QAP327713 QKL327690:QKL327713 QUH327690:QUH327713 RED327690:RED327713 RNZ327690:RNZ327713 RXV327690:RXV327713 SHR327690:SHR327713 SRN327690:SRN327713 TBJ327690:TBJ327713 TLF327690:TLF327713 TVB327690:TVB327713 UEX327690:UEX327713 UOT327690:UOT327713 UYP327690:UYP327713 VIL327690:VIL327713 VSH327690:VSH327713 WCD327690:WCD327713 WLZ327690:WLZ327713 WVV327690:WVV327713 U393226:U393249 JJ393226:JJ393249 TF393226:TF393249 ADB393226:ADB393249 AMX393226:AMX393249 AWT393226:AWT393249 BGP393226:BGP393249 BQL393226:BQL393249 CAH393226:CAH393249 CKD393226:CKD393249 CTZ393226:CTZ393249 DDV393226:DDV393249 DNR393226:DNR393249 DXN393226:DXN393249 EHJ393226:EHJ393249 ERF393226:ERF393249 FBB393226:FBB393249 FKX393226:FKX393249 FUT393226:FUT393249 GEP393226:GEP393249 GOL393226:GOL393249 GYH393226:GYH393249 HID393226:HID393249 HRZ393226:HRZ393249 IBV393226:IBV393249 ILR393226:ILR393249 IVN393226:IVN393249 JFJ393226:JFJ393249 JPF393226:JPF393249 JZB393226:JZB393249 KIX393226:KIX393249 KST393226:KST393249 LCP393226:LCP393249 LML393226:LML393249 LWH393226:LWH393249 MGD393226:MGD393249 MPZ393226:MPZ393249 MZV393226:MZV393249 NJR393226:NJR393249 NTN393226:NTN393249 ODJ393226:ODJ393249 ONF393226:ONF393249 OXB393226:OXB393249 PGX393226:PGX393249 PQT393226:PQT393249 QAP393226:QAP393249 QKL393226:QKL393249 QUH393226:QUH393249 RED393226:RED393249 RNZ393226:RNZ393249 RXV393226:RXV393249 SHR393226:SHR393249 SRN393226:SRN393249 TBJ393226:TBJ393249 TLF393226:TLF393249 TVB393226:TVB393249 UEX393226:UEX393249 UOT393226:UOT393249 UYP393226:UYP393249 VIL393226:VIL393249 VSH393226:VSH393249 WCD393226:WCD393249 WLZ393226:WLZ393249 WVV393226:WVV393249 U458762:U458785 JJ458762:JJ458785 TF458762:TF458785 ADB458762:ADB458785 AMX458762:AMX458785 AWT458762:AWT458785 BGP458762:BGP458785 BQL458762:BQL458785 CAH458762:CAH458785 CKD458762:CKD458785 CTZ458762:CTZ458785 DDV458762:DDV458785 DNR458762:DNR458785 DXN458762:DXN458785 EHJ458762:EHJ458785 ERF458762:ERF458785 FBB458762:FBB458785 FKX458762:FKX458785 FUT458762:FUT458785 GEP458762:GEP458785 GOL458762:GOL458785 GYH458762:GYH458785 HID458762:HID458785 HRZ458762:HRZ458785 IBV458762:IBV458785 ILR458762:ILR458785 IVN458762:IVN458785 JFJ458762:JFJ458785 JPF458762:JPF458785 JZB458762:JZB458785 KIX458762:KIX458785 KST458762:KST458785 LCP458762:LCP458785 LML458762:LML458785 LWH458762:LWH458785 MGD458762:MGD458785 MPZ458762:MPZ458785 MZV458762:MZV458785 NJR458762:NJR458785 NTN458762:NTN458785 ODJ458762:ODJ458785 ONF458762:ONF458785 OXB458762:OXB458785 PGX458762:PGX458785 PQT458762:PQT458785 QAP458762:QAP458785 QKL458762:QKL458785 QUH458762:QUH458785 RED458762:RED458785 RNZ458762:RNZ458785 RXV458762:RXV458785 SHR458762:SHR458785 SRN458762:SRN458785 TBJ458762:TBJ458785 TLF458762:TLF458785 TVB458762:TVB458785 UEX458762:UEX458785 UOT458762:UOT458785 UYP458762:UYP458785 VIL458762:VIL458785 VSH458762:VSH458785 WCD458762:WCD458785 WLZ458762:WLZ458785 WVV458762:WVV458785 U524298:U524321 JJ524298:JJ524321 TF524298:TF524321 ADB524298:ADB524321 AMX524298:AMX524321 AWT524298:AWT524321 BGP524298:BGP524321 BQL524298:BQL524321 CAH524298:CAH524321 CKD524298:CKD524321 CTZ524298:CTZ524321 DDV524298:DDV524321 DNR524298:DNR524321 DXN524298:DXN524321 EHJ524298:EHJ524321 ERF524298:ERF524321 FBB524298:FBB524321 FKX524298:FKX524321 FUT524298:FUT524321 GEP524298:GEP524321 GOL524298:GOL524321 GYH524298:GYH524321 HID524298:HID524321 HRZ524298:HRZ524321 IBV524298:IBV524321 ILR524298:ILR524321 IVN524298:IVN524321 JFJ524298:JFJ524321 JPF524298:JPF524321 JZB524298:JZB524321 KIX524298:KIX524321 KST524298:KST524321 LCP524298:LCP524321 LML524298:LML524321 LWH524298:LWH524321 MGD524298:MGD524321 MPZ524298:MPZ524321 MZV524298:MZV524321 NJR524298:NJR524321 NTN524298:NTN524321 ODJ524298:ODJ524321 ONF524298:ONF524321 OXB524298:OXB524321 PGX524298:PGX524321 PQT524298:PQT524321 QAP524298:QAP524321 QKL524298:QKL524321 QUH524298:QUH524321 RED524298:RED524321 RNZ524298:RNZ524321 RXV524298:RXV524321 SHR524298:SHR524321 SRN524298:SRN524321 TBJ524298:TBJ524321 TLF524298:TLF524321 TVB524298:TVB524321 UEX524298:UEX524321 UOT524298:UOT524321 UYP524298:UYP524321 VIL524298:VIL524321 VSH524298:VSH524321 WCD524298:WCD524321 WLZ524298:WLZ524321 WVV524298:WVV524321 U589834:U589857 JJ589834:JJ589857 TF589834:TF589857 ADB589834:ADB589857 AMX589834:AMX589857 AWT589834:AWT589857 BGP589834:BGP589857 BQL589834:BQL589857 CAH589834:CAH589857 CKD589834:CKD589857 CTZ589834:CTZ589857 DDV589834:DDV589857 DNR589834:DNR589857 DXN589834:DXN589857 EHJ589834:EHJ589857 ERF589834:ERF589857 FBB589834:FBB589857 FKX589834:FKX589857 FUT589834:FUT589857 GEP589834:GEP589857 GOL589834:GOL589857 GYH589834:GYH589857 HID589834:HID589857 HRZ589834:HRZ589857 IBV589834:IBV589857 ILR589834:ILR589857 IVN589834:IVN589857 JFJ589834:JFJ589857 JPF589834:JPF589857 JZB589834:JZB589857 KIX589834:KIX589857 KST589834:KST589857 LCP589834:LCP589857 LML589834:LML589857 LWH589834:LWH589857 MGD589834:MGD589857 MPZ589834:MPZ589857 MZV589834:MZV589857 NJR589834:NJR589857 NTN589834:NTN589857 ODJ589834:ODJ589857 ONF589834:ONF589857 OXB589834:OXB589857 PGX589834:PGX589857 PQT589834:PQT589857 QAP589834:QAP589857 QKL589834:QKL589857 QUH589834:QUH589857 RED589834:RED589857 RNZ589834:RNZ589857 RXV589834:RXV589857 SHR589834:SHR589857 SRN589834:SRN589857 TBJ589834:TBJ589857 TLF589834:TLF589857 TVB589834:TVB589857 UEX589834:UEX589857 UOT589834:UOT589857 UYP589834:UYP589857 VIL589834:VIL589857 VSH589834:VSH589857 WCD589834:WCD589857 WLZ589834:WLZ589857 WVV589834:WVV589857 U655370:U655393 JJ655370:JJ655393 TF655370:TF655393 ADB655370:ADB655393 AMX655370:AMX655393 AWT655370:AWT655393 BGP655370:BGP655393 BQL655370:BQL655393 CAH655370:CAH655393 CKD655370:CKD655393 CTZ655370:CTZ655393 DDV655370:DDV655393 DNR655370:DNR655393 DXN655370:DXN655393 EHJ655370:EHJ655393 ERF655370:ERF655393 FBB655370:FBB655393 FKX655370:FKX655393 FUT655370:FUT655393 GEP655370:GEP655393 GOL655370:GOL655393 GYH655370:GYH655393 HID655370:HID655393 HRZ655370:HRZ655393 IBV655370:IBV655393 ILR655370:ILR655393 IVN655370:IVN655393 JFJ655370:JFJ655393 JPF655370:JPF655393 JZB655370:JZB655393 KIX655370:KIX655393 KST655370:KST655393 LCP655370:LCP655393 LML655370:LML655393 LWH655370:LWH655393 MGD655370:MGD655393 MPZ655370:MPZ655393 MZV655370:MZV655393 NJR655370:NJR655393 NTN655370:NTN655393 ODJ655370:ODJ655393 ONF655370:ONF655393 OXB655370:OXB655393 PGX655370:PGX655393 PQT655370:PQT655393 QAP655370:QAP655393 QKL655370:QKL655393 QUH655370:QUH655393 RED655370:RED655393 RNZ655370:RNZ655393 RXV655370:RXV655393 SHR655370:SHR655393 SRN655370:SRN655393 TBJ655370:TBJ655393 TLF655370:TLF655393 TVB655370:TVB655393 UEX655370:UEX655393 UOT655370:UOT655393 UYP655370:UYP655393 VIL655370:VIL655393 VSH655370:VSH655393 WCD655370:WCD655393 WLZ655370:WLZ655393 WVV655370:WVV655393 U720906:U720929 JJ720906:JJ720929 TF720906:TF720929 ADB720906:ADB720929 AMX720906:AMX720929 AWT720906:AWT720929 BGP720906:BGP720929 BQL720906:BQL720929 CAH720906:CAH720929 CKD720906:CKD720929 CTZ720906:CTZ720929 DDV720906:DDV720929 DNR720906:DNR720929 DXN720906:DXN720929 EHJ720906:EHJ720929 ERF720906:ERF720929 FBB720906:FBB720929 FKX720906:FKX720929 FUT720906:FUT720929 GEP720906:GEP720929 GOL720906:GOL720929 GYH720906:GYH720929 HID720906:HID720929 HRZ720906:HRZ720929 IBV720906:IBV720929 ILR720906:ILR720929 IVN720906:IVN720929 JFJ720906:JFJ720929 JPF720906:JPF720929 JZB720906:JZB720929 KIX720906:KIX720929 KST720906:KST720929 LCP720906:LCP720929 LML720906:LML720929 LWH720906:LWH720929 MGD720906:MGD720929 MPZ720906:MPZ720929 MZV720906:MZV720929 NJR720906:NJR720929 NTN720906:NTN720929 ODJ720906:ODJ720929 ONF720906:ONF720929 OXB720906:OXB720929 PGX720906:PGX720929 PQT720906:PQT720929 QAP720906:QAP720929 QKL720906:QKL720929 QUH720906:QUH720929 RED720906:RED720929 RNZ720906:RNZ720929 RXV720906:RXV720929 SHR720906:SHR720929 SRN720906:SRN720929 TBJ720906:TBJ720929 TLF720906:TLF720929 TVB720906:TVB720929 UEX720906:UEX720929 UOT720906:UOT720929 UYP720906:UYP720929 VIL720906:VIL720929 VSH720906:VSH720929 WCD720906:WCD720929 WLZ720906:WLZ720929 WVV720906:WVV720929 U786442:U786465 JJ786442:JJ786465 TF786442:TF786465 ADB786442:ADB786465 AMX786442:AMX786465 AWT786442:AWT786465 BGP786442:BGP786465 BQL786442:BQL786465 CAH786442:CAH786465 CKD786442:CKD786465 CTZ786442:CTZ786465 DDV786442:DDV786465 DNR786442:DNR786465 DXN786442:DXN786465 EHJ786442:EHJ786465 ERF786442:ERF786465 FBB786442:FBB786465 FKX786442:FKX786465 FUT786442:FUT786465 GEP786442:GEP786465 GOL786442:GOL786465 GYH786442:GYH786465 HID786442:HID786465 HRZ786442:HRZ786465 IBV786442:IBV786465 ILR786442:ILR786465 IVN786442:IVN786465 JFJ786442:JFJ786465 JPF786442:JPF786465 JZB786442:JZB786465 KIX786442:KIX786465 KST786442:KST786465 LCP786442:LCP786465 LML786442:LML786465 LWH786442:LWH786465 MGD786442:MGD786465 MPZ786442:MPZ786465 MZV786442:MZV786465 NJR786442:NJR786465 NTN786442:NTN786465 ODJ786442:ODJ786465 ONF786442:ONF786465 OXB786442:OXB786465 PGX786442:PGX786465 PQT786442:PQT786465 QAP786442:QAP786465 QKL786442:QKL786465 QUH786442:QUH786465 RED786442:RED786465 RNZ786442:RNZ786465 RXV786442:RXV786465 SHR786442:SHR786465 SRN786442:SRN786465 TBJ786442:TBJ786465 TLF786442:TLF786465 TVB786442:TVB786465 UEX786442:UEX786465 UOT786442:UOT786465 UYP786442:UYP786465 VIL786442:VIL786465 VSH786442:VSH786465 WCD786442:WCD786465 WLZ786442:WLZ786465 WVV786442:WVV786465 U851978:U852001 JJ851978:JJ852001 TF851978:TF852001 ADB851978:ADB852001 AMX851978:AMX852001 AWT851978:AWT852001 BGP851978:BGP852001 BQL851978:BQL852001 CAH851978:CAH852001 CKD851978:CKD852001 CTZ851978:CTZ852001 DDV851978:DDV852001 DNR851978:DNR852001 DXN851978:DXN852001 EHJ851978:EHJ852001 ERF851978:ERF852001 FBB851978:FBB852001 FKX851978:FKX852001 FUT851978:FUT852001 GEP851978:GEP852001 GOL851978:GOL852001 GYH851978:GYH852001 HID851978:HID852001 HRZ851978:HRZ852001 IBV851978:IBV852001 ILR851978:ILR852001 IVN851978:IVN852001 JFJ851978:JFJ852001 JPF851978:JPF852001 JZB851978:JZB852001 KIX851978:KIX852001 KST851978:KST852001 LCP851978:LCP852001 LML851978:LML852001 LWH851978:LWH852001 MGD851978:MGD852001 MPZ851978:MPZ852001 MZV851978:MZV852001 NJR851978:NJR852001 NTN851978:NTN852001 ODJ851978:ODJ852001 ONF851978:ONF852001 OXB851978:OXB852001 PGX851978:PGX852001 PQT851978:PQT852001 QAP851978:QAP852001 QKL851978:QKL852001 QUH851978:QUH852001 RED851978:RED852001 RNZ851978:RNZ852001 RXV851978:RXV852001 SHR851978:SHR852001 SRN851978:SRN852001 TBJ851978:TBJ852001 TLF851978:TLF852001 TVB851978:TVB852001 UEX851978:UEX852001 UOT851978:UOT852001 UYP851978:UYP852001 VIL851978:VIL852001 VSH851978:VSH852001 WCD851978:WCD852001 WLZ851978:WLZ852001 WVV851978:WVV852001 U917514:U917537 JJ917514:JJ917537 TF917514:TF917537 ADB917514:ADB917537 AMX917514:AMX917537 AWT917514:AWT917537 BGP917514:BGP917537 BQL917514:BQL917537 CAH917514:CAH917537 CKD917514:CKD917537 CTZ917514:CTZ917537 DDV917514:DDV917537 DNR917514:DNR917537 DXN917514:DXN917537 EHJ917514:EHJ917537 ERF917514:ERF917537 FBB917514:FBB917537 FKX917514:FKX917537 FUT917514:FUT917537 GEP917514:GEP917537 GOL917514:GOL917537 GYH917514:GYH917537 HID917514:HID917537 HRZ917514:HRZ917537 IBV917514:IBV917537 ILR917514:ILR917537 IVN917514:IVN917537 JFJ917514:JFJ917537 JPF917514:JPF917537 JZB917514:JZB917537 KIX917514:KIX917537 KST917514:KST917537 LCP917514:LCP917537 LML917514:LML917537 LWH917514:LWH917537 MGD917514:MGD917537 MPZ917514:MPZ917537 MZV917514:MZV917537 NJR917514:NJR917537 NTN917514:NTN917537 ODJ917514:ODJ917537 ONF917514:ONF917537 OXB917514:OXB917537 PGX917514:PGX917537 PQT917514:PQT917537 QAP917514:QAP917537 QKL917514:QKL917537 QUH917514:QUH917537 RED917514:RED917537 RNZ917514:RNZ917537 RXV917514:RXV917537 SHR917514:SHR917537 SRN917514:SRN917537 TBJ917514:TBJ917537 TLF917514:TLF917537 TVB917514:TVB917537 UEX917514:UEX917537 UOT917514:UOT917537 UYP917514:UYP917537 VIL917514:VIL917537 VSH917514:VSH917537 WCD917514:WCD917537 WLZ917514:WLZ917537 WVV917514:WVV917537 U983050:U983073 JJ983050:JJ983073 TF983050:TF983073 ADB983050:ADB983073 AMX983050:AMX983073 AWT983050:AWT983073 BGP983050:BGP983073 BQL983050:BQL983073 CAH983050:CAH983073 CKD983050:CKD983073 CTZ983050:CTZ983073 DDV983050:DDV983073 DNR983050:DNR983073 DXN983050:DXN983073 EHJ983050:EHJ983073 ERF983050:ERF983073 FBB983050:FBB983073 FKX983050:FKX983073 FUT983050:FUT983073 GEP983050:GEP983073 GOL983050:GOL983073 GYH983050:GYH983073 HID983050:HID983073 HRZ983050:HRZ983073 IBV983050:IBV983073 ILR983050:ILR983073 IVN983050:IVN983073 JFJ983050:JFJ983073 JPF983050:JPF983073 JZB983050:JZB983073 KIX983050:KIX983073 KST983050:KST983073 LCP983050:LCP983073 LML983050:LML983073 LWH983050:LWH983073 MGD983050:MGD983073 MPZ983050:MPZ983073 MZV983050:MZV983073 NJR983050:NJR983073 NTN983050:NTN983073 ODJ983050:ODJ983073 ONF983050:ONF983073 OXB983050:OXB983073 PGX983050:PGX983073 PQT983050:PQT983073 QAP983050:QAP983073 QKL983050:QKL983073 QUH983050:QUH983073 RED983050:RED983073 RNZ983050:RNZ983073 RXV983050:RXV983073 SHR983050:SHR983073 SRN983050:SRN983073 TBJ983050:TBJ983073 TLF983050:TLF983073 TVB983050:TVB983073 UEX983050:UEX983073 UOT983050:UOT983073 UYP983050:UYP983073 VIL983050:VIL983073 VSH983050:VSH983073 WCD983050:WCD983073 WLZ983050:WLZ983073 WVV983050:WVV983073 JL65546:JL65569 TH65546:TH65569 ADD65546:ADD65569 AMZ65546:AMZ65569 AWV65546:AWV65569 BGR65546:BGR65569 BQN65546:BQN65569 CAJ65546:CAJ65569 CKF65546:CKF65569 CUB65546:CUB65569 DDX65546:DDX65569 DNT65546:DNT65569 DXP65546:DXP65569 EHL65546:EHL65569 ERH65546:ERH65569 FBD65546:FBD65569 FKZ65546:FKZ65569 FUV65546:FUV65569 GER65546:GER65569 GON65546:GON65569 GYJ65546:GYJ65569 HIF65546:HIF65569 HSB65546:HSB65569 IBX65546:IBX65569 ILT65546:ILT65569 IVP65546:IVP65569 JFL65546:JFL65569 JPH65546:JPH65569 JZD65546:JZD65569 KIZ65546:KIZ65569 KSV65546:KSV65569 LCR65546:LCR65569 LMN65546:LMN65569 LWJ65546:LWJ65569 MGF65546:MGF65569 MQB65546:MQB65569 MZX65546:MZX65569 NJT65546:NJT65569 NTP65546:NTP65569 ODL65546:ODL65569 ONH65546:ONH65569 OXD65546:OXD65569 PGZ65546:PGZ65569 PQV65546:PQV65569 QAR65546:QAR65569 QKN65546:QKN65569 QUJ65546:QUJ65569 REF65546:REF65569 ROB65546:ROB65569 RXX65546:RXX65569 SHT65546:SHT65569 SRP65546:SRP65569 TBL65546:TBL65569 TLH65546:TLH65569 TVD65546:TVD65569 UEZ65546:UEZ65569 UOV65546:UOV65569 UYR65546:UYR65569 VIN65546:VIN65569 VSJ65546:VSJ65569 WCF65546:WCF65569 WMB65546:WMB65569 WVX65546:WVX65569 JL131082:JL131105 TH131082:TH131105 ADD131082:ADD131105 AMZ131082:AMZ131105 AWV131082:AWV131105 BGR131082:BGR131105 BQN131082:BQN131105 CAJ131082:CAJ131105 CKF131082:CKF131105 CUB131082:CUB131105 DDX131082:DDX131105 DNT131082:DNT131105 DXP131082:DXP131105 EHL131082:EHL131105 ERH131082:ERH131105 FBD131082:FBD131105 FKZ131082:FKZ131105 FUV131082:FUV131105 GER131082:GER131105 GON131082:GON131105 GYJ131082:GYJ131105 HIF131082:HIF131105 HSB131082:HSB131105 IBX131082:IBX131105 ILT131082:ILT131105 IVP131082:IVP131105 JFL131082:JFL131105 JPH131082:JPH131105 JZD131082:JZD131105 KIZ131082:KIZ131105 KSV131082:KSV131105 LCR131082:LCR131105 LMN131082:LMN131105 LWJ131082:LWJ131105 MGF131082:MGF131105 MQB131082:MQB131105 MZX131082:MZX131105 NJT131082:NJT131105 NTP131082:NTP131105 ODL131082:ODL131105 ONH131082:ONH131105 OXD131082:OXD131105 PGZ131082:PGZ131105 PQV131082:PQV131105 QAR131082:QAR131105 QKN131082:QKN131105 QUJ131082:QUJ131105 REF131082:REF131105 ROB131082:ROB131105 RXX131082:RXX131105 SHT131082:SHT131105 SRP131082:SRP131105 TBL131082:TBL131105 TLH131082:TLH131105 TVD131082:TVD131105 UEZ131082:UEZ131105 UOV131082:UOV131105 UYR131082:UYR131105 VIN131082:VIN131105 VSJ131082:VSJ131105 WCF131082:WCF131105 WMB131082:WMB131105 WVX131082:WVX131105 JL196618:JL196641 TH196618:TH196641 ADD196618:ADD196641 AMZ196618:AMZ196641 AWV196618:AWV196641 BGR196618:BGR196641 BQN196618:BQN196641 CAJ196618:CAJ196641 CKF196618:CKF196641 CUB196618:CUB196641 DDX196618:DDX196641 DNT196618:DNT196641 DXP196618:DXP196641 EHL196618:EHL196641 ERH196618:ERH196641 FBD196618:FBD196641 FKZ196618:FKZ196641 FUV196618:FUV196641 GER196618:GER196641 GON196618:GON196641 GYJ196618:GYJ196641 HIF196618:HIF196641 HSB196618:HSB196641 IBX196618:IBX196641 ILT196618:ILT196641 IVP196618:IVP196641 JFL196618:JFL196641 JPH196618:JPH196641 JZD196618:JZD196641 KIZ196618:KIZ196641 KSV196618:KSV196641 LCR196618:LCR196641 LMN196618:LMN196641 LWJ196618:LWJ196641 MGF196618:MGF196641 MQB196618:MQB196641 MZX196618:MZX196641 NJT196618:NJT196641 NTP196618:NTP196641 ODL196618:ODL196641 ONH196618:ONH196641 OXD196618:OXD196641 PGZ196618:PGZ196641 PQV196618:PQV196641 QAR196618:QAR196641 QKN196618:QKN196641 QUJ196618:QUJ196641 REF196618:REF196641 ROB196618:ROB196641 RXX196618:RXX196641 SHT196618:SHT196641 SRP196618:SRP196641 TBL196618:TBL196641 TLH196618:TLH196641 TVD196618:TVD196641 UEZ196618:UEZ196641 UOV196618:UOV196641 UYR196618:UYR196641 VIN196618:VIN196641 VSJ196618:VSJ196641 WCF196618:WCF196641 WMB196618:WMB196641 WVX196618:WVX196641 JL262154:JL262177 TH262154:TH262177 ADD262154:ADD262177 AMZ262154:AMZ262177 AWV262154:AWV262177 BGR262154:BGR262177 BQN262154:BQN262177 CAJ262154:CAJ262177 CKF262154:CKF262177 CUB262154:CUB262177 DDX262154:DDX262177 DNT262154:DNT262177 DXP262154:DXP262177 EHL262154:EHL262177 ERH262154:ERH262177 FBD262154:FBD262177 FKZ262154:FKZ262177 FUV262154:FUV262177 GER262154:GER262177 GON262154:GON262177 GYJ262154:GYJ262177 HIF262154:HIF262177 HSB262154:HSB262177 IBX262154:IBX262177 ILT262154:ILT262177 IVP262154:IVP262177 JFL262154:JFL262177 JPH262154:JPH262177 JZD262154:JZD262177 KIZ262154:KIZ262177 KSV262154:KSV262177 LCR262154:LCR262177 LMN262154:LMN262177 LWJ262154:LWJ262177 MGF262154:MGF262177 MQB262154:MQB262177 MZX262154:MZX262177 NJT262154:NJT262177 NTP262154:NTP262177 ODL262154:ODL262177 ONH262154:ONH262177 OXD262154:OXD262177 PGZ262154:PGZ262177 PQV262154:PQV262177 QAR262154:QAR262177 QKN262154:QKN262177 QUJ262154:QUJ262177 REF262154:REF262177 ROB262154:ROB262177 RXX262154:RXX262177 SHT262154:SHT262177 SRP262154:SRP262177 TBL262154:TBL262177 TLH262154:TLH262177 TVD262154:TVD262177 UEZ262154:UEZ262177 UOV262154:UOV262177 UYR262154:UYR262177 VIN262154:VIN262177 VSJ262154:VSJ262177 WCF262154:WCF262177 WMB262154:WMB262177 WVX262154:WVX262177 JL327690:JL327713 TH327690:TH327713 ADD327690:ADD327713 AMZ327690:AMZ327713 AWV327690:AWV327713 BGR327690:BGR327713 BQN327690:BQN327713 CAJ327690:CAJ327713 CKF327690:CKF327713 CUB327690:CUB327713 DDX327690:DDX327713 DNT327690:DNT327713 DXP327690:DXP327713 EHL327690:EHL327713 ERH327690:ERH327713 FBD327690:FBD327713 FKZ327690:FKZ327713 FUV327690:FUV327713 GER327690:GER327713 GON327690:GON327713 GYJ327690:GYJ327713 HIF327690:HIF327713 HSB327690:HSB327713 IBX327690:IBX327713 ILT327690:ILT327713 IVP327690:IVP327713 JFL327690:JFL327713 JPH327690:JPH327713 JZD327690:JZD327713 KIZ327690:KIZ327713 KSV327690:KSV327713 LCR327690:LCR327713 LMN327690:LMN327713 LWJ327690:LWJ327713 MGF327690:MGF327713 MQB327690:MQB327713 MZX327690:MZX327713 NJT327690:NJT327713 NTP327690:NTP327713 ODL327690:ODL327713 ONH327690:ONH327713 OXD327690:OXD327713 PGZ327690:PGZ327713 PQV327690:PQV327713 QAR327690:QAR327713 QKN327690:QKN327713 QUJ327690:QUJ327713 REF327690:REF327713 ROB327690:ROB327713 RXX327690:RXX327713 SHT327690:SHT327713 SRP327690:SRP327713 TBL327690:TBL327713 TLH327690:TLH327713 TVD327690:TVD327713 UEZ327690:UEZ327713 UOV327690:UOV327713 UYR327690:UYR327713 VIN327690:VIN327713 VSJ327690:VSJ327713 WCF327690:WCF327713 WMB327690:WMB327713 WVX327690:WVX327713 JL393226:JL393249 TH393226:TH393249 ADD393226:ADD393249 AMZ393226:AMZ393249 AWV393226:AWV393249 BGR393226:BGR393249 BQN393226:BQN393249 CAJ393226:CAJ393249 CKF393226:CKF393249 CUB393226:CUB393249 DDX393226:DDX393249 DNT393226:DNT393249 DXP393226:DXP393249 EHL393226:EHL393249 ERH393226:ERH393249 FBD393226:FBD393249 FKZ393226:FKZ393249 FUV393226:FUV393249 GER393226:GER393249 GON393226:GON393249 GYJ393226:GYJ393249 HIF393226:HIF393249 HSB393226:HSB393249 IBX393226:IBX393249 ILT393226:ILT393249 IVP393226:IVP393249 JFL393226:JFL393249 JPH393226:JPH393249 JZD393226:JZD393249 KIZ393226:KIZ393249 KSV393226:KSV393249 LCR393226:LCR393249 LMN393226:LMN393249 LWJ393226:LWJ393249 MGF393226:MGF393249 MQB393226:MQB393249 MZX393226:MZX393249 NJT393226:NJT393249 NTP393226:NTP393249 ODL393226:ODL393249 ONH393226:ONH393249 OXD393226:OXD393249 PGZ393226:PGZ393249 PQV393226:PQV393249 QAR393226:QAR393249 QKN393226:QKN393249 QUJ393226:QUJ393249 REF393226:REF393249 ROB393226:ROB393249 RXX393226:RXX393249 SHT393226:SHT393249 SRP393226:SRP393249 TBL393226:TBL393249 TLH393226:TLH393249 TVD393226:TVD393249 UEZ393226:UEZ393249 UOV393226:UOV393249 UYR393226:UYR393249 VIN393226:VIN393249 VSJ393226:VSJ393249 WCF393226:WCF393249 WMB393226:WMB393249 WVX393226:WVX393249 JL458762:JL458785 TH458762:TH458785 ADD458762:ADD458785 AMZ458762:AMZ458785 AWV458762:AWV458785 BGR458762:BGR458785 BQN458762:BQN458785 CAJ458762:CAJ458785 CKF458762:CKF458785 CUB458762:CUB458785 DDX458762:DDX458785 DNT458762:DNT458785 DXP458762:DXP458785 EHL458762:EHL458785 ERH458762:ERH458785 FBD458762:FBD458785 FKZ458762:FKZ458785 FUV458762:FUV458785 GER458762:GER458785 GON458762:GON458785 GYJ458762:GYJ458785 HIF458762:HIF458785 HSB458762:HSB458785 IBX458762:IBX458785 ILT458762:ILT458785 IVP458762:IVP458785 JFL458762:JFL458785 JPH458762:JPH458785 JZD458762:JZD458785 KIZ458762:KIZ458785 KSV458762:KSV458785 LCR458762:LCR458785 LMN458762:LMN458785 LWJ458762:LWJ458785 MGF458762:MGF458785 MQB458762:MQB458785 MZX458762:MZX458785 NJT458762:NJT458785 NTP458762:NTP458785 ODL458762:ODL458785 ONH458762:ONH458785 OXD458762:OXD458785 PGZ458762:PGZ458785 PQV458762:PQV458785 QAR458762:QAR458785 QKN458762:QKN458785 QUJ458762:QUJ458785 REF458762:REF458785 ROB458762:ROB458785 RXX458762:RXX458785 SHT458762:SHT458785 SRP458762:SRP458785 TBL458762:TBL458785 TLH458762:TLH458785 TVD458762:TVD458785 UEZ458762:UEZ458785 UOV458762:UOV458785 UYR458762:UYR458785 VIN458762:VIN458785 VSJ458762:VSJ458785 WCF458762:WCF458785 WMB458762:WMB458785 WVX458762:WVX458785 JL524298:JL524321 TH524298:TH524321 ADD524298:ADD524321 AMZ524298:AMZ524321 AWV524298:AWV524321 BGR524298:BGR524321 BQN524298:BQN524321 CAJ524298:CAJ524321 CKF524298:CKF524321 CUB524298:CUB524321 DDX524298:DDX524321 DNT524298:DNT524321 DXP524298:DXP524321 EHL524298:EHL524321 ERH524298:ERH524321 FBD524298:FBD524321 FKZ524298:FKZ524321 FUV524298:FUV524321 GER524298:GER524321 GON524298:GON524321 GYJ524298:GYJ524321 HIF524298:HIF524321 HSB524298:HSB524321 IBX524298:IBX524321 ILT524298:ILT524321 IVP524298:IVP524321 JFL524298:JFL524321 JPH524298:JPH524321 JZD524298:JZD524321 KIZ524298:KIZ524321 KSV524298:KSV524321 LCR524298:LCR524321 LMN524298:LMN524321 LWJ524298:LWJ524321 MGF524298:MGF524321 MQB524298:MQB524321 MZX524298:MZX524321 NJT524298:NJT524321 NTP524298:NTP524321 ODL524298:ODL524321 ONH524298:ONH524321 OXD524298:OXD524321 PGZ524298:PGZ524321 PQV524298:PQV524321 QAR524298:QAR524321 QKN524298:QKN524321 QUJ524298:QUJ524321 REF524298:REF524321 ROB524298:ROB524321 RXX524298:RXX524321 SHT524298:SHT524321 SRP524298:SRP524321 TBL524298:TBL524321 TLH524298:TLH524321 TVD524298:TVD524321 UEZ524298:UEZ524321 UOV524298:UOV524321 UYR524298:UYR524321 VIN524298:VIN524321 VSJ524298:VSJ524321 WCF524298:WCF524321 WMB524298:WMB524321 WVX524298:WVX524321 JL589834:JL589857 TH589834:TH589857 ADD589834:ADD589857 AMZ589834:AMZ589857 AWV589834:AWV589857 BGR589834:BGR589857 BQN589834:BQN589857 CAJ589834:CAJ589857 CKF589834:CKF589857 CUB589834:CUB589857 DDX589834:DDX589857 DNT589834:DNT589857 DXP589834:DXP589857 EHL589834:EHL589857 ERH589834:ERH589857 FBD589834:FBD589857 FKZ589834:FKZ589857 FUV589834:FUV589857 GER589834:GER589857 GON589834:GON589857 GYJ589834:GYJ589857 HIF589834:HIF589857 HSB589834:HSB589857 IBX589834:IBX589857 ILT589834:ILT589857 IVP589834:IVP589857 JFL589834:JFL589857 JPH589834:JPH589857 JZD589834:JZD589857 KIZ589834:KIZ589857 KSV589834:KSV589857 LCR589834:LCR589857 LMN589834:LMN589857 LWJ589834:LWJ589857 MGF589834:MGF589857 MQB589834:MQB589857 MZX589834:MZX589857 NJT589834:NJT589857 NTP589834:NTP589857 ODL589834:ODL589857 ONH589834:ONH589857 OXD589834:OXD589857 PGZ589834:PGZ589857 PQV589834:PQV589857 QAR589834:QAR589857 QKN589834:QKN589857 QUJ589834:QUJ589857 REF589834:REF589857 ROB589834:ROB589857 RXX589834:RXX589857 SHT589834:SHT589857 SRP589834:SRP589857 TBL589834:TBL589857 TLH589834:TLH589857 TVD589834:TVD589857 UEZ589834:UEZ589857 UOV589834:UOV589857 UYR589834:UYR589857 VIN589834:VIN589857 VSJ589834:VSJ589857 WCF589834:WCF589857 WMB589834:WMB589857 WVX589834:WVX589857 JL655370:JL655393 TH655370:TH655393 ADD655370:ADD655393 AMZ655370:AMZ655393 AWV655370:AWV655393 BGR655370:BGR655393 BQN655370:BQN655393 CAJ655370:CAJ655393 CKF655370:CKF655393 CUB655370:CUB655393 DDX655370:DDX655393 DNT655370:DNT655393 DXP655370:DXP655393 EHL655370:EHL655393 ERH655370:ERH655393 FBD655370:FBD655393 FKZ655370:FKZ655393 FUV655370:FUV655393 GER655370:GER655393 GON655370:GON655393 GYJ655370:GYJ655393 HIF655370:HIF655393 HSB655370:HSB655393 IBX655370:IBX655393 ILT655370:ILT655393 IVP655370:IVP655393 JFL655370:JFL655393 JPH655370:JPH655393 JZD655370:JZD655393 KIZ655370:KIZ655393 KSV655370:KSV655393 LCR655370:LCR655393 LMN655370:LMN655393 LWJ655370:LWJ655393 MGF655370:MGF655393 MQB655370:MQB655393 MZX655370:MZX655393 NJT655370:NJT655393 NTP655370:NTP655393 ODL655370:ODL655393 ONH655370:ONH655393 OXD655370:OXD655393 PGZ655370:PGZ655393 PQV655370:PQV655393 QAR655370:QAR655393 QKN655370:QKN655393 QUJ655370:QUJ655393 REF655370:REF655393 ROB655370:ROB655393 RXX655370:RXX655393 SHT655370:SHT655393 SRP655370:SRP655393 TBL655370:TBL655393 TLH655370:TLH655393 TVD655370:TVD655393 UEZ655370:UEZ655393 UOV655370:UOV655393 UYR655370:UYR655393 VIN655370:VIN655393 VSJ655370:VSJ655393 WCF655370:WCF655393 WMB655370:WMB655393 WVX655370:WVX655393 JL720906:JL720929 TH720906:TH720929 ADD720906:ADD720929 AMZ720906:AMZ720929 AWV720906:AWV720929 BGR720906:BGR720929 BQN720906:BQN720929 CAJ720906:CAJ720929 CKF720906:CKF720929 CUB720906:CUB720929 DDX720906:DDX720929 DNT720906:DNT720929 DXP720906:DXP720929 EHL720906:EHL720929 ERH720906:ERH720929 FBD720906:FBD720929 FKZ720906:FKZ720929 FUV720906:FUV720929 GER720906:GER720929 GON720906:GON720929 GYJ720906:GYJ720929 HIF720906:HIF720929 HSB720906:HSB720929 IBX720906:IBX720929 ILT720906:ILT720929 IVP720906:IVP720929 JFL720906:JFL720929 JPH720906:JPH720929 JZD720906:JZD720929 KIZ720906:KIZ720929 KSV720906:KSV720929 LCR720906:LCR720929 LMN720906:LMN720929 LWJ720906:LWJ720929 MGF720906:MGF720929 MQB720906:MQB720929 MZX720906:MZX720929 NJT720906:NJT720929 NTP720906:NTP720929 ODL720906:ODL720929 ONH720906:ONH720929 OXD720906:OXD720929 PGZ720906:PGZ720929 PQV720906:PQV720929 QAR720906:QAR720929 QKN720906:QKN720929 QUJ720906:QUJ720929 REF720906:REF720929 ROB720906:ROB720929 RXX720906:RXX720929 SHT720906:SHT720929 SRP720906:SRP720929 TBL720906:TBL720929 TLH720906:TLH720929 TVD720906:TVD720929 UEZ720906:UEZ720929 UOV720906:UOV720929 UYR720906:UYR720929 VIN720906:VIN720929 VSJ720906:VSJ720929 WCF720906:WCF720929 WMB720906:WMB720929 WVX720906:WVX720929 JL786442:JL786465 TH786442:TH786465 ADD786442:ADD786465 AMZ786442:AMZ786465 AWV786442:AWV786465 BGR786442:BGR786465 BQN786442:BQN786465 CAJ786442:CAJ786465 CKF786442:CKF786465 CUB786442:CUB786465 DDX786442:DDX786465 DNT786442:DNT786465 DXP786442:DXP786465 EHL786442:EHL786465 ERH786442:ERH786465 FBD786442:FBD786465 FKZ786442:FKZ786465 FUV786442:FUV786465 GER786442:GER786465 GON786442:GON786465 GYJ786442:GYJ786465 HIF786442:HIF786465 HSB786442:HSB786465 IBX786442:IBX786465 ILT786442:ILT786465 IVP786442:IVP786465 JFL786442:JFL786465 JPH786442:JPH786465 JZD786442:JZD786465 KIZ786442:KIZ786465 KSV786442:KSV786465 LCR786442:LCR786465 LMN786442:LMN786465 LWJ786442:LWJ786465 MGF786442:MGF786465 MQB786442:MQB786465 MZX786442:MZX786465 NJT786442:NJT786465 NTP786442:NTP786465 ODL786442:ODL786465 ONH786442:ONH786465 OXD786442:OXD786465 PGZ786442:PGZ786465 PQV786442:PQV786465 QAR786442:QAR786465 QKN786442:QKN786465 QUJ786442:QUJ786465 REF786442:REF786465 ROB786442:ROB786465 RXX786442:RXX786465 SHT786442:SHT786465 SRP786442:SRP786465 TBL786442:TBL786465 TLH786442:TLH786465 TVD786442:TVD786465 UEZ786442:UEZ786465 UOV786442:UOV786465 UYR786442:UYR786465 VIN786442:VIN786465 VSJ786442:VSJ786465 WCF786442:WCF786465 WMB786442:WMB786465 WVX786442:WVX786465 JL851978:JL852001 TH851978:TH852001 ADD851978:ADD852001 AMZ851978:AMZ852001 AWV851978:AWV852001 BGR851978:BGR852001 BQN851978:BQN852001 CAJ851978:CAJ852001 CKF851978:CKF852001 CUB851978:CUB852001 DDX851978:DDX852001 DNT851978:DNT852001 DXP851978:DXP852001 EHL851978:EHL852001 ERH851978:ERH852001 FBD851978:FBD852001 FKZ851978:FKZ852001 FUV851978:FUV852001 GER851978:GER852001 GON851978:GON852001 GYJ851978:GYJ852001 HIF851978:HIF852001 HSB851978:HSB852001 IBX851978:IBX852001 ILT851978:ILT852001 IVP851978:IVP852001 JFL851978:JFL852001 JPH851978:JPH852001 JZD851978:JZD852001 KIZ851978:KIZ852001 KSV851978:KSV852001 LCR851978:LCR852001 LMN851978:LMN852001 LWJ851978:LWJ852001 MGF851978:MGF852001 MQB851978:MQB852001 MZX851978:MZX852001 NJT851978:NJT852001 NTP851978:NTP852001 ODL851978:ODL852001 ONH851978:ONH852001 OXD851978:OXD852001 PGZ851978:PGZ852001 PQV851978:PQV852001 QAR851978:QAR852001 QKN851978:QKN852001 QUJ851978:QUJ852001 REF851978:REF852001 ROB851978:ROB852001 RXX851978:RXX852001 SHT851978:SHT852001 SRP851978:SRP852001 TBL851978:TBL852001 TLH851978:TLH852001 TVD851978:TVD852001 UEZ851978:UEZ852001 UOV851978:UOV852001 UYR851978:UYR852001 VIN851978:VIN852001 VSJ851978:VSJ852001 WCF851978:WCF852001 WMB851978:WMB852001 WVX851978:WVX852001 JL917514:JL917537 TH917514:TH917537 ADD917514:ADD917537 AMZ917514:AMZ917537 AWV917514:AWV917537 BGR917514:BGR917537 BQN917514:BQN917537 CAJ917514:CAJ917537 CKF917514:CKF917537 CUB917514:CUB917537 DDX917514:DDX917537 DNT917514:DNT917537 DXP917514:DXP917537 EHL917514:EHL917537 ERH917514:ERH917537 FBD917514:FBD917537 FKZ917514:FKZ917537 FUV917514:FUV917537 GER917514:GER917537 GON917514:GON917537 GYJ917514:GYJ917537 HIF917514:HIF917537 HSB917514:HSB917537 IBX917514:IBX917537 ILT917514:ILT917537 IVP917514:IVP917537 JFL917514:JFL917537 JPH917514:JPH917537 JZD917514:JZD917537 KIZ917514:KIZ917537 KSV917514:KSV917537 LCR917514:LCR917537 LMN917514:LMN917537 LWJ917514:LWJ917537 MGF917514:MGF917537 MQB917514:MQB917537 MZX917514:MZX917537 NJT917514:NJT917537 NTP917514:NTP917537 ODL917514:ODL917537 ONH917514:ONH917537 OXD917514:OXD917537 PGZ917514:PGZ917537 PQV917514:PQV917537 QAR917514:QAR917537 QKN917514:QKN917537 QUJ917514:QUJ917537 REF917514:REF917537 ROB917514:ROB917537 RXX917514:RXX917537 SHT917514:SHT917537 SRP917514:SRP917537 TBL917514:TBL917537 TLH917514:TLH917537 TVD917514:TVD917537 UEZ917514:UEZ917537 UOV917514:UOV917537 UYR917514:UYR917537 VIN917514:VIN917537 VSJ917514:VSJ917537 WCF917514:WCF917537 WMB917514:WMB917537 WVX917514:WVX917537 JL983050:JL983073 TH983050:TH983073 ADD983050:ADD983073 AMZ983050:AMZ983073 AWV983050:AWV983073 BGR983050:BGR983073 BQN983050:BQN983073 CAJ983050:CAJ983073 CKF983050:CKF983073 CUB983050:CUB983073 DDX983050:DDX983073 DNT983050:DNT983073 DXP983050:DXP983073 EHL983050:EHL983073 ERH983050:ERH983073 FBD983050:FBD983073 FKZ983050:FKZ983073 FUV983050:FUV983073 GER983050:GER983073 GON983050:GON983073 GYJ983050:GYJ983073 HIF983050:HIF983073 HSB983050:HSB983073 IBX983050:IBX983073 ILT983050:ILT983073 IVP983050:IVP983073 JFL983050:JFL983073 JPH983050:JPH983073 JZD983050:JZD983073 KIZ983050:KIZ983073 KSV983050:KSV983073 LCR983050:LCR983073 LMN983050:LMN983073 LWJ983050:LWJ983073 MGF983050:MGF983073 MQB983050:MQB983073 MZX983050:MZX983073 NJT983050:NJT983073 NTP983050:NTP983073 ODL983050:ODL983073 ONH983050:ONH983073 OXD983050:OXD983073 PGZ983050:PGZ983073 PQV983050:PQV983073 QAR983050:QAR983073 QKN983050:QKN983073 QUJ983050:QUJ983073 REF983050:REF983073 ROB983050:ROB983073 RXX983050:RXX983073 SHT983050:SHT983073 SRP983050:SRP983073 TBL983050:TBL983073 TLH983050:TLH983073 TVD983050:TVD983073 UEZ983050:UEZ983073 UOV983050:UOV983073 UYR983050:UYR983073 VIN983050:VIN983073 VSJ983050:VSJ983073 WCF983050:WCF983073 WMB983050:WMB983073 SQ11:SQ23 IU11:IU23 WVI11:WVI23 WLM11:WLM23 WBQ11:WBQ23 VRU11:VRU23 VHY11:VHY23 UYC11:UYC23 UOG11:UOG23 UEK11:UEK23 TUO11:TUO23 TKS11:TKS23 TAW11:TAW23 SRA11:SRA23 SHE11:SHE23 RXI11:RXI23 RNM11:RNM23 RDQ11:RDQ23 QTU11:QTU23 QJY11:QJY23 QAC11:QAC23 PQG11:PQG23 PGK11:PGK23 OWO11:OWO23 OMS11:OMS23 OCW11:OCW23 NTA11:NTA23 NJE11:NJE23 MZI11:MZI23 MPM11:MPM23 MFQ11:MFQ23 LVU11:LVU23 LLY11:LLY23 LCC11:LCC23 KSG11:KSG23 KIK11:KIK23 JYO11:JYO23 JOS11:JOS23 JEW11:JEW23 IVA11:IVA23 ILE11:ILE23 IBI11:IBI23 HRM11:HRM23 HHQ11:HHQ23 GXU11:GXU23 GNY11:GNY23 GEC11:GEC23 FUG11:FUG23 FKK11:FKK23 FAO11:FAO23 EQS11:EQS23 EGW11:EGW23 DXA11:DXA23 DNE11:DNE23 DDI11:DDI23 CTM11:CTM23 CJQ11:CJQ23 BZU11:BZU23 BPY11:BPY23 BGC11:BGC23 AWG11:AWG23 AMK11:AMK23 ACO11:ACO23 SS11:SS23 IW11:IW23 WVG11:WVG23 WLK11:WLK23 WBO11:WBO23 VRS11:VRS23 VHW11:VHW23 UYA11:UYA23 UOE11:UOE23 UEI11:UEI23 TUM11:TUM23 TKQ11:TKQ23 TAU11:TAU23 SQY11:SQY23 SHC11:SHC23 RXG11:RXG23 RNK11:RNK23 RDO11:RDO23 QTS11:QTS23 QJW11:QJW23 QAA11:QAA23 PQE11:PQE23 PGI11:PGI23 OWM11:OWM23 OMQ11:OMQ23 OCU11:OCU23 NSY11:NSY23 NJC11:NJC23 MZG11:MZG23 MPK11:MPK23 MFO11:MFO23 LVS11:LVS23 LLW11:LLW23 LCA11:LCA23 KSE11:KSE23 KII11:KII23 JYM11:JYM23 JOQ11:JOQ23 JEU11:JEU23 IUY11:IUY23 ILC11:ILC23 IBG11:IBG23 HRK11:HRK23 HHO11:HHO23 GXS11:GXS23 GNW11:GNW23 GEA11:GEA23 FUE11:FUE23 FKI11:FKI23 FAM11:FAM23 EQQ11:EQQ23 EGU11:EGU23 DWY11:DWY23 DNC11:DNC23 DDG11:DDG23 CTK11:CTK23 CJO11:CJO23 BZS11:BZS23 BPW11:BPW23 BGA11:BGA23 AWE11:AWE23 AMI11:AMI23 ACM11:ACM23 U11:U34 W11:W34" xr:uid="{00000000-0002-0000-0700-000001000000}">
      <formula1>"1,2,3,4"</formula1>
    </dataValidation>
  </dataValidations>
  <pageMargins left="0" right="0" top="0.39370078740157483" bottom="0.59055118110236227" header="0.51181102362204722" footer="0.39370078740157483"/>
  <pageSetup paperSize="9" scale="82" fitToHeight="0" orientation="landscape" r:id="rId1"/>
  <headerFooter alignWithMargins="0">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具名範圍</vt:lpstr>
      </vt:variant>
      <vt:variant>
        <vt:i4>11</vt:i4>
      </vt:variant>
    </vt:vector>
  </HeadingPairs>
  <TitlesOfParts>
    <vt:vector size="19" baseType="lpstr">
      <vt:lpstr>資訊清單資訊</vt:lpstr>
      <vt:lpstr>資料類資產群組清單</vt:lpstr>
      <vt:lpstr>評估標準</vt:lpstr>
      <vt:lpstr>資料類風險材1-1-DA-01</vt:lpstr>
      <vt:lpstr>資料類風險材1-1-DA-02</vt:lpstr>
      <vt:lpstr>資料類風險材1-1-DA-03</vt:lpstr>
      <vt:lpstr>資料類風險材1-1-DA-04</vt:lpstr>
      <vt:lpstr>資料類風險材1-1-DA-05</vt:lpstr>
      <vt:lpstr>ALL_LIST</vt:lpstr>
      <vt:lpstr>'資料類風險材1-1-DA-01'!Print_Area</vt:lpstr>
      <vt:lpstr>'資料類風險材1-1-DA-02'!Print_Area</vt:lpstr>
      <vt:lpstr>'資料類風險材1-1-DA-03'!Print_Area</vt:lpstr>
      <vt:lpstr>'資料類風險材1-1-DA-04'!Print_Area</vt:lpstr>
      <vt:lpstr>'資料類風險材1-1-DA-05'!Print_Area</vt:lpstr>
      <vt:lpstr>'資料類風險材1-1-DA-01'!Print_Titles</vt:lpstr>
      <vt:lpstr>'資料類風險材1-1-DA-02'!Print_Titles</vt:lpstr>
      <vt:lpstr>'資料類風險材1-1-DA-03'!Print_Titles</vt:lpstr>
      <vt:lpstr>'資料類風險材1-1-DA-04'!Print_Titles</vt:lpstr>
      <vt:lpstr>'資料類風險材1-1-DA-05'!Print_Titles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徐怡婷</dc:creator>
  <cp:lastModifiedBy>joyce</cp:lastModifiedBy>
  <cp:lastPrinted>2020-06-19T07:03:06Z</cp:lastPrinted>
  <dcterms:created xsi:type="dcterms:W3CDTF">2016-07-21T06:30:48Z</dcterms:created>
  <dcterms:modified xsi:type="dcterms:W3CDTF">2024-03-19T06:20:06Z</dcterms:modified>
</cp:coreProperties>
</file>