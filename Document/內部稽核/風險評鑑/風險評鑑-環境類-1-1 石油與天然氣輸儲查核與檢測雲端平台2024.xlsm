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51196F13-6AD0-C1B8-E2B4-A1F9AE17003E}"/>
  <workbookPr codeName="ThisWorkbook"/>
  <mc:AlternateContent xmlns:mc="http://schemas.openxmlformats.org/markup-compatibility/2006">
    <mc:Choice Requires="x15">
      <x15ac:absPath xmlns:x15ac="http://schemas.microsoft.com/office/spreadsheetml/2010/11/ac" url="C:\Users\My Document\20210416_NB Data\My Doc\0_工研院\113\1_RA\材化所\1-1_石油與天然氣輸儲查核與檢測雲端平台\"/>
    </mc:Choice>
  </mc:AlternateContent>
  <xr:revisionPtr revIDLastSave="0" documentId="13_ncr:1_{21E09966-5F93-4818-AE92-180D85D92C56}" xr6:coauthVersionLast="47" xr6:coauthVersionMax="47" xr10:uidLastSave="{00000000-0000-0000-0000-000000000000}"/>
  <bookViews>
    <workbookView xWindow="-110" yWindow="-110" windowWidth="19420" windowHeight="10300" tabRatio="714" activeTab="1" xr2:uid="{00000000-000D-0000-FFFF-FFFF00000000}"/>
  </bookViews>
  <sheets>
    <sheet name="資訊清單資訊" sheetId="1" r:id="rId1"/>
    <sheet name="資料類資產群組清單" sheetId="2" r:id="rId2"/>
    <sheet name="評估標準" sheetId="4" r:id="rId3"/>
    <sheet name="環境類風險材1-1-EN-01" sheetId="9" r:id="rId4"/>
  </sheets>
  <externalReferences>
    <externalReference r:id="rId5"/>
    <externalReference r:id="rId6"/>
  </externalReferences>
  <definedNames>
    <definedName name="_xlnm._FilterDatabase" localSheetId="1" hidden="1">資料類資產群組清單!$A$9:$Q$9</definedName>
    <definedName name="_xlnm._FilterDatabase" localSheetId="3" hidden="1">'環境類風險材1-1-EN-01'!$M$10:$Z$10</definedName>
    <definedName name="All_Availability">[1]Ref!$S$3:$S$6</definedName>
    <definedName name="All_Confidential">[1]Ref!$M$3:$M$6</definedName>
    <definedName name="All_Impact">[1]Ref!$AB$3:$AB$6</definedName>
    <definedName name="All_Integrity">[1]Ref!$P$3:$P$6</definedName>
    <definedName name="All_Law">[1]Ref!$V$3:$V$6</definedName>
    <definedName name="All_Likelihood">[1]Ref!$Y$3:$Y$6</definedName>
    <definedName name="ALL_LIST">資料類資產群組清單!$A$10:$Q$160</definedName>
    <definedName name="All_YN">[1]Ref!$AE$3:$AE$4</definedName>
    <definedName name="PE_SUBLIST">評估標準!#REF!</definedName>
    <definedName name="PE_Subtype">[1]Ref!$C$3:$C$12</definedName>
    <definedName name="PE_TypeList">[1]人員資產群組清單!$D$10:$D$34</definedName>
    <definedName name="PE_TypeSum">[1]Ref!$C$3:$D$12</definedName>
    <definedName name="_xlnm.Print_Area" localSheetId="3">'環境類風險材1-1-EN-01'!$M$1:$U$27</definedName>
    <definedName name="_xlnm.Print_Titles" localSheetId="3">'環境類風險材1-1-EN-01'!$2:$10</definedName>
    <definedName name="SW_List">[2]軟體資產群組清單!$A$11:$R$50</definedName>
    <definedName name="法律遵循">#REF!</definedName>
    <definedName name="業務運作">#REF!</definedName>
    <definedName name="業務類別">#REF!</definedName>
    <definedName name="業務類別名">#REF!</definedName>
    <definedName name="資產保護">#REF!</definedName>
    <definedName name="資產類別">#REF!</definedName>
    <definedName name="資產類別名">#REF!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0" i="2" l="1"/>
  <c r="Y26" i="9" l="1"/>
  <c r="Y25" i="9"/>
  <c r="Y24" i="9"/>
  <c r="Y23" i="9"/>
  <c r="Y22" i="9"/>
  <c r="Y16" i="9"/>
  <c r="Y15" i="9"/>
  <c r="Y27" i="9" l="1"/>
  <c r="J27" i="9"/>
  <c r="I27" i="9"/>
  <c r="H27" i="9"/>
  <c r="G27" i="9"/>
  <c r="F27" i="9"/>
  <c r="E27" i="9"/>
  <c r="D27" i="9"/>
  <c r="C27" i="9"/>
  <c r="B27" i="9"/>
  <c r="A27" i="9"/>
  <c r="J21" i="9"/>
  <c r="I21" i="9"/>
  <c r="H21" i="9"/>
  <c r="G21" i="9"/>
  <c r="F21" i="9"/>
  <c r="E21" i="9"/>
  <c r="D21" i="9"/>
  <c r="C21" i="9"/>
  <c r="B21" i="9"/>
  <c r="A21" i="9"/>
  <c r="J20" i="9"/>
  <c r="I20" i="9"/>
  <c r="H20" i="9"/>
  <c r="G20" i="9"/>
  <c r="F20" i="9"/>
  <c r="E20" i="9"/>
  <c r="D20" i="9"/>
  <c r="C20" i="9"/>
  <c r="B20" i="9"/>
  <c r="A20" i="9"/>
  <c r="J19" i="9"/>
  <c r="I19" i="9"/>
  <c r="H19" i="9"/>
  <c r="G19" i="9"/>
  <c r="F19" i="9"/>
  <c r="E19" i="9"/>
  <c r="D19" i="9"/>
  <c r="C19" i="9"/>
  <c r="B19" i="9"/>
  <c r="A19" i="9"/>
  <c r="J18" i="9"/>
  <c r="I18" i="9"/>
  <c r="H18" i="9"/>
  <c r="G18" i="9"/>
  <c r="F18" i="9"/>
  <c r="E18" i="9"/>
  <c r="D18" i="9"/>
  <c r="C18" i="9"/>
  <c r="B18" i="9"/>
  <c r="A18" i="9"/>
  <c r="J17" i="9"/>
  <c r="I17" i="9"/>
  <c r="H17" i="9"/>
  <c r="G17" i="9"/>
  <c r="F17" i="9"/>
  <c r="E17" i="9"/>
  <c r="D17" i="9"/>
  <c r="C17" i="9"/>
  <c r="B17" i="9"/>
  <c r="A17" i="9"/>
  <c r="J16" i="9"/>
  <c r="I16" i="9"/>
  <c r="H16" i="9"/>
  <c r="G16" i="9"/>
  <c r="F16" i="9"/>
  <c r="E16" i="9"/>
  <c r="D16" i="9"/>
  <c r="C16" i="9"/>
  <c r="B16" i="9"/>
  <c r="A16" i="9"/>
  <c r="J15" i="9"/>
  <c r="I15" i="9"/>
  <c r="H15" i="9"/>
  <c r="G15" i="9"/>
  <c r="F15" i="9"/>
  <c r="E15" i="9"/>
  <c r="D15" i="9"/>
  <c r="C15" i="9"/>
  <c r="B15" i="9"/>
  <c r="A15" i="9"/>
  <c r="J14" i="9"/>
  <c r="I14" i="9"/>
  <c r="H14" i="9"/>
  <c r="G14" i="9"/>
  <c r="F14" i="9"/>
  <c r="E14" i="9"/>
  <c r="D14" i="9"/>
  <c r="C14" i="9"/>
  <c r="B14" i="9"/>
  <c r="A14" i="9"/>
  <c r="J13" i="9"/>
  <c r="I13" i="9"/>
  <c r="H13" i="9"/>
  <c r="G13" i="9"/>
  <c r="F13" i="9"/>
  <c r="E13" i="9"/>
  <c r="D13" i="9"/>
  <c r="C13" i="9"/>
  <c r="B13" i="9"/>
  <c r="A13" i="9"/>
  <c r="J12" i="9"/>
  <c r="I12" i="9"/>
  <c r="H12" i="9"/>
  <c r="G12" i="9"/>
  <c r="F12" i="9"/>
  <c r="E12" i="9"/>
  <c r="D12" i="9"/>
  <c r="C12" i="9"/>
  <c r="B12" i="9"/>
  <c r="A12" i="9"/>
  <c r="J11" i="9"/>
  <c r="I11" i="9"/>
  <c r="H11" i="9"/>
  <c r="G11" i="9"/>
  <c r="F11" i="9"/>
  <c r="E11" i="9"/>
  <c r="D11" i="9"/>
  <c r="C11" i="9"/>
  <c r="B11" i="9"/>
  <c r="A11" i="9"/>
  <c r="S2" i="9" l="1"/>
  <c r="A2" i="2"/>
  <c r="N4" i="9"/>
  <c r="N2" i="9"/>
  <c r="M1" i="9"/>
  <c r="N5" i="9"/>
  <c r="S3" i="9"/>
  <c r="A6" i="2"/>
  <c r="S6" i="9"/>
  <c r="S4" i="9"/>
  <c r="S5" i="9"/>
  <c r="A3" i="2"/>
  <c r="A4" i="2"/>
  <c r="A5" i="2"/>
  <c r="A1" i="2"/>
  <c r="A7" i="2"/>
  <c r="Y21" i="9" l="1"/>
  <c r="Y17" i="9"/>
  <c r="Y13" i="9"/>
  <c r="Y20" i="9"/>
  <c r="Y12" i="9"/>
  <c r="Y11" i="9"/>
  <c r="Y18" i="9"/>
  <c r="Y14" i="9"/>
  <c r="Y19" i="9"/>
  <c r="K19" i="9"/>
  <c r="K27" i="9"/>
  <c r="K21" i="9"/>
  <c r="K18" i="9"/>
  <c r="K17" i="9"/>
  <c r="K16" i="9"/>
  <c r="K15" i="9"/>
  <c r="K14" i="9"/>
  <c r="K13" i="9"/>
  <c r="K12" i="9"/>
  <c r="K11" i="9"/>
  <c r="K20" i="9"/>
  <c r="S7" i="9" l="1"/>
  <c r="L27" i="9" l="1"/>
  <c r="L16" i="9"/>
  <c r="L20" i="9"/>
  <c r="L19" i="9"/>
  <c r="L12" i="9"/>
  <c r="L21" i="9"/>
  <c r="L15" i="9"/>
  <c r="L18" i="9"/>
  <c r="L17" i="9"/>
  <c r="L11" i="9"/>
  <c r="L14" i="9"/>
  <c r="L1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E10" authorId="0" shapeId="0" xr:uid="{BA180546-2DE3-43F2-9047-BCB398C1A238}">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F10" authorId="0" shapeId="0" xr:uid="{AA3D792A-B4B4-4DE5-B514-C63119E45C01}">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0" authorId="0" shapeId="0" xr:uid="{E9712C5F-B15F-4C8C-BE00-9352DBBA9E7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sharedStrings.xml><?xml version="1.0" encoding="utf-8"?>
<sst xmlns="http://schemas.openxmlformats.org/spreadsheetml/2006/main" count="228" uniqueCount="176">
  <si>
    <t>版本</t>
  </si>
  <si>
    <t>機密等級</t>
  </si>
  <si>
    <t>資產子類別</t>
    <phoneticPr fontId="4" type="noConversion"/>
  </si>
  <si>
    <t>數量</t>
    <phoneticPr fontId="4" type="noConversion"/>
  </si>
  <si>
    <t>弱點</t>
  </si>
  <si>
    <t>資產類別編號：</t>
  </si>
  <si>
    <t>評鑑人員：</t>
  </si>
  <si>
    <t>評鑑日期：</t>
  </si>
  <si>
    <t>評鑑人主管：</t>
  </si>
  <si>
    <t>類別：</t>
    <phoneticPr fontId="4" type="noConversion"/>
  </si>
  <si>
    <t>資產(群組)名稱：</t>
    <phoneticPr fontId="4" type="noConversion"/>
  </si>
  <si>
    <t>資訊資產價值：</t>
    <phoneticPr fontId="4" type="noConversion"/>
  </si>
  <si>
    <t>最大綜合風險：</t>
    <phoneticPr fontId="4" type="noConversion"/>
  </si>
  <si>
    <t>資產類別編號</t>
    <phoneticPr fontId="4" type="noConversion"/>
  </si>
  <si>
    <t>資產子類別</t>
    <phoneticPr fontId="4" type="noConversion"/>
  </si>
  <si>
    <t>資產名稱</t>
    <phoneticPr fontId="4" type="noConversion"/>
  </si>
  <si>
    <t>資產說明</t>
    <phoneticPr fontId="4" type="noConversion"/>
  </si>
  <si>
    <t>負責人</t>
    <phoneticPr fontId="4" type="noConversion"/>
  </si>
  <si>
    <t>C</t>
    <phoneticPr fontId="4" type="noConversion"/>
  </si>
  <si>
    <t>I</t>
    <phoneticPr fontId="4" type="noConversion"/>
  </si>
  <si>
    <t>A</t>
    <phoneticPr fontId="4" type="noConversion"/>
  </si>
  <si>
    <t>Law</t>
    <phoneticPr fontId="4" type="noConversion"/>
  </si>
  <si>
    <t>資產價值</t>
    <phoneticPr fontId="4" type="noConversion"/>
  </si>
  <si>
    <t>威脅</t>
  </si>
  <si>
    <t>適用性</t>
    <phoneticPr fontId="4" type="noConversion"/>
  </si>
  <si>
    <t>可能性</t>
    <phoneticPr fontId="4" type="noConversion"/>
  </si>
  <si>
    <t>理由</t>
    <phoneticPr fontId="4" type="noConversion"/>
  </si>
  <si>
    <t>衝擊性</t>
    <phoneticPr fontId="4" type="noConversion"/>
  </si>
  <si>
    <t>風險值</t>
    <phoneticPr fontId="4" type="noConversion"/>
  </si>
  <si>
    <t>備註</t>
    <phoneticPr fontId="4" type="noConversion"/>
  </si>
  <si>
    <t>資訊資產風險評鑑</t>
    <phoneticPr fontId="1" type="noConversion"/>
  </si>
  <si>
    <t>最大綜合風險</t>
    <phoneticPr fontId="4" type="noConversion"/>
  </si>
  <si>
    <t>資訊資產群組清單
威脅弱點評估表</t>
    <phoneticPr fontId="1" type="noConversion"/>
  </si>
  <si>
    <r>
      <rPr>
        <b/>
        <sz val="12"/>
        <rFont val="微軟正黑體"/>
        <family val="2"/>
        <charset val="136"/>
      </rPr>
      <t>限閱級</t>
    </r>
  </si>
  <si>
    <t>發生機率評估準則</t>
  </si>
  <si>
    <t>機率</t>
  </si>
  <si>
    <t>幾乎不可能發生</t>
  </si>
  <si>
    <t>很少發生</t>
  </si>
  <si>
    <t>偶爾發生</t>
  </si>
  <si>
    <t>時常發生</t>
  </si>
  <si>
    <t>中</t>
  </si>
  <si>
    <t>高</t>
  </si>
  <si>
    <t>極高</t>
  </si>
  <si>
    <t>計畫代號</t>
    <phoneticPr fontId="1" type="noConversion"/>
  </si>
  <si>
    <t>編號</t>
    <phoneticPr fontId="1" type="noConversion"/>
  </si>
  <si>
    <t>日期</t>
    <phoneticPr fontId="1" type="noConversion"/>
  </si>
  <si>
    <t>可能性(弱點)-事件發生機率評估標準</t>
    <phoneticPr fontId="1" type="noConversion"/>
  </si>
  <si>
    <r>
      <t>1年內可能發生</t>
    </r>
    <r>
      <rPr>
        <sz val="12"/>
        <color rgb="FFFF0000"/>
        <rFont val="微軟正黑體"/>
        <family val="2"/>
        <charset val="136"/>
      </rPr>
      <t>5次~ 7次</t>
    </r>
    <phoneticPr fontId="1" type="noConversion"/>
  </si>
  <si>
    <t>等級</t>
    <phoneticPr fontId="1" type="noConversion"/>
  </si>
  <si>
    <r>
      <t>1年內可能發生</t>
    </r>
    <r>
      <rPr>
        <sz val="12"/>
        <color rgb="FFFF0000"/>
        <rFont val="微軟正黑體"/>
        <family val="2"/>
        <charset val="136"/>
      </rPr>
      <t>1次以下</t>
    </r>
    <phoneticPr fontId="1" type="noConversion"/>
  </si>
  <si>
    <r>
      <t>1年內可能發生</t>
    </r>
    <r>
      <rPr>
        <sz val="12"/>
        <color rgb="FFFF0000"/>
        <rFont val="微軟正黑體"/>
        <family val="2"/>
        <charset val="136"/>
      </rPr>
      <t>2次~ 4次</t>
    </r>
    <phoneticPr fontId="1" type="noConversion"/>
  </si>
  <si>
    <r>
      <t>1年內可能發生</t>
    </r>
    <r>
      <rPr>
        <sz val="12"/>
        <color rgb="FFFF0000"/>
        <rFont val="微軟正黑體"/>
        <family val="2"/>
        <charset val="136"/>
      </rPr>
      <t>8次以上</t>
    </r>
    <phoneticPr fontId="1" type="noConversion"/>
  </si>
  <si>
    <t>衝擊性(威脅)-事件衝擊程度評估標準</t>
    <phoneticPr fontId="1" type="noConversion"/>
  </si>
  <si>
    <t>低</t>
    <phoneticPr fontId="1" type="noConversion"/>
  </si>
  <si>
    <r>
      <t>風險發生幾乎</t>
    </r>
    <r>
      <rPr>
        <sz val="12"/>
        <color rgb="FFFF0000"/>
        <rFont val="微軟正黑體"/>
        <family val="2"/>
        <charset val="136"/>
      </rPr>
      <t>不會影響到業務</t>
    </r>
    <r>
      <rPr>
        <sz val="12"/>
        <color theme="1"/>
        <rFont val="微軟正黑體"/>
        <family val="2"/>
        <charset val="136"/>
      </rPr>
      <t xml:space="preserve">
（可以立即完成復原）</t>
    </r>
    <phoneticPr fontId="1" type="noConversion"/>
  </si>
  <si>
    <t>資產概述</t>
    <phoneticPr fontId="4" type="noConversion"/>
  </si>
  <si>
    <t>資產名稱</t>
    <phoneticPr fontId="4" type="noConversion"/>
  </si>
  <si>
    <t>資產說明</t>
    <phoneticPr fontId="4" type="noConversion"/>
  </si>
  <si>
    <t>位置</t>
    <phoneticPr fontId="4" type="noConversion"/>
  </si>
  <si>
    <t>數量</t>
    <phoneticPr fontId="4" type="noConversion"/>
  </si>
  <si>
    <t>負責人</t>
    <phoneticPr fontId="4" type="noConversion"/>
  </si>
  <si>
    <t>C</t>
    <phoneticPr fontId="4" type="noConversion"/>
  </si>
  <si>
    <t>理由</t>
    <phoneticPr fontId="4" type="noConversion"/>
  </si>
  <si>
    <t>I</t>
    <phoneticPr fontId="4" type="noConversion"/>
  </si>
  <si>
    <t>理由</t>
    <phoneticPr fontId="4" type="noConversion"/>
  </si>
  <si>
    <t>A</t>
    <phoneticPr fontId="4" type="noConversion"/>
  </si>
  <si>
    <t>Law</t>
    <phoneticPr fontId="4" type="noConversion"/>
  </si>
  <si>
    <t>理由</t>
    <phoneticPr fontId="4" type="noConversion"/>
  </si>
  <si>
    <t>資產
價值</t>
    <phoneticPr fontId="4" type="noConversion"/>
  </si>
  <si>
    <t>評鑑
人員</t>
    <phoneticPr fontId="4" type="noConversion"/>
  </si>
  <si>
    <t>資產價值評鑑</t>
    <phoneticPr fontId="4" type="noConversion"/>
  </si>
  <si>
    <t>資產類別
編號</t>
    <phoneticPr fontId="4" type="noConversion"/>
  </si>
  <si>
    <t>C：</t>
    <phoneticPr fontId="4" type="noConversion"/>
  </si>
  <si>
    <t>I：</t>
    <phoneticPr fontId="4" type="noConversion"/>
  </si>
  <si>
    <t>A：</t>
    <phoneticPr fontId="4" type="noConversion"/>
  </si>
  <si>
    <t>L：</t>
    <phoneticPr fontId="4" type="noConversion"/>
  </si>
  <si>
    <t>環境類(EN)</t>
    <phoneticPr fontId="1" type="noConversion"/>
  </si>
  <si>
    <t>價值評鑑</t>
    <phoneticPr fontId="1" type="noConversion"/>
  </si>
  <si>
    <t>威脅弱點評估</t>
    <phoneticPr fontId="1" type="noConversion"/>
  </si>
  <si>
    <t>H&amp;I欄不可移動</t>
    <phoneticPr fontId="1" type="noConversion"/>
  </si>
  <si>
    <t>價值</t>
  </si>
  <si>
    <t>機密性( C )-評估標準說明</t>
    <phoneticPr fontId="1" type="noConversion"/>
  </si>
  <si>
    <t>CIA關聯</t>
    <phoneticPr fontId="1" type="noConversion"/>
  </si>
  <si>
    <r>
      <rPr>
        <sz val="12"/>
        <color rgb="FFFF0000"/>
        <rFont val="微軟正黑體"/>
        <family val="2"/>
        <charset val="136"/>
      </rPr>
      <t>一般</t>
    </r>
    <r>
      <rPr>
        <sz val="12"/>
        <color theme="1"/>
        <rFont val="微軟正黑體"/>
        <family val="2"/>
        <charset val="136"/>
      </rPr>
      <t>︰此資訊資產被揭露不會對本組織造成任何影響</t>
    </r>
    <phoneticPr fontId="1" type="noConversion"/>
  </si>
  <si>
    <r>
      <rPr>
        <sz val="12"/>
        <color rgb="FFFF0000"/>
        <rFont val="微軟正黑體"/>
        <family val="2"/>
        <charset val="136"/>
      </rPr>
      <t>限閱</t>
    </r>
    <r>
      <rPr>
        <sz val="12"/>
        <color theme="1"/>
        <rFont val="微軟正黑體"/>
        <family val="2"/>
        <charset val="136"/>
      </rPr>
      <t>︰此資訊資產所包含資訊敏感且有特殊之機密性要求，僅限組織內部存取</t>
    </r>
    <phoneticPr fontId="1" type="noConversion"/>
  </si>
  <si>
    <r>
      <rPr>
        <sz val="12"/>
        <color rgb="FFFF0000"/>
        <rFont val="微軟正黑體"/>
        <family val="2"/>
        <charset val="136"/>
      </rPr>
      <t>密</t>
    </r>
    <r>
      <rPr>
        <sz val="12"/>
        <color theme="1"/>
        <rFont val="微軟正黑體"/>
        <family val="2"/>
        <charset val="136"/>
      </rPr>
      <t>︰此資訊資產所包含資訊不當揭露會對本組織營運造成顯著影響，限定特定、業務範圍人員讀取</t>
    </r>
    <phoneticPr fontId="1" type="noConversion"/>
  </si>
  <si>
    <r>
      <rPr>
        <sz val="12"/>
        <color rgb="FFFF0000"/>
        <rFont val="微軟正黑體"/>
        <family val="2"/>
        <charset val="136"/>
      </rPr>
      <t>機密</t>
    </r>
    <r>
      <rPr>
        <sz val="12"/>
        <color theme="1"/>
        <rFont val="微軟正黑體"/>
        <family val="2"/>
        <charset val="136"/>
      </rPr>
      <t>︰此資訊資產所包含資訊為內部或法律所規範的機密資訊，不當揭露會造成組織嚴重傷害，限定少數特定人員才可讀取</t>
    </r>
    <phoneticPr fontId="1" type="noConversion"/>
  </si>
  <si>
    <t>完整性( I )-評估標準說明</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</si>
  <si>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輕度影響</t>
    </r>
    <phoneticPr fontId="1" type="noConversion"/>
  </si>
  <si>
    <t>失竊</t>
    <phoneticPr fontId="4"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</si>
  <si>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中度影響</t>
    </r>
    <phoneticPr fontId="1" type="noConversion"/>
  </si>
  <si>
    <r>
      <rPr>
        <sz val="12"/>
        <color rgb="FFFF0000"/>
        <rFont val="微軟正黑體"/>
        <family val="2"/>
        <charset val="136"/>
      </rPr>
      <t>資訊</t>
    </r>
    <r>
      <rPr>
        <sz val="12"/>
        <color theme="1"/>
        <rFont val="微軟正黑體"/>
        <family val="2"/>
        <charset val="136"/>
      </rPr>
      <t>遭竄改或處理錯誤會對組織造成</t>
    </r>
    <r>
      <rPr>
        <sz val="12"/>
        <color rgb="FFFF0000"/>
        <rFont val="微軟正黑體"/>
        <family val="2"/>
        <charset val="136"/>
      </rPr>
      <t>重度影響</t>
    </r>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</si>
  <si>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極為嚴重影響</t>
    </r>
    <r>
      <rPr>
        <sz val="12"/>
        <color theme="1"/>
        <rFont val="微軟正黑體"/>
        <family val="2"/>
        <charset val="136"/>
      </rPr>
      <t>，可能會造成</t>
    </r>
    <r>
      <rPr>
        <sz val="12"/>
        <color rgb="FFFF0000"/>
        <rFont val="微軟正黑體"/>
        <family val="2"/>
        <charset val="136"/>
      </rPr>
      <t>業務終止</t>
    </r>
    <phoneticPr fontId="1" type="noConversion"/>
  </si>
  <si>
    <r>
      <t>風險發生</t>
    </r>
    <r>
      <rPr>
        <sz val="12"/>
        <color rgb="FFFF0000"/>
        <rFont val="微軟正黑體"/>
        <family val="2"/>
        <charset val="136"/>
      </rPr>
      <t>可能影響到業務</t>
    </r>
    <r>
      <rPr>
        <sz val="12"/>
        <color theme="1"/>
        <rFont val="微軟正黑體"/>
        <family val="2"/>
        <charset val="136"/>
      </rPr>
      <t xml:space="preserve">
</t>
    </r>
    <r>
      <rPr>
        <sz val="10"/>
        <color theme="1"/>
        <rFont val="微軟正黑體"/>
        <family val="2"/>
        <charset val="136"/>
      </rPr>
      <t>（可以立即完成復原，但若持續發生且次數頻繁,對業務執行可能帶來潛在風險）</t>
    </r>
    <phoneticPr fontId="1" type="noConversion"/>
  </si>
  <si>
    <t>可用性( A )-評估標準說明</t>
    <phoneticPr fontId="1" type="noConversion"/>
  </si>
  <si>
    <r>
      <t>風險發生可能</t>
    </r>
    <r>
      <rPr>
        <sz val="12"/>
        <color rgb="FFFF0000"/>
        <rFont val="微軟正黑體"/>
        <family val="2"/>
        <charset val="136"/>
      </rPr>
      <t>造成業務暫停</t>
    </r>
    <r>
      <rPr>
        <sz val="12"/>
        <color theme="1"/>
        <rFont val="微軟正黑體"/>
        <family val="2"/>
        <charset val="136"/>
      </rPr>
      <t xml:space="preserve">
</t>
    </r>
    <r>
      <rPr>
        <sz val="10"/>
        <color theme="1"/>
        <rFont val="微軟正黑體"/>
        <family val="2"/>
        <charset val="136"/>
      </rPr>
      <t>（對於本中心整體業務執行影響不大、造成的損失可能僅影響單一業務或系統、損失可能影響僅個人或少數幾人、可以由個人進行復原、修復或進行復原的措施可以在8hrs內完成）</t>
    </r>
    <phoneticPr fontId="1" type="noConversion"/>
  </si>
  <si>
    <r>
      <t>該資訊資產</t>
    </r>
    <r>
      <rPr>
        <sz val="12"/>
        <color rgb="FFFF0000"/>
        <rFont val="微軟正黑體"/>
        <family val="2"/>
        <charset val="136"/>
      </rPr>
      <t>容許失效1天</t>
    </r>
    <r>
      <rPr>
        <sz val="12"/>
        <color theme="1"/>
        <rFont val="微軟正黑體"/>
        <family val="2"/>
        <charset val="136"/>
      </rPr>
      <t>以上，不用被修復或是尋找替代品</t>
    </r>
    <phoneticPr fontId="1" type="noConversion"/>
  </si>
  <si>
    <r>
      <t>風險發生可能</t>
    </r>
    <r>
      <rPr>
        <sz val="12"/>
        <color rgb="FFFF0000"/>
        <rFont val="微軟正黑體"/>
        <family val="2"/>
        <charset val="136"/>
      </rPr>
      <t>造成業務中斷</t>
    </r>
    <r>
      <rPr>
        <sz val="12"/>
        <color theme="1"/>
        <rFont val="微軟正黑體"/>
        <family val="2"/>
        <charset val="136"/>
      </rPr>
      <t xml:space="preserve">
</t>
    </r>
    <r>
      <rPr>
        <sz val="10"/>
        <color theme="1"/>
        <rFont val="微軟正黑體"/>
        <family val="2"/>
        <charset val="136"/>
      </rPr>
      <t>（風險處理不當可能對本中心形象或校譽造成損害、造成的損害可能影響全校、系統或相關服務停頓或癱瘓,業務無法運作、復原的措施僅能由特定專業人員才能進行或修復人員不易取得、復原無法於4hrs內完成、可能造成人員傷亡）</t>
    </r>
    <phoneticPr fontId="1" type="noConversion"/>
  </si>
  <si>
    <r>
      <t>該資訊資產</t>
    </r>
    <r>
      <rPr>
        <sz val="12"/>
        <color rgb="FFFF0000"/>
        <rFont val="微軟正黑體"/>
        <family val="2"/>
        <charset val="136"/>
      </rPr>
      <t>容許失效4小時(半天)以上，1天以下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</si>
  <si>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容許失效60分鐘(1小時)以上，4小時以下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</si>
  <si>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容許失效60分鐘內</t>
    </r>
    <r>
      <rPr>
        <sz val="12"/>
        <color theme="1"/>
        <rFont val="微軟正黑體"/>
        <family val="2"/>
        <charset val="136"/>
      </rPr>
      <t>，不用被修復或是尋找替代品</t>
    </r>
    <phoneticPr fontId="1" type="noConversion"/>
  </si>
  <si>
    <t>人員可用性( A )-評估標準說明</t>
    <phoneticPr fontId="1" type="noConversion"/>
  </si>
  <si>
    <r>
      <t>低：人員負責/接觸的業務，</t>
    </r>
    <r>
      <rPr>
        <sz val="12"/>
        <color rgb="FFFF0000"/>
        <rFont val="微軟正黑體"/>
        <family val="2"/>
        <charset val="136"/>
      </rPr>
      <t>不會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</si>
  <si>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中：人員負責/接觸的業務，</t>
    </r>
    <r>
      <rPr>
        <sz val="12"/>
        <color rgb="FFFF0000"/>
        <rFont val="微軟正黑體"/>
        <family val="2"/>
        <charset val="136"/>
      </rPr>
      <t>可能會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</si>
  <si>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高：人員負責/接觸的業務，因為休假或缺乏代理人等因素對業務執行</t>
    </r>
    <r>
      <rPr>
        <sz val="12"/>
        <color rgb="FFFF0000"/>
        <rFont val="微軟正黑體"/>
        <family val="2"/>
        <charset val="136"/>
      </rPr>
      <t>影響較高</t>
    </r>
    <phoneticPr fontId="1" type="noConversion"/>
  </si>
  <si>
    <r>
      <t>極高：人員負責/接觸的業務，會因為休假或缺乏代理人等因素對業務執行</t>
    </r>
    <r>
      <rPr>
        <sz val="12"/>
        <color rgb="FFFF0000"/>
        <rFont val="微軟正黑體"/>
        <family val="2"/>
        <charset val="136"/>
      </rPr>
      <t>影響極高</t>
    </r>
    <phoneticPr fontId="1" type="noConversion"/>
  </si>
  <si>
    <t>法令/合約( L )-評估標準說明</t>
    <phoneticPr fontId="1" type="noConversion"/>
  </si>
  <si>
    <r>
      <t>重大影響，對單位(部門)</t>
    </r>
    <r>
      <rPr>
        <sz val="12"/>
        <color rgb="FFFF0000"/>
        <rFont val="微軟正黑體"/>
        <family val="2"/>
        <charset val="136"/>
      </rPr>
      <t>工研院</t>
    </r>
    <r>
      <rPr>
        <sz val="12"/>
        <color theme="1"/>
        <rFont val="微軟正黑體"/>
        <family val="2"/>
        <charset val="136"/>
      </rPr>
      <t>造成相當大損害</t>
    </r>
    <phoneticPr fontId="1" type="noConversion"/>
  </si>
  <si>
    <r>
      <t>不可承受的影響，對全組織</t>
    </r>
    <r>
      <rPr>
        <sz val="12"/>
        <color rgb="FFFF0000"/>
        <rFont val="微軟正黑體"/>
        <family val="2"/>
        <charset val="136"/>
      </rPr>
      <t>能源局</t>
    </r>
    <r>
      <rPr>
        <sz val="12"/>
        <color theme="1"/>
        <rFont val="微軟正黑體"/>
        <family val="2"/>
        <charset val="136"/>
      </rPr>
      <t>造成相當大損害</t>
    </r>
    <phoneticPr fontId="1" type="noConversion"/>
  </si>
  <si>
    <t>建築物、門、窗等…缺乏對火災的保護</t>
    <phoneticPr fontId="4" type="noConversion"/>
  </si>
  <si>
    <t>Y</t>
  </si>
  <si>
    <t>火災</t>
    <phoneticPr fontId="4" type="noConversion"/>
  </si>
  <si>
    <t>儲存易爆易燃物品 (如：酒精)</t>
    <phoneticPr fontId="4" type="noConversion"/>
  </si>
  <si>
    <t>建築物、房間的物質進出控制的不足或不小心使用</t>
    <phoneticPr fontId="4" type="noConversion"/>
  </si>
  <si>
    <t>建築物、門、窗等…缺乏對地震的保護</t>
    <phoneticPr fontId="4" type="noConversion"/>
  </si>
  <si>
    <t>過多灰塵量</t>
    <phoneticPr fontId="4" type="noConversion"/>
  </si>
  <si>
    <t>靜電</t>
    <phoneticPr fontId="4" type="noConversion"/>
  </si>
  <si>
    <t>溼度調節不佳，機房乾燥</t>
    <phoneticPr fontId="4" type="noConversion"/>
  </si>
  <si>
    <t>沒有作好空調維護的工作</t>
    <phoneticPr fontId="4" type="noConversion"/>
  </si>
  <si>
    <t>空調失效</t>
    <phoneticPr fontId="4" type="noConversion"/>
  </si>
  <si>
    <t>未考慮氣候變遷造成水塔結冰，冷氣失效</t>
    <phoneticPr fontId="4" type="noConversion"/>
  </si>
  <si>
    <t>缺乏建築物、門、窗等物質的保護</t>
    <phoneticPr fontId="4" type="noConversion"/>
  </si>
  <si>
    <t>不穩定的供電</t>
    <phoneticPr fontId="4" type="noConversion"/>
  </si>
  <si>
    <t>位於容易淹水的區域 (地勢較低或位於地下室、屋頂、靠窗邊...)</t>
    <phoneticPr fontId="4" type="noConversion"/>
  </si>
  <si>
    <t>合約訂定不清，如：未包括服務水準要求，轉包要求及相關資安條款</t>
    <phoneticPr fontId="1" type="noConversion"/>
  </si>
  <si>
    <t>委託第三方之風險：廠商服務水準低落或履約狀況不佳</t>
    <phoneticPr fontId="4" type="noConversion"/>
  </si>
  <si>
    <t>缺乏監督廠商之措施與機制</t>
    <phoneticPr fontId="1" type="noConversion"/>
  </si>
  <si>
    <t>簽約前未檢視或驗證廠商履約能力及廠商是否具合約要求之控管機制</t>
    <phoneticPr fontId="1" type="noConversion"/>
  </si>
  <si>
    <t>委託第三方之風險：惡性倒閉/服務中斷或終止</t>
    <phoneticPr fontId="4" type="noConversion"/>
  </si>
  <si>
    <t>缺乏替代方案 (如：備份或備援或其他供應商替代方案)</t>
    <phoneticPr fontId="1" type="noConversion"/>
  </si>
  <si>
    <t>合約未列保護性條款(資安、智財權、個資法)</t>
    <phoneticPr fontId="1" type="noConversion"/>
  </si>
  <si>
    <t>其他威脅</t>
  </si>
  <si>
    <t>其他弱點</t>
    <phoneticPr fontId="4" type="noConversion"/>
  </si>
  <si>
    <t>地震</t>
    <phoneticPr fontId="4" type="noConversion"/>
  </si>
  <si>
    <t>閃電</t>
    <phoneticPr fontId="4" type="noConversion"/>
  </si>
  <si>
    <t>停電</t>
    <phoneticPr fontId="4" type="noConversion"/>
  </si>
  <si>
    <t>淹水或漏水</t>
    <phoneticPr fontId="4" type="noConversion"/>
  </si>
  <si>
    <t>委託第三方之風險：廠商服務水準低落或履約狀況不佳</t>
    <phoneticPr fontId="1" type="noConversion"/>
  </si>
  <si>
    <t>委託第三方之風險：惡性倒閉/服務中斷或終止</t>
    <phoneticPr fontId="1" type="noConversion"/>
  </si>
  <si>
    <t>委託第三方之風險：廠商將資料外洩</t>
    <phoneticPr fontId="1" type="noConversion"/>
  </si>
  <si>
    <t>C</t>
    <phoneticPr fontId="1" type="noConversion"/>
  </si>
  <si>
    <t>A</t>
    <phoneticPr fontId="1" type="noConversion"/>
  </si>
  <si>
    <t>AI</t>
    <phoneticPr fontId="1" type="noConversion"/>
  </si>
  <si>
    <t>N</t>
  </si>
  <si>
    <t>3</t>
    <phoneticPr fontId="1" type="noConversion"/>
  </si>
  <si>
    <t>局部毀損可以忍受</t>
    <phoneticPr fontId="1" type="noConversion"/>
  </si>
  <si>
    <t>個資法</t>
    <phoneticPr fontId="1" type="noConversion"/>
  </si>
  <si>
    <t>辦公室皆有感煙與消防</t>
    <phoneticPr fontId="4" type="noConversion"/>
  </si>
  <si>
    <t>影響作業人員的安全</t>
    <phoneticPr fontId="4" type="noConversion"/>
  </si>
  <si>
    <t>Y</t>
    <phoneticPr fontId="4" type="noConversion"/>
  </si>
  <si>
    <t>裝潢非防火材質
辦公室有紙本
辦公室皆有感煙與消防</t>
    <phoneticPr fontId="4" type="noConversion"/>
  </si>
  <si>
    <t>辦公室有24小時門禁，若為機密文件，依本院機密管理辦法需要上鎖。</t>
    <phoneticPr fontId="4" type="noConversion"/>
  </si>
  <si>
    <t>個資外洩 (申請文件若以紙本存放時)</t>
    <phoneticPr fontId="4" type="noConversion"/>
  </si>
  <si>
    <t>要換到別的辦公大樓工作，稍有不便。</t>
    <phoneticPr fontId="4" type="noConversion"/>
  </si>
  <si>
    <t>中央空調，固定維護</t>
    <phoneticPr fontId="4" type="noConversion"/>
  </si>
  <si>
    <t>只是工作環境不舒服。</t>
    <phoneticPr fontId="4" type="noConversion"/>
  </si>
  <si>
    <t>有避雷裝置</t>
    <phoneticPr fontId="4" type="noConversion"/>
  </si>
  <si>
    <t>對計畫面影響不高</t>
    <phoneticPr fontId="4" type="noConversion"/>
  </si>
  <si>
    <t>本院發電機只針對重要場域或電梯提供</t>
    <phoneticPr fontId="4" type="noConversion"/>
  </si>
  <si>
    <t>工作上略為不便，但可以等待復電</t>
    <phoneticPr fontId="4" type="noConversion"/>
  </si>
  <si>
    <t>只是工作環境不舒服，影響不大</t>
    <phoneticPr fontId="4" type="noConversion"/>
  </si>
  <si>
    <t>工業技術研究院機密資料 禁止複製、轉載、外流ITRI CONFIDENTIAL DOCUMENT DO NOT COPY OR DISTRIBUTE</t>
    <phoneticPr fontId="1" type="noConversion"/>
  </si>
  <si>
    <t>石油與天然氣輸儲查核與檢測雲端平台</t>
    <phoneticPr fontId="1" type="noConversion"/>
  </si>
  <si>
    <t>材1-1</t>
    <phoneticPr fontId="1" type="noConversion"/>
  </si>
  <si>
    <t>材1-1-EN-01</t>
    <phoneticPr fontId="1" type="noConversion"/>
  </si>
  <si>
    <t>52館827室
52館736室
52館325室</t>
    <phoneticPr fontId="1" type="noConversion"/>
  </si>
  <si>
    <t>賴斐瓔
吳榮正
邵錡鼎</t>
    <phoneticPr fontId="1" type="noConversion"/>
  </si>
  <si>
    <t>賴斐瓔 </t>
    <phoneticPr fontId="1" type="noConversion"/>
  </si>
  <si>
    <t>吳榮正</t>
    <phoneticPr fontId="4" type="noConversion"/>
  </si>
  <si>
    <t>MTPD:24H</t>
    <phoneticPr fontId="1" type="noConversion"/>
  </si>
  <si>
    <t>耐震處理</t>
    <phoneticPr fontId="4" type="noConversion"/>
  </si>
  <si>
    <t>辦公室在非易淹水區域且有氣密窗</t>
    <phoneticPr fontId="4" type="noConversion"/>
  </si>
  <si>
    <t>沒有個資</t>
    <phoneticPr fontId="1" type="noConversion"/>
  </si>
  <si>
    <t>計畫辦公室</t>
    <phoneticPr fontId="1" type="noConversion"/>
  </si>
  <si>
    <t>計畫相關成員辦公室(含委外廠商)</t>
    <phoneticPr fontId="1" type="noConversion"/>
  </si>
  <si>
    <t>113/3/19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</si>
</sst>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font>
      <sz val="12"/>
      <color theme="1"/>
      <name val="新細明體"/>
      <family val="2"/>
      <charset val="136"/>
      <scheme val="minor"/>
    </font>
    <font>
      <sz val="9"/>
      <name val="新細明體"/>
      <family val="2"/>
      <charset val="136"/>
      <scheme val="minor"/>
    </font>
    <font>
      <sz val="12"/>
      <name val="微軟正黑體"/>
      <family val="2"/>
      <charset val="136"/>
    </font>
    <font>
      <b/>
      <sz val="12"/>
      <name val="微軟正黑體"/>
      <family val="2"/>
      <charset val="136"/>
    </font>
    <font>
      <sz val="9"/>
      <name val="新細明體"/>
      <family val="1"/>
      <charset val="136"/>
    </font>
    <font>
      <sz val="12"/>
      <name val="新細明體"/>
      <family val="1"/>
      <charset val="136"/>
    </font>
    <font>
      <sz val="12"/>
      <color theme="1"/>
      <name val="微軟正黑體"/>
      <family val="2"/>
      <charset val="136"/>
    </font>
    <font>
      <sz val="24"/>
      <color theme="1" tint="0.14999847407452621"/>
      <name val="微軟正黑體"/>
      <family val="2"/>
      <charset val="136"/>
    </font>
    <font>
      <sz val="28"/>
      <color theme="0"/>
      <name val="微軟正黑體"/>
      <family val="2"/>
      <charset val="136"/>
    </font>
    <font>
      <sz val="12"/>
      <color rgb="FFFF0000"/>
      <name val="微軟正黑體"/>
      <family val="2"/>
      <charset val="136"/>
    </font>
    <font>
      <sz val="12"/>
      <color indexed="8"/>
      <name val="微軟正黑體"/>
      <family val="2"/>
      <charset val="136"/>
    </font>
    <font>
      <sz val="18"/>
      <color indexed="8"/>
      <name val="微軟正黑體"/>
      <family val="2"/>
      <charset val="136"/>
    </font>
    <font>
      <sz val="9"/>
      <color indexed="8"/>
      <name val="微軟正黑體"/>
      <family val="2"/>
      <charset val="136"/>
    </font>
    <font>
      <sz val="12"/>
      <color indexed="8"/>
      <name val="新細明體"/>
      <family val="1"/>
      <charset val="136"/>
    </font>
    <font>
      <sz val="28"/>
      <color rgb="FFFEC636"/>
      <name val="微軟正黑體"/>
      <family val="2"/>
      <charset val="136"/>
    </font>
    <font>
      <b/>
      <sz val="12"/>
      <name val="Calibri"/>
      <family val="2"/>
    </font>
    <font>
      <b/>
      <sz val="12"/>
      <color theme="0"/>
      <name val="微軟正黑體"/>
      <family val="2"/>
      <charset val="136"/>
    </font>
    <font>
      <b/>
      <sz val="12"/>
      <color indexed="8"/>
      <name val="微軟正黑體"/>
      <family val="2"/>
      <charset val="136"/>
    </font>
    <font>
      <sz val="10"/>
      <color theme="1"/>
      <name val="微軟正黑體"/>
      <family val="2"/>
      <charset val="136"/>
    </font>
    <font>
      <b/>
      <sz val="3"/>
      <name val="微軟正黑體"/>
      <family val="2"/>
      <charset val="136"/>
    </font>
    <font>
      <sz val="3"/>
      <color indexed="8"/>
      <name val="微軟正黑體"/>
      <family val="2"/>
      <charset val="136"/>
    </font>
    <font>
      <sz val="12"/>
      <color rgb="FF000000"/>
      <name val="新細明體"/>
      <family val="1"/>
      <charset val="136"/>
    </font>
    <font>
      <sz val="12"/>
      <color theme="0"/>
      <name val="微軟正黑體"/>
      <family val="2"/>
      <charset val="136"/>
    </font>
    <font>
      <sz val="2"/>
      <name val="微軟正黑體"/>
      <family val="2"/>
      <charset val="136"/>
    </font>
    <font>
      <sz val="12"/>
      <color indexed="9"/>
      <name val="微軟正黑體"/>
      <family val="2"/>
      <charset val="136"/>
    </font>
    <font>
      <sz val="8"/>
      <color theme="0"/>
      <name val="微軟正黑體"/>
      <family val="2"/>
      <charset val="136"/>
    </font>
    <font>
      <sz val="26"/>
      <color theme="0"/>
      <name val="微軟正黑體"/>
      <family val="2"/>
      <charset val="136"/>
    </font>
    <font>
      <sz val="9"/>
      <color indexed="81"/>
      <name val="Tahoma"/>
      <family val="2"/>
    </font>
    <font>
      <b/>
      <sz val="9"/>
      <color indexed="81"/>
      <name val="Tahoma"/>
      <family val="2"/>
    </font>
    <font>
      <sz val="9"/>
      <color indexed="81"/>
      <name val="細明體"/>
      <family val="3"/>
      <charset val="136"/>
    </font>
  </fonts>
  <fills count="15">
    <fill>
      <patternFill patternType="none"/>
    </fill>
    <fill>
      <patternFill patternType="gray125"/>
    </fill>
    <fill>
      <patternFill patternType="solid">
        <fgColor theme="0" tint="-4.9989318521683403E-2"/>
        <bgColor indexed="64"/>
      </patternFill>
    </fill>
    <fill>
      <patternFill patternType="solid">
        <fgColor theme="0" tint="-4.9989318521683403E-2"/>
        <bgColor theme="2"/>
      </patternFill>
    </fill>
    <fill>
      <patternFill patternType="solid">
        <fgColor rgb="FF99CCFF"/>
        <bgColor indexed="64"/>
      </patternFill>
    </fill>
    <fill>
      <patternFill patternType="solid">
        <fgColor rgb="FF6699CC"/>
        <bgColor indexed="64"/>
      </patternFill>
    </fill>
    <fill>
      <patternFill patternType="solid">
        <fgColor theme="4"/>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614C"/>
        <bgColor indexed="64"/>
      </patternFill>
    </fill>
    <fill>
      <patternFill patternType="solid">
        <fgColor rgb="FF003366"/>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theme="2"/>
      </patternFill>
    </fill>
    <fill>
      <patternFill patternType="solid">
        <fgColor rgb="FFFFFF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dotted">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s>
  <cellStyleXfs count="6">
    <xf numFmtId="0" fontId="0" fillId="0" borderId="0">
      <alignment vertical="center"/>
    </xf>
    <xf numFmtId="0" fontId="5" fillId="0" borderId="0">
      <alignment vertical="center"/>
    </xf>
    <xf numFmtId="0" fontId="5" fillId="0" borderId="0"/>
    <xf numFmtId="0" fontId="5" fillId="0" borderId="0">
      <alignment vertical="center"/>
    </xf>
    <xf numFmtId="0" fontId="13" fillId="0" borderId="0">
      <alignment vertical="center"/>
    </xf>
    <xf numFmtId="0" fontId="5" fillId="0" borderId="0">
      <alignment vertical="center"/>
    </xf>
  </cellStyleXfs>
  <cellXfs count="170">
    <xf numFmtId="0" fontId="0" fillId="0" borderId="0" xfId="0">
      <alignment vertical="center"/>
    </xf>
    <xf numFmtId="0" fontId="3" fillId="3" borderId="1" xfId="0" applyFont="1" applyFill="1" applyBorder="1" applyAlignment="1">
      <alignment vertical="center" wrapText="1"/>
    </xf>
    <xf numFmtId="0" fontId="6" fillId="0" borderId="0" xfId="0"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6" fillId="2" borderId="0" xfId="0" applyFont="1" applyFill="1">
      <alignment vertical="center"/>
    </xf>
    <xf numFmtId="0" fontId="10" fillId="0" borderId="0" xfId="3" applyFont="1" applyAlignment="1" applyProtection="1">
      <alignment vertical="center" wrapText="1"/>
      <protection locked="0"/>
    </xf>
    <xf numFmtId="0" fontId="12" fillId="0" borderId="0" xfId="3" applyFont="1" applyAlignment="1" applyProtection="1">
      <alignment vertical="center" wrapText="1"/>
      <protection locked="0"/>
    </xf>
    <xf numFmtId="0" fontId="6" fillId="11"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2" fillId="0" borderId="0" xfId="0" applyFont="1" applyAlignment="1">
      <alignment horizontal="center" vertical="center" wrapText="1"/>
    </xf>
    <xf numFmtId="0" fontId="2" fillId="7" borderId="1" xfId="1" applyFont="1" applyFill="1" applyBorder="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49" fontId="2" fillId="4" borderId="1" xfId="1" applyNumberFormat="1" applyFont="1" applyFill="1" applyBorder="1" applyAlignment="1" applyProtection="1">
      <alignment horizontal="center" vertical="center" wrapText="1"/>
      <protection locked="0"/>
    </xf>
    <xf numFmtId="49" fontId="2" fillId="7" borderId="1" xfId="1" applyNumberFormat="1" applyFont="1" applyFill="1" applyBorder="1" applyAlignment="1" applyProtection="1">
      <alignment horizontal="center" vertical="center" wrapText="1"/>
      <protection locked="0"/>
    </xf>
    <xf numFmtId="0" fontId="6" fillId="0" borderId="0" xfId="0" applyFont="1" applyAlignment="1" applyProtection="1">
      <alignment horizontal="center" vertical="center" wrapText="1"/>
      <protection locked="0"/>
    </xf>
    <xf numFmtId="49" fontId="9" fillId="0" borderId="1" xfId="1" applyNumberFormat="1" applyFont="1" applyBorder="1" applyAlignment="1" applyProtection="1">
      <alignment horizontal="left" vertical="center" wrapText="1"/>
      <protection locked="0"/>
    </xf>
    <xf numFmtId="0" fontId="10" fillId="8" borderId="6" xfId="3" applyFont="1" applyFill="1" applyBorder="1" applyAlignment="1">
      <alignment horizontal="center" vertical="center" wrapText="1"/>
    </xf>
    <xf numFmtId="0" fontId="10" fillId="7" borderId="6" xfId="3" applyFont="1" applyFill="1" applyBorder="1" applyAlignment="1">
      <alignment horizontal="center" vertical="center" wrapText="1"/>
    </xf>
    <xf numFmtId="0" fontId="11" fillId="0" borderId="0" xfId="3" applyFont="1" applyAlignment="1" applyProtection="1">
      <alignment vertical="center" wrapText="1"/>
      <protection locked="0"/>
    </xf>
    <xf numFmtId="0" fontId="17" fillId="0" borderId="0" xfId="3" applyFont="1" applyAlignment="1" applyProtection="1">
      <alignment vertical="center" wrapText="1"/>
      <protection locked="0"/>
    </xf>
    <xf numFmtId="49" fontId="2" fillId="0" borderId="0" xfId="0" applyNumberFormat="1" applyFont="1" applyAlignment="1" applyProtection="1">
      <alignment vertical="center" wrapText="1"/>
      <protection locked="0"/>
    </xf>
    <xf numFmtId="49" fontId="2" fillId="0" borderId="0" xfId="0" applyNumberFormat="1" applyFont="1" applyAlignment="1">
      <alignment vertical="center" wrapText="1"/>
    </xf>
    <xf numFmtId="0" fontId="6" fillId="0" borderId="0" xfId="0" applyFont="1" applyAlignment="1" applyProtection="1">
      <alignment vertical="center" wrapText="1"/>
      <protection locked="0"/>
    </xf>
    <xf numFmtId="0" fontId="10" fillId="9" borderId="6" xfId="3" applyFont="1" applyFill="1" applyBorder="1" applyAlignment="1" applyProtection="1">
      <alignment horizontal="center" vertical="center" wrapText="1"/>
      <protection locked="0"/>
    </xf>
    <xf numFmtId="0" fontId="2" fillId="0" borderId="0" xfId="0" applyFont="1" applyAlignment="1" applyProtection="1">
      <alignment vertical="center" wrapText="1"/>
      <protection locked="0"/>
    </xf>
    <xf numFmtId="49" fontId="2" fillId="4" borderId="4" xfId="1" applyNumberFormat="1" applyFont="1" applyFill="1" applyBorder="1" applyAlignment="1" applyProtection="1">
      <alignment horizontal="center" vertical="center" wrapText="1"/>
      <protection locked="0"/>
    </xf>
    <xf numFmtId="49" fontId="2" fillId="6" borderId="8" xfId="0" applyNumberFormat="1" applyFont="1" applyFill="1" applyBorder="1" applyAlignment="1" applyProtection="1">
      <alignment horizontal="center" vertical="center" wrapText="1"/>
      <protection locked="0"/>
    </xf>
    <xf numFmtId="49" fontId="2" fillId="6" borderId="9" xfId="1" applyNumberFormat="1" applyFont="1" applyFill="1" applyBorder="1" applyAlignment="1" applyProtection="1">
      <alignment horizontal="center" vertical="center" wrapText="1"/>
      <protection locked="0"/>
    </xf>
    <xf numFmtId="0" fontId="3" fillId="7" borderId="1" xfId="1" applyFont="1" applyFill="1" applyBorder="1" applyAlignment="1" applyProtection="1">
      <alignment horizontal="center" vertical="center" wrapText="1"/>
      <protection locked="0"/>
    </xf>
    <xf numFmtId="0" fontId="10" fillId="7" borderId="6" xfId="3" applyFont="1" applyFill="1" applyBorder="1" applyAlignment="1" applyProtection="1">
      <alignment horizontal="right" vertical="center" wrapText="1"/>
      <protection locked="0"/>
    </xf>
    <xf numFmtId="0" fontId="10" fillId="8" borderId="6" xfId="3" applyFont="1" applyFill="1" applyBorder="1" applyAlignment="1" applyProtection="1">
      <alignment horizontal="left" vertical="center" wrapText="1"/>
      <protection locked="0"/>
    </xf>
    <xf numFmtId="0" fontId="10" fillId="9" borderId="6" xfId="3" applyFont="1" applyFill="1" applyBorder="1" applyAlignment="1" applyProtection="1">
      <alignment horizontal="left" vertical="center" wrapText="1"/>
      <protection locked="0"/>
    </xf>
    <xf numFmtId="49" fontId="19" fillId="0" borderId="1" xfId="1" applyNumberFormat="1" applyFont="1" applyBorder="1" applyAlignment="1" applyProtection="1">
      <alignment horizontal="center" vertical="center" wrapText="1"/>
      <protection locked="0"/>
    </xf>
    <xf numFmtId="0" fontId="19" fillId="0" borderId="1" xfId="1" applyFont="1" applyBorder="1" applyAlignment="1" applyProtection="1">
      <alignment horizontal="center" vertical="center" wrapText="1"/>
      <protection locked="0"/>
    </xf>
    <xf numFmtId="0" fontId="19" fillId="0" borderId="2" xfId="1" applyFont="1" applyBorder="1" applyAlignment="1" applyProtection="1">
      <alignment horizontal="center" vertical="center" wrapText="1"/>
      <protection locked="0"/>
    </xf>
    <xf numFmtId="49" fontId="19" fillId="0" borderId="2" xfId="1" applyNumberFormat="1" applyFont="1" applyBorder="1" applyAlignment="1" applyProtection="1">
      <alignment horizontal="center" vertical="center" wrapText="1"/>
      <protection locked="0"/>
    </xf>
    <xf numFmtId="0" fontId="20" fillId="0" borderId="0" xfId="3" applyFont="1" applyAlignment="1" applyProtection="1">
      <alignment vertical="center" wrapText="1"/>
      <protection locked="0"/>
    </xf>
    <xf numFmtId="0" fontId="10" fillId="0" borderId="0" xfId="3" applyFont="1" applyAlignment="1" applyProtection="1">
      <alignment horizontal="left" vertical="center" wrapText="1"/>
      <protection locked="0"/>
    </xf>
    <xf numFmtId="0" fontId="10" fillId="7" borderId="1" xfId="3" applyFont="1" applyFill="1" applyBorder="1" applyAlignment="1" applyProtection="1">
      <alignment horizontal="right" vertical="center" wrapText="1"/>
      <protection locked="0"/>
    </xf>
    <xf numFmtId="0" fontId="2" fillId="7" borderId="1" xfId="3" applyFont="1" applyFill="1" applyBorder="1" applyAlignment="1" applyProtection="1">
      <alignment horizontal="right" vertical="center" wrapText="1"/>
      <protection locked="0"/>
    </xf>
    <xf numFmtId="0" fontId="10" fillId="7" borderId="9" xfId="3" applyFont="1" applyFill="1" applyBorder="1" applyAlignment="1" applyProtection="1">
      <alignment horizontal="right" vertical="center" wrapText="1"/>
      <protection locked="0"/>
    </xf>
    <xf numFmtId="0" fontId="2" fillId="7" borderId="12" xfId="3" applyFont="1" applyFill="1" applyBorder="1" applyAlignment="1" applyProtection="1">
      <alignment horizontal="right" vertical="center" wrapText="1"/>
      <protection locked="0"/>
    </xf>
    <xf numFmtId="0" fontId="6" fillId="0" borderId="0" xfId="0" applyFont="1" applyAlignment="1">
      <alignment horizontal="center" vertical="center" wrapText="1"/>
    </xf>
    <xf numFmtId="0" fontId="22" fillId="10" borderId="1" xfId="0" applyFont="1" applyFill="1" applyBorder="1" applyAlignment="1">
      <alignment horizontal="center" vertical="center"/>
    </xf>
    <xf numFmtId="0" fontId="22" fillId="10" borderId="1" xfId="0" applyFont="1" applyFill="1" applyBorder="1" applyAlignment="1">
      <alignment horizontal="center" vertical="center" wrapText="1"/>
    </xf>
    <xf numFmtId="0" fontId="22" fillId="10" borderId="1" xfId="1" applyFont="1" applyFill="1" applyBorder="1" applyAlignment="1" applyProtection="1">
      <alignment horizontal="center" vertical="center" wrapText="1"/>
      <protection locked="0"/>
    </xf>
    <xf numFmtId="0" fontId="6" fillId="0" borderId="1" xfId="0" applyFont="1" applyBorder="1" applyAlignment="1">
      <alignment horizontal="center" vertical="center"/>
    </xf>
    <xf numFmtId="0" fontId="6" fillId="0" borderId="1" xfId="0" applyFont="1" applyBorder="1" applyAlignment="1">
      <alignment horizontal="left" vertical="center" wrapText="1"/>
    </xf>
    <xf numFmtId="0" fontId="2" fillId="0" borderId="1" xfId="5" applyFont="1" applyBorder="1" applyAlignment="1" applyProtection="1">
      <alignment vertical="center" wrapText="1"/>
      <protection hidden="1"/>
    </xf>
    <xf numFmtId="0" fontId="6" fillId="0" borderId="0" xfId="0" applyFont="1" applyAlignment="1">
      <alignment horizontal="left" vertical="center" wrapText="1"/>
    </xf>
    <xf numFmtId="0" fontId="2" fillId="0" borderId="0" xfId="0" applyFont="1" applyAlignment="1">
      <alignment horizontal="left" vertical="center" wrapText="1"/>
    </xf>
    <xf numFmtId="49" fontId="2" fillId="0" borderId="0" xfId="0" applyNumberFormat="1" applyFont="1" applyAlignment="1">
      <alignment horizontal="center" vertical="center"/>
    </xf>
    <xf numFmtId="0" fontId="10" fillId="0" borderId="15" xfId="3" applyFont="1" applyBorder="1" applyAlignment="1" applyProtection="1">
      <alignment horizontal="left" vertical="center" wrapText="1"/>
      <protection locked="0"/>
    </xf>
    <xf numFmtId="0" fontId="23" fillId="0" borderId="1" xfId="3" applyFont="1" applyBorder="1" applyAlignment="1" applyProtection="1">
      <alignment vertical="center" wrapText="1"/>
      <protection locked="0"/>
    </xf>
    <xf numFmtId="0" fontId="23" fillId="0" borderId="2" xfId="3" applyFont="1" applyBorder="1" applyAlignment="1" applyProtection="1">
      <alignment vertical="center" wrapText="1"/>
      <protection locked="0"/>
    </xf>
    <xf numFmtId="0" fontId="2" fillId="0" borderId="1" xfId="0" applyFont="1" applyBorder="1" applyAlignment="1" applyProtection="1">
      <alignment horizontal="center" vertical="center" wrapText="1"/>
      <protection locked="0" hidden="1"/>
    </xf>
    <xf numFmtId="0" fontId="2" fillId="0" borderId="1" xfId="0" applyFont="1" applyBorder="1" applyAlignment="1" applyProtection="1">
      <alignment horizontal="left" vertical="center" wrapText="1"/>
      <protection locked="0" hidden="1"/>
    </xf>
    <xf numFmtId="0" fontId="2" fillId="7" borderId="1" xfId="0" applyFont="1" applyFill="1" applyBorder="1" applyAlignment="1" applyProtection="1">
      <alignment horizontal="center" vertical="center" wrapText="1"/>
      <protection hidden="1"/>
    </xf>
    <xf numFmtId="0" fontId="2" fillId="0" borderId="0" xfId="3" applyFont="1" applyAlignment="1" applyProtection="1">
      <alignment vertical="center" wrapText="1"/>
      <protection locked="0"/>
    </xf>
    <xf numFmtId="0" fontId="2" fillId="0" borderId="1" xfId="0" applyFont="1" applyBorder="1" applyAlignment="1" applyProtection="1">
      <alignment vertical="center" wrapText="1"/>
      <protection locked="0" hidden="1"/>
    </xf>
    <xf numFmtId="0" fontId="2" fillId="0" borderId="22" xfId="0" applyFont="1" applyBorder="1" applyAlignment="1" applyProtection="1">
      <alignment vertical="center" wrapText="1"/>
      <protection locked="0" hidden="1"/>
    </xf>
    <xf numFmtId="0" fontId="2" fillId="7" borderId="1" xfId="0" applyFont="1" applyFill="1" applyBorder="1" applyAlignment="1">
      <alignment horizontal="center" vertical="center" wrapText="1"/>
    </xf>
    <xf numFmtId="0" fontId="2" fillId="0" borderId="4" xfId="0" applyFont="1" applyBorder="1" applyAlignment="1">
      <alignment vertical="center" wrapText="1"/>
    </xf>
    <xf numFmtId="0" fontId="2" fillId="0" borderId="1" xfId="1" applyFont="1" applyBorder="1" applyAlignment="1" applyProtection="1">
      <alignment vertical="center" wrapText="1"/>
      <protection hidden="1"/>
    </xf>
    <xf numFmtId="0" fontId="6" fillId="0" borderId="1" xfId="0" applyFont="1" applyBorder="1" applyAlignment="1" applyProtection="1">
      <alignment vertical="center" wrapText="1"/>
      <protection locked="0" hidden="1"/>
    </xf>
    <xf numFmtId="0" fontId="2" fillId="0" borderId="8" xfId="0" applyFont="1" applyBorder="1" applyAlignment="1" applyProtection="1">
      <alignment horizontal="center" vertical="center" wrapText="1"/>
      <protection locked="0" hidden="1"/>
    </xf>
    <xf numFmtId="0" fontId="2" fillId="0" borderId="8" xfId="0" applyFont="1" applyBorder="1" applyAlignment="1" applyProtection="1">
      <alignment vertical="center" wrapText="1"/>
      <protection locked="0" hidden="1"/>
    </xf>
    <xf numFmtId="0" fontId="2" fillId="0" borderId="8" xfId="0" applyFont="1" applyBorder="1" applyAlignment="1" applyProtection="1">
      <alignment horizontal="left" vertical="center" wrapText="1"/>
      <protection locked="0" hidden="1"/>
    </xf>
    <xf numFmtId="49" fontId="2" fillId="0" borderId="9" xfId="1" applyNumberFormat="1" applyFont="1" applyBorder="1" applyAlignment="1" applyProtection="1">
      <alignment horizontal="left" vertical="center" wrapText="1"/>
      <protection locked="0"/>
    </xf>
    <xf numFmtId="0" fontId="2" fillId="0" borderId="0" xfId="0" applyFont="1" applyAlignment="1" applyProtection="1">
      <alignment horizontal="left" vertical="center" wrapText="1"/>
      <protection locked="0"/>
    </xf>
    <xf numFmtId="49" fontId="2" fillId="0" borderId="1" xfId="1" applyNumberFormat="1" applyFont="1" applyBorder="1" applyAlignment="1" applyProtection="1">
      <alignment horizontal="left" vertical="center" wrapText="1"/>
      <protection locked="0"/>
    </xf>
    <xf numFmtId="0" fontId="2" fillId="0" borderId="1" xfId="0" applyFont="1" applyBorder="1" applyAlignment="1">
      <alignment horizontal="center" vertical="center" wrapText="1"/>
    </xf>
    <xf numFmtId="0" fontId="2" fillId="0" borderId="1" xfId="1" applyFont="1" applyBorder="1" applyAlignment="1" applyProtection="1">
      <alignment horizontal="center" vertical="center" wrapText="1"/>
      <protection locked="0"/>
    </xf>
    <xf numFmtId="0" fontId="2" fillId="0" borderId="1" xfId="0" applyFont="1" applyBorder="1" applyAlignment="1" applyProtection="1">
      <alignment horizontal="left" vertical="center" wrapText="1"/>
      <protection locked="0"/>
    </xf>
    <xf numFmtId="0" fontId="25" fillId="10" borderId="0" xfId="0" applyFont="1" applyFill="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5" fillId="13" borderId="4" xfId="0" applyFont="1" applyFill="1" applyBorder="1" applyAlignment="1">
      <alignment horizontal="center" vertical="center"/>
    </xf>
    <xf numFmtId="176" fontId="15" fillId="3" borderId="2" xfId="0" applyNumberFormat="1" applyFont="1" applyFill="1" applyBorder="1" applyAlignment="1">
      <alignment horizontal="center" vertical="center"/>
    </xf>
    <xf numFmtId="176" fontId="15" fillId="3" borderId="3" xfId="0" applyNumberFormat="1" applyFont="1" applyFill="1" applyBorder="1" applyAlignment="1">
      <alignment horizontal="center" vertical="center"/>
    </xf>
    <xf numFmtId="176" fontId="15" fillId="3" borderId="4" xfId="0" applyNumberFormat="1" applyFont="1" applyFill="1" applyBorder="1" applyAlignment="1">
      <alignment horizontal="center" vertical="center"/>
    </xf>
    <xf numFmtId="0" fontId="15" fillId="3" borderId="2"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4" xfId="0" applyFont="1" applyFill="1" applyBorder="1" applyAlignment="1">
      <alignment horizontal="center" vertical="center"/>
    </xf>
    <xf numFmtId="0" fontId="7" fillId="4" borderId="0" xfId="0" applyFont="1" applyFill="1" applyAlignment="1">
      <alignment horizontal="left" vertical="center"/>
    </xf>
    <xf numFmtId="0" fontId="26" fillId="5" borderId="0" xfId="0" applyFont="1" applyFill="1" applyAlignment="1">
      <alignment horizontal="left" vertical="center"/>
    </xf>
    <xf numFmtId="0" fontId="14" fillId="5" borderId="0" xfId="0" applyFont="1" applyFill="1" applyAlignment="1">
      <alignment horizontal="right" vertical="center" wrapText="1"/>
    </xf>
    <xf numFmtId="0" fontId="14" fillId="5" borderId="0" xfId="0" applyFont="1" applyFill="1" applyAlignment="1">
      <alignment horizontal="right" vertical="center"/>
    </xf>
    <xf numFmtId="0" fontId="8" fillId="5" borderId="0" xfId="0" applyFont="1" applyFill="1" applyAlignment="1">
      <alignment horizontal="right" vertical="center"/>
    </xf>
    <xf numFmtId="49" fontId="3" fillId="3" borderId="2"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lignment horizontal="left" vertical="center" wrapText="1"/>
    </xf>
    <xf numFmtId="0" fontId="2" fillId="2" borderId="8" xfId="0" applyFont="1" applyFill="1" applyBorder="1" applyAlignment="1">
      <alignment horizontal="left" vertical="center" wrapText="1"/>
    </xf>
    <xf numFmtId="49" fontId="2" fillId="4" borderId="3" xfId="0" applyNumberFormat="1" applyFont="1" applyFill="1" applyBorder="1" applyAlignment="1" applyProtection="1">
      <alignment horizontal="center" vertical="center" wrapText="1"/>
      <protection locked="0"/>
    </xf>
    <xf numFmtId="49" fontId="2" fillId="4" borderId="4" xfId="0" applyNumberFormat="1" applyFont="1" applyFill="1" applyBorder="1" applyAlignment="1" applyProtection="1">
      <alignment horizontal="center" vertical="center" wrapText="1"/>
      <protection locked="0"/>
    </xf>
    <xf numFmtId="49" fontId="2" fillId="7" borderId="2" xfId="0" applyNumberFormat="1" applyFont="1" applyFill="1" applyBorder="1" applyAlignment="1" applyProtection="1">
      <alignment horizontal="center" vertical="center" wrapText="1"/>
      <protection locked="0"/>
    </xf>
    <xf numFmtId="49" fontId="2" fillId="7" borderId="3" xfId="0" applyNumberFormat="1" applyFont="1" applyFill="1" applyBorder="1" applyAlignment="1" applyProtection="1">
      <alignment horizontal="center" vertical="center" wrapText="1"/>
      <protection locked="0"/>
    </xf>
    <xf numFmtId="49" fontId="2" fillId="7" borderId="4" xfId="0" applyNumberFormat="1" applyFont="1" applyFill="1" applyBorder="1" applyAlignment="1" applyProtection="1">
      <alignment horizontal="center" vertical="center" wrapText="1"/>
      <protection locked="0"/>
    </xf>
    <xf numFmtId="0" fontId="6" fillId="0" borderId="14" xfId="0" applyFont="1" applyBorder="1" applyAlignment="1">
      <alignment horizontal="center" vertical="center"/>
    </xf>
    <xf numFmtId="0" fontId="6" fillId="0" borderId="0" xfId="0" applyFont="1" applyAlignment="1">
      <alignment horizontal="center" vertical="center" wrapText="1"/>
    </xf>
    <xf numFmtId="0" fontId="22" fillId="12" borderId="14" xfId="0" applyFont="1" applyFill="1" applyBorder="1" applyAlignment="1">
      <alignment horizontal="center" vertical="center"/>
    </xf>
    <xf numFmtId="0" fontId="16" fillId="10" borderId="0" xfId="0" applyFont="1" applyFill="1" applyAlignment="1">
      <alignment horizontal="left" vertical="center" wrapText="1"/>
    </xf>
    <xf numFmtId="0" fontId="16" fillId="10" borderId="7" xfId="0" applyFont="1" applyFill="1" applyBorder="1" applyAlignment="1">
      <alignment horizontal="left" vertical="center" wrapText="1"/>
    </xf>
    <xf numFmtId="0" fontId="2" fillId="0" borderId="25" xfId="5" applyFont="1" applyBorder="1" applyAlignment="1" applyProtection="1">
      <alignment horizontal="left" vertical="center" wrapText="1"/>
      <protection hidden="1"/>
    </xf>
    <xf numFmtId="0" fontId="2" fillId="0" borderId="21" xfId="5" applyFont="1" applyBorder="1" applyAlignment="1" applyProtection="1">
      <alignment horizontal="left" vertical="center" wrapText="1"/>
      <protection hidden="1"/>
    </xf>
    <xf numFmtId="0" fontId="2" fillId="0" borderId="22" xfId="5" applyFont="1" applyBorder="1" applyAlignment="1" applyProtection="1">
      <alignment horizontal="left" vertical="center" wrapText="1"/>
      <protection hidden="1"/>
    </xf>
    <xf numFmtId="0" fontId="2" fillId="0" borderId="3" xfId="5" applyFont="1" applyBorder="1" applyAlignment="1" applyProtection="1">
      <alignment horizontal="left" vertical="center" wrapText="1"/>
      <protection hidden="1"/>
    </xf>
    <xf numFmtId="0" fontId="2" fillId="0" borderId="4" xfId="5" applyFont="1" applyBorder="1" applyAlignment="1" applyProtection="1">
      <alignment horizontal="left" vertical="center" wrapText="1"/>
      <protection hidden="1"/>
    </xf>
    <xf numFmtId="0" fontId="22" fillId="0" borderId="24" xfId="5" applyFont="1" applyBorder="1" applyAlignment="1" applyProtection="1">
      <alignment horizontal="left" vertical="center" wrapText="1"/>
      <protection hidden="1"/>
    </xf>
    <xf numFmtId="0" fontId="22" fillId="0" borderId="14" xfId="5" applyFont="1" applyBorder="1" applyAlignment="1" applyProtection="1">
      <alignment horizontal="left" vertical="center" wrapText="1"/>
      <protection hidden="1"/>
    </xf>
    <xf numFmtId="0" fontId="22" fillId="0" borderId="23" xfId="5" applyFont="1" applyBorder="1" applyAlignment="1" applyProtection="1">
      <alignment horizontal="left" vertical="center" wrapText="1"/>
      <protection hidden="1"/>
    </xf>
    <xf numFmtId="0" fontId="2" fillId="0" borderId="1" xfId="5" applyFont="1" applyBorder="1" applyAlignment="1" applyProtection="1">
      <alignment horizontal="left" vertical="center" wrapText="1"/>
      <protection hidden="1"/>
    </xf>
    <xf numFmtId="0" fontId="2" fillId="0" borderId="24" xfId="5" applyFont="1" applyBorder="1" applyAlignment="1" applyProtection="1">
      <alignment horizontal="left" vertical="center" wrapText="1"/>
      <protection hidden="1"/>
    </xf>
    <xf numFmtId="0" fontId="2" fillId="0" borderId="14" xfId="5" applyFont="1" applyBorder="1" applyAlignment="1" applyProtection="1">
      <alignment horizontal="left" vertical="center" wrapText="1"/>
      <protection hidden="1"/>
    </xf>
    <xf numFmtId="0" fontId="2" fillId="0" borderId="23" xfId="5" applyFont="1" applyBorder="1" applyAlignment="1" applyProtection="1">
      <alignment horizontal="left" vertical="center" wrapText="1"/>
      <protection hidden="1"/>
    </xf>
    <xf numFmtId="0" fontId="2" fillId="0" borderId="2" xfId="5" applyFont="1" applyBorder="1" applyAlignment="1" applyProtection="1">
      <alignment horizontal="left" vertical="center" wrapText="1"/>
      <protection hidden="1"/>
    </xf>
    <xf numFmtId="0" fontId="3" fillId="7" borderId="2" xfId="1" applyFont="1" applyFill="1" applyBorder="1" applyAlignment="1" applyProtection="1">
      <alignment horizontal="center" vertical="center" wrapText="1"/>
      <protection locked="0"/>
    </xf>
    <xf numFmtId="0" fontId="3" fillId="7" borderId="3" xfId="1" applyFont="1" applyFill="1" applyBorder="1" applyAlignment="1" applyProtection="1">
      <alignment horizontal="center" vertical="center" wrapText="1"/>
      <protection locked="0"/>
    </xf>
    <xf numFmtId="0" fontId="3" fillId="7" borderId="4" xfId="1" applyFont="1" applyFill="1" applyBorder="1" applyAlignment="1" applyProtection="1">
      <alignment horizontal="center" vertical="center" wrapText="1"/>
      <protection locked="0"/>
    </xf>
    <xf numFmtId="0" fontId="10" fillId="0" borderId="5" xfId="3" applyFont="1" applyBorder="1" applyAlignment="1" applyProtection="1">
      <alignment vertical="center" wrapText="1"/>
      <protection locked="0"/>
    </xf>
    <xf numFmtId="0" fontId="10" fillId="0" borderId="10" xfId="3" applyFont="1" applyBorder="1" applyAlignment="1" applyProtection="1">
      <alignment vertical="center" wrapText="1"/>
      <protection locked="0"/>
    </xf>
    <xf numFmtId="0" fontId="10" fillId="0" borderId="16" xfId="3" applyFont="1" applyBorder="1" applyAlignment="1" applyProtection="1">
      <alignment vertical="center" wrapText="1"/>
      <protection locked="0"/>
    </xf>
    <xf numFmtId="0" fontId="2" fillId="0" borderId="5" xfId="3" applyFont="1" applyBorder="1" applyAlignment="1" applyProtection="1">
      <alignment vertical="center" wrapText="1"/>
      <protection locked="0"/>
    </xf>
    <xf numFmtId="0" fontId="2" fillId="0" borderId="10" xfId="3" applyFont="1" applyBorder="1" applyAlignment="1" applyProtection="1">
      <alignment vertical="center" wrapText="1"/>
      <protection locked="0"/>
    </xf>
    <xf numFmtId="0" fontId="2" fillId="0" borderId="16" xfId="3" applyFont="1" applyBorder="1" applyAlignment="1" applyProtection="1">
      <alignment vertical="center" wrapText="1"/>
      <protection locked="0"/>
    </xf>
    <xf numFmtId="0" fontId="2" fillId="0" borderId="13" xfId="3" applyFont="1" applyBorder="1" applyAlignment="1">
      <alignment horizontal="left" vertical="center" wrapText="1"/>
    </xf>
    <xf numFmtId="0" fontId="2" fillId="0" borderId="11" xfId="3" applyFont="1" applyBorder="1" applyAlignment="1">
      <alignment horizontal="left" vertical="center" wrapText="1"/>
    </xf>
    <xf numFmtId="0" fontId="2" fillId="0" borderId="17" xfId="3" applyFont="1" applyBorder="1" applyAlignment="1">
      <alignment horizontal="left" vertical="center" wrapText="1"/>
    </xf>
    <xf numFmtId="0" fontId="2" fillId="0" borderId="5" xfId="3" applyFont="1" applyBorder="1" applyAlignment="1">
      <alignment horizontal="left" vertical="center" wrapText="1"/>
    </xf>
    <xf numFmtId="0" fontId="2" fillId="0" borderId="10" xfId="3" applyFont="1" applyBorder="1" applyAlignment="1">
      <alignment horizontal="left" vertical="center" wrapText="1"/>
    </xf>
    <xf numFmtId="0" fontId="2" fillId="0" borderId="16" xfId="3" applyFont="1" applyBorder="1" applyAlignment="1">
      <alignment horizontal="left" vertical="center" wrapText="1"/>
    </xf>
    <xf numFmtId="0" fontId="2" fillId="14" borderId="5" xfId="3" applyFont="1" applyFill="1" applyBorder="1" applyAlignment="1" applyProtection="1">
      <alignment horizontal="left" vertical="center" wrapText="1"/>
      <protection locked="0"/>
    </xf>
    <xf numFmtId="0" fontId="2" fillId="14" borderId="10" xfId="3" applyFont="1" applyFill="1" applyBorder="1" applyAlignment="1" applyProtection="1">
      <alignment horizontal="left" vertical="center" wrapText="1"/>
      <protection locked="0"/>
    </xf>
    <xf numFmtId="0" fontId="2" fillId="14" borderId="16" xfId="3" applyFont="1" applyFill="1" applyBorder="1" applyAlignment="1" applyProtection="1">
      <alignment horizontal="left" vertical="center" wrapText="1"/>
      <protection locked="0"/>
    </xf>
    <xf numFmtId="0" fontId="2" fillId="0" borderId="18" xfId="3" applyFont="1" applyBorder="1" applyAlignment="1" applyProtection="1">
      <alignment vertical="center" wrapText="1"/>
      <protection locked="0"/>
    </xf>
    <xf numFmtId="0" fontId="2" fillId="0" borderId="19" xfId="3" applyFont="1" applyBorder="1" applyAlignment="1" applyProtection="1">
      <alignment vertical="center" wrapText="1"/>
      <protection locked="0"/>
    </xf>
    <xf numFmtId="0" fontId="2" fillId="0" borderId="20" xfId="3" applyFont="1" applyBorder="1" applyAlignment="1" applyProtection="1">
      <alignment vertical="center" wrapText="1"/>
      <protection locked="0"/>
    </xf>
    <xf numFmtId="0" fontId="6" fillId="0" borderId="2" xfId="0" applyFont="1" applyBorder="1" applyAlignment="1" applyProtection="1">
      <alignment horizontal="left" vertical="center" wrapText="1"/>
      <protection locked="0" hidden="1"/>
    </xf>
    <xf numFmtId="0" fontId="6" fillId="0" borderId="3" xfId="0" applyFont="1" applyBorder="1" applyAlignment="1" applyProtection="1">
      <alignment horizontal="left" vertical="center" wrapText="1"/>
      <protection locked="0" hidden="1"/>
    </xf>
    <xf numFmtId="0" fontId="6" fillId="0" borderId="4" xfId="0" applyFont="1" applyBorder="1" applyAlignment="1" applyProtection="1">
      <alignment horizontal="left" vertical="center" wrapText="1"/>
      <protection locked="0" hidden="1"/>
    </xf>
    <xf numFmtId="0" fontId="2" fillId="0" borderId="2" xfId="0" applyFont="1" applyBorder="1" applyAlignment="1" applyProtection="1">
      <alignment horizontal="left" vertical="center" wrapText="1"/>
      <protection locked="0"/>
    </xf>
    <xf numFmtId="0" fontId="2" fillId="0" borderId="3" xfId="0" applyFont="1" applyBorder="1" applyAlignment="1" applyProtection="1">
      <alignment horizontal="left" vertical="center" wrapText="1"/>
      <protection locked="0"/>
    </xf>
    <xf numFmtId="0" fontId="2" fillId="0" borderId="4" xfId="0" applyFont="1" applyBorder="1" applyAlignment="1" applyProtection="1">
      <alignment horizontal="left" vertical="center" wrapText="1"/>
      <protection locked="0"/>
    </xf>
    <xf numFmtId="0" fontId="2" fillId="0" borderId="25" xfId="1" applyFont="1" applyBorder="1" applyAlignment="1" applyProtection="1">
      <alignment horizontal="left" vertical="center" wrapText="1"/>
      <protection hidden="1"/>
    </xf>
    <xf numFmtId="0" fontId="2" fillId="0" borderId="21" xfId="1" applyFont="1" applyBorder="1" applyAlignment="1" applyProtection="1">
      <alignment horizontal="left" vertical="center" wrapText="1"/>
      <protection hidden="1"/>
    </xf>
    <xf numFmtId="0" fontId="2" fillId="0" borderId="22" xfId="1" applyFont="1" applyBorder="1" applyAlignment="1" applyProtection="1">
      <alignment horizontal="left" vertical="center" wrapText="1"/>
      <protection hidden="1"/>
    </xf>
    <xf numFmtId="0" fontId="2" fillId="0" borderId="4" xfId="0" applyFont="1" applyBorder="1" applyAlignment="1" applyProtection="1">
      <alignment horizontal="left" vertical="center" wrapText="1"/>
      <protection hidden="1"/>
    </xf>
    <xf numFmtId="0" fontId="2" fillId="0" borderId="1" xfId="0" applyFont="1" applyBorder="1" applyAlignment="1" applyProtection="1">
      <alignment horizontal="left" vertical="center" wrapText="1"/>
      <protection hidden="1"/>
    </xf>
    <xf numFmtId="0" fontId="22" fillId="0" borderId="26" xfId="1" applyFont="1" applyBorder="1" applyAlignment="1" applyProtection="1">
      <alignment horizontal="left" vertical="center" wrapText="1"/>
      <protection hidden="1"/>
    </xf>
    <xf numFmtId="0" fontId="22" fillId="0" borderId="0" xfId="1" applyFont="1" applyAlignment="1" applyProtection="1">
      <alignment horizontal="left" vertical="center" wrapText="1"/>
      <protection hidden="1"/>
    </xf>
    <xf numFmtId="0" fontId="22" fillId="0" borderId="7" xfId="1" applyFont="1" applyBorder="1" applyAlignment="1" applyProtection="1">
      <alignment horizontal="left" vertical="center" wrapText="1"/>
      <protection hidden="1"/>
    </xf>
    <xf numFmtId="0" fontId="11" fillId="0" borderId="0" xfId="3" applyFont="1" applyAlignment="1" applyProtection="1">
      <alignment horizontal="center" vertical="center" wrapText="1"/>
      <protection locked="0"/>
    </xf>
    <xf numFmtId="0" fontId="22" fillId="0" borderId="24" xfId="1" applyFont="1" applyBorder="1" applyAlignment="1" applyProtection="1">
      <alignment horizontal="left" vertical="center" wrapText="1"/>
      <protection hidden="1"/>
    </xf>
    <xf numFmtId="0" fontId="22" fillId="0" borderId="14" xfId="1" applyFont="1" applyBorder="1" applyAlignment="1" applyProtection="1">
      <alignment horizontal="left" vertical="center" wrapText="1"/>
      <protection hidden="1"/>
    </xf>
    <xf numFmtId="0" fontId="22" fillId="0" borderId="23" xfId="1" applyFont="1" applyBorder="1" applyAlignment="1" applyProtection="1">
      <alignment horizontal="left" vertical="center" wrapText="1"/>
      <protection hidden="1"/>
    </xf>
    <xf numFmtId="0" fontId="2" fillId="0" borderId="24" xfId="1" applyFont="1" applyBorder="1" applyAlignment="1" applyProtection="1">
      <alignment horizontal="left" vertical="center" wrapText="1"/>
      <protection hidden="1"/>
    </xf>
    <xf numFmtId="0" fontId="2" fillId="0" borderId="14" xfId="1" applyFont="1" applyBorder="1" applyAlignment="1" applyProtection="1">
      <alignment horizontal="left" vertical="center" wrapText="1"/>
      <protection hidden="1"/>
    </xf>
    <xf numFmtId="0" fontId="2" fillId="0" borderId="23" xfId="1" applyFont="1" applyBorder="1" applyAlignment="1" applyProtection="1">
      <alignment horizontal="left" vertical="center" wrapText="1"/>
      <protection hidden="1"/>
    </xf>
    <xf numFmtId="0" fontId="24" fillId="0" borderId="26" xfId="5" applyFont="1" applyBorder="1" applyAlignment="1" applyProtection="1">
      <alignment horizontal="left" vertical="center" wrapText="1"/>
      <protection hidden="1"/>
    </xf>
    <xf numFmtId="0" fontId="24" fillId="0" borderId="0" xfId="5" applyFont="1" applyAlignment="1" applyProtection="1">
      <alignment horizontal="left" vertical="center" wrapText="1"/>
      <protection hidden="1"/>
    </xf>
    <xf numFmtId="0" fontId="24" fillId="0" borderId="7" xfId="5" applyFont="1" applyBorder="1" applyAlignment="1" applyProtection="1">
      <alignment horizontal="left" vertical="center" wrapText="1"/>
      <protection hidden="1"/>
    </xf>
    <xf numFmtId="0" fontId="24" fillId="0" borderId="24" xfId="5" applyFont="1" applyBorder="1" applyAlignment="1" applyProtection="1">
      <alignment horizontal="left" vertical="center" wrapText="1"/>
      <protection hidden="1"/>
    </xf>
    <xf numFmtId="0" fontId="24" fillId="0" borderId="14" xfId="5" applyFont="1" applyBorder="1" applyAlignment="1" applyProtection="1">
      <alignment horizontal="left" vertical="center" wrapText="1"/>
      <protection hidden="1"/>
    </xf>
    <xf numFmtId="0" fontId="24" fillId="0" borderId="23" xfId="5" applyFont="1" applyBorder="1" applyAlignment="1" applyProtection="1">
      <alignment horizontal="left" vertical="center" wrapText="1"/>
      <protection hidden="1"/>
    </xf>
    <xf numFmtId="0" fontId="2" fillId="14" borderId="1" xfId="0" applyFont="1" applyFill="1" applyBorder="1" applyAlignment="1">
      <alignment vertical="center" wrapText="1"/>
    </xf>
    <xf numFmtId="49" fontId="2" fillId="14" borderId="1" xfId="1" applyNumberFormat="1" applyFont="1" applyFill="1" applyBorder="1" applyAlignment="1" applyProtection="1">
      <alignment horizontal="center" vertical="center" wrapText="1"/>
      <protection locked="0"/>
    </xf>
    <xf numFmtId="0" fontId="2" fillId="14" borderId="1" xfId="0" applyFont="1" applyFill="1" applyBorder="1" applyAlignment="1">
      <alignment horizontal="center" vertical="center" wrapText="1"/>
    </xf>
  </cellXfs>
  <cellStyles count="6">
    <cellStyle name="一般" xfId="0" builtinId="0"/>
    <cellStyle name="一般 2" xfId="2" xr:uid="{00000000-0005-0000-0000-000001000000}"/>
    <cellStyle name="一般 3" xfId="3" xr:uid="{00000000-0005-0000-0000-000002000000}"/>
    <cellStyle name="一般 4" xfId="4" xr:uid="{00000000-0005-0000-0000-000003000000}"/>
    <cellStyle name="一般_Asset &amp; RA彙總表_050822" xfId="1" xr:uid="{00000000-0005-0000-0000-000004000000}"/>
    <cellStyle name="一般_資訊資產清單KHL-W-P-003-001-A0-PWC_I-DC-D006 威脅與弱點評估表_v0.23" xfId="5" xr:uid="{00000000-0005-0000-0000-000005000000}"/>
  </cellStyles>
  <dxfs count="0"/>
  <tableStyles count="0" defaultTableStyle="TableStyleMedium2" defaultPivotStyle="PivotStyleLight16"/>
  <colors>
    <mruColors>
      <color rgb="FFFFCCFF"/>
      <color rgb="FFFF614C"/>
      <color rgb="FF99CCFF"/>
      <color rgb="FFFEC636"/>
      <color rgb="FF6BCBC5"/>
      <color rgb="FF6699CC"/>
      <color rgb="FF003366"/>
      <color rgb="FF85509D"/>
      <color rgb="FFE1D4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19049</xdr:rowOff>
    </xdr:from>
    <xdr:to>
      <xdr:col>10</xdr:col>
      <xdr:colOff>9525</xdr:colOff>
      <xdr:row>1</xdr:row>
      <xdr:rowOff>28575</xdr:rowOff>
    </xdr:to>
    <xdr:sp macro="" textlink="">
      <xdr:nvSpPr>
        <xdr:cNvPr id="3" name="Text Box 1">
          <a:extLst>
            <a:ext uri="{FF2B5EF4-FFF2-40B4-BE49-F238E27FC236}">
              <a16:creationId xmlns:a16="http://schemas.microsoft.com/office/drawing/2014/main" id="{00000000-0008-0000-0000-000003000000}"/>
            </a:ext>
          </a:extLst>
        </xdr:cNvPr>
        <xdr:cNvSpPr txBox="1">
          <a:spLocks noChangeArrowheads="1"/>
        </xdr:cNvSpPr>
      </xdr:nvSpPr>
      <xdr:spPr bwMode="auto">
        <a:xfrm>
          <a:off x="685800" y="19049"/>
          <a:ext cx="6572250" cy="219076"/>
        </a:xfrm>
        <a:prstGeom prst="rect">
          <a:avLst/>
        </a:prstGeom>
        <a:solidFill>
          <a:srgbClr val="003366"/>
        </a:solidFill>
        <a:ln>
          <a:noFill/>
        </a:ln>
        <a:effectLst/>
      </xdr:spPr>
      <xdr:txBody>
        <a:bodyPr vertOverflow="clip" wrap="square" lIns="219456" tIns="219456" rIns="219456" bIns="219456" anchor="t" upright="1"/>
        <a:lstStyle/>
        <a:p>
          <a:pPr algn="l" rtl="0">
            <a:lnSpc>
              <a:spcPts val="12100"/>
            </a:lnSpc>
            <a:defRPr sz="1000"/>
          </a:pPr>
          <a:endParaRPr lang="zh-TW" altLang="en-US" sz="9000" b="0" i="0" u="none" strike="noStrike" baseline="0">
            <a:solidFill>
              <a:srgbClr val="FFFFFF"/>
            </a:solidFill>
            <a:latin typeface="Microsoft JhengHei UI"/>
            <a:ea typeface="Microsoft JhengHei UI"/>
          </a:endParaRPr>
        </a:p>
        <a:p>
          <a:pPr algn="l" rtl="0">
            <a:lnSpc>
              <a:spcPts val="12100"/>
            </a:lnSpc>
            <a:defRPr sz="1000"/>
          </a:pPr>
          <a:endParaRPr lang="zh-TW" altLang="en-US" sz="9000" b="0" i="0" u="none" strike="noStrike" baseline="0">
            <a:solidFill>
              <a:srgbClr val="FFFFFF"/>
            </a:solidFill>
            <a:latin typeface="Microsoft JhengHei UI"/>
            <a:ea typeface="Microsoft JhengHei UI"/>
          </a:endParaRPr>
        </a:p>
      </xdr:txBody>
    </xdr:sp>
    <xdr:clientData/>
  </xdr:twoCellAnchor>
  <xdr:twoCellAnchor editAs="oneCell">
    <xdr:from>
      <xdr:col>10</xdr:col>
      <xdr:colOff>0</xdr:colOff>
      <xdr:row>0</xdr:row>
      <xdr:rowOff>0</xdr:rowOff>
    </xdr:from>
    <xdr:to>
      <xdr:col>11</xdr:col>
      <xdr:colOff>101169</xdr:colOff>
      <xdr:row>1</xdr:row>
      <xdr:rowOff>98713</xdr:rowOff>
    </xdr:to>
    <xdr:pic>
      <xdr:nvPicPr>
        <xdr:cNvPr id="5" name="圖片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1216" y="0"/>
          <a:ext cx="715319" cy="294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469900</xdr:colOff>
          <xdr:row>10</xdr:row>
          <xdr:rowOff>95250</xdr:rowOff>
        </xdr:from>
        <xdr:to>
          <xdr:col>16</xdr:col>
          <xdr:colOff>469900</xdr:colOff>
          <xdr:row>12</xdr:row>
          <xdr:rowOff>184150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完成後請按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279400</xdr:colOff>
          <xdr:row>0</xdr:row>
          <xdr:rowOff>184150</xdr:rowOff>
        </xdr:from>
        <xdr:to>
          <xdr:col>11</xdr:col>
          <xdr:colOff>431800</xdr:colOff>
          <xdr:row>1</xdr:row>
          <xdr:rowOff>304800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CIA關聯校驗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20</xdr:col>
      <xdr:colOff>688881</xdr:colOff>
      <xdr:row>28</xdr:row>
      <xdr:rowOff>177458</xdr:rowOff>
    </xdr:from>
    <xdr:ext cx="65" cy="172227"/>
    <xdr:sp macro="" textlink="">
      <xdr:nvSpPr>
        <xdr:cNvPr id="2" name="文字方塊 1">
          <a:extLst>
            <a:ext uri="{FF2B5EF4-FFF2-40B4-BE49-F238E27FC236}">
              <a16:creationId xmlns:a16="http://schemas.microsoft.com/office/drawing/2014/main" id="{00000000-0008-0000-0300-000002000000}"/>
            </a:ext>
          </a:extLst>
        </xdr:cNvPr>
        <xdr:cNvSpPr txBox="1"/>
      </xdr:nvSpPr>
      <xdr:spPr>
        <a:xfrm>
          <a:off x="7811835" y="34185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4037;&#20316;&#38917;&#30446;\FY105\&#39135;&#21697;&#30740;&#31350;&#25152;\&#39135;&#21697;&#30740;&#31350;&#25152;-&#39080;&#38570;&#35413;&#37969;\&#22521;&#33775;&#31684;&#20363;\20150707\20150707\RA\&#39080;&#38570;&#35413;&#37969;_&#20154;&#21729;&#39006;_2015070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38568;&#36523;&#30879;backup(101.7.26)\&#28450;&#27665;&#31185;&#25216;\RA\&#36575;&#39636;&#39006;&#36039;&#2998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人員資產群組清單"/>
      <sheetName val="人員風險_PE_01"/>
      <sheetName val="人員風險_PE_03"/>
      <sheetName val="人員風險_PE_10"/>
      <sheetName val="人員風險_PE_11"/>
      <sheetName val="人員風險_PE_13"/>
      <sheetName val="人員風險_PE_12"/>
      <sheetName val="人員風險_PE_14"/>
      <sheetName val="人員風險_PE_15"/>
      <sheetName val="人員風險_16"/>
      <sheetName val="人員風險_PE_17"/>
      <sheetName val="人員風險_PE_18"/>
      <sheetName val="人員風險_PE_21"/>
      <sheetName val="人員風險_PE_22"/>
      <sheetName val="人員風險_PE_23"/>
      <sheetName val="人員風險_PE_25"/>
      <sheetName val="人員風險_PE_28"/>
      <sheetName val="人員風險_PE_36"/>
      <sheetName val="Ref"/>
      <sheetName val="工作表1"/>
    </sheetNames>
    <sheetDataSet>
      <sheetData sheetId="0">
        <row r="4">
          <cell r="D4" t="str">
            <v>漢民</v>
          </cell>
        </row>
      </sheetData>
      <sheetData sheetId="1">
        <row r="10">
          <cell r="D10" t="str">
            <v>(01) 管理階層</v>
          </cell>
        </row>
        <row r="11">
          <cell r="D11" t="str">
            <v>(06) Service Desk 人員</v>
          </cell>
        </row>
        <row r="12">
          <cell r="D12" t="str">
            <v>(06) Service Desk 人員</v>
          </cell>
        </row>
        <row r="13">
          <cell r="D13" t="str">
            <v>(06) Service Desk 人員</v>
          </cell>
        </row>
        <row r="14">
          <cell r="D14" t="str">
            <v>(06) Service Desk 人員</v>
          </cell>
        </row>
        <row r="15">
          <cell r="D15" t="str">
            <v>(06) Service Desk 人員</v>
          </cell>
        </row>
        <row r="16">
          <cell r="D16" t="str">
            <v>(06) Service Desk 人員</v>
          </cell>
        </row>
        <row r="17">
          <cell r="D17" t="str">
            <v>(06) Service Desk 人員</v>
          </cell>
        </row>
        <row r="18">
          <cell r="D18" t="str">
            <v>(06) Service Desk 人員</v>
          </cell>
        </row>
        <row r="19">
          <cell r="D19" t="str">
            <v>(05) 專案Leader</v>
          </cell>
        </row>
        <row r="20">
          <cell r="D20" t="str">
            <v>(03) MIS人員</v>
          </cell>
        </row>
        <row r="21">
          <cell r="D21" t="str">
            <v>(03) MIS人員</v>
          </cell>
        </row>
        <row r="22">
          <cell r="D22" t="str">
            <v>(05) 專案Leader</v>
          </cell>
        </row>
        <row r="23">
          <cell r="D23" t="str">
            <v>(03) MIS人員</v>
          </cell>
        </row>
        <row r="24">
          <cell r="D24" t="str">
            <v>(03) MIS人員</v>
          </cell>
        </row>
        <row r="25">
          <cell r="D25" t="str">
            <v>(03) MIS人員</v>
          </cell>
        </row>
        <row r="26">
          <cell r="D26" t="str">
            <v>(06) Service Desk 人員</v>
          </cell>
        </row>
        <row r="27">
          <cell r="D27" t="str">
            <v>(03) MIS人員</v>
          </cell>
        </row>
        <row r="28">
          <cell r="D28" t="str">
            <v>(05) 專案Leader</v>
          </cell>
        </row>
        <row r="29">
          <cell r="D29" t="str">
            <v>(03) MIS人員</v>
          </cell>
        </row>
        <row r="30">
          <cell r="D30" t="str">
            <v>(03) MIS人員</v>
          </cell>
        </row>
        <row r="31">
          <cell r="D31" t="str">
            <v>(03) MIS人員</v>
          </cell>
        </row>
        <row r="32">
          <cell r="D32" t="str">
            <v>(03) MIS人員</v>
          </cell>
        </row>
        <row r="33">
          <cell r="D33" t="str">
            <v>(03) MIS人員</v>
          </cell>
        </row>
        <row r="34">
          <cell r="D34" t="str">
            <v>(09) 合作夥伴(供應鏈上下游)</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
          <cell r="C3" t="str">
            <v>(01) 管理階層</v>
          </cell>
          <cell r="D3">
            <v>1</v>
          </cell>
          <cell r="M3">
            <v>1</v>
          </cell>
          <cell r="P3">
            <v>1</v>
          </cell>
          <cell r="S3">
            <v>1</v>
          </cell>
          <cell r="V3">
            <v>1</v>
          </cell>
          <cell r="Y3">
            <v>1</v>
          </cell>
          <cell r="AB3">
            <v>1</v>
          </cell>
          <cell r="AE3" t="str">
            <v>Y</v>
          </cell>
        </row>
        <row r="4">
          <cell r="C4" t="str">
            <v>(02) 研發人員</v>
          </cell>
          <cell r="D4">
            <v>0</v>
          </cell>
          <cell r="M4">
            <v>2</v>
          </cell>
          <cell r="P4">
            <v>2</v>
          </cell>
          <cell r="S4">
            <v>2</v>
          </cell>
          <cell r="V4">
            <v>2</v>
          </cell>
          <cell r="Y4">
            <v>2</v>
          </cell>
          <cell r="AB4">
            <v>2</v>
          </cell>
          <cell r="AE4" t="str">
            <v>N</v>
          </cell>
        </row>
        <row r="5">
          <cell r="C5" t="str">
            <v>(03) MIS人員</v>
          </cell>
          <cell r="D5">
            <v>11</v>
          </cell>
          <cell r="M5">
            <v>3</v>
          </cell>
          <cell r="P5">
            <v>3</v>
          </cell>
          <cell r="S5">
            <v>3</v>
          </cell>
          <cell r="V5">
            <v>3</v>
          </cell>
          <cell r="Y5">
            <v>3</v>
          </cell>
          <cell r="AB5">
            <v>3</v>
          </cell>
        </row>
        <row r="6">
          <cell r="C6" t="str">
            <v>(04) 工讀生</v>
          </cell>
          <cell r="D6">
            <v>0</v>
          </cell>
          <cell r="M6">
            <v>4</v>
          </cell>
          <cell r="P6">
            <v>4</v>
          </cell>
          <cell r="S6">
            <v>4</v>
          </cell>
          <cell r="V6">
            <v>4</v>
          </cell>
          <cell r="Y6">
            <v>4</v>
          </cell>
          <cell r="AB6">
            <v>4</v>
          </cell>
        </row>
        <row r="7">
          <cell r="C7" t="str">
            <v>(05) 專案Leader</v>
          </cell>
          <cell r="D7">
            <v>0</v>
          </cell>
        </row>
        <row r="8">
          <cell r="C8" t="str">
            <v>(06) Service Desk 人員</v>
          </cell>
          <cell r="D8">
            <v>1</v>
          </cell>
        </row>
        <row r="9">
          <cell r="C9" t="str">
            <v>(07) 駐點人員</v>
          </cell>
          <cell r="D9">
            <v>0</v>
          </cell>
        </row>
        <row r="10">
          <cell r="C10" t="str">
            <v>(08) 清潔人員</v>
          </cell>
          <cell r="D10">
            <v>0</v>
          </cell>
        </row>
        <row r="11">
          <cell r="C11" t="str">
            <v>(09) 合作夥伴(供應鏈上下游)</v>
          </cell>
          <cell r="D11">
            <v>0</v>
          </cell>
        </row>
        <row r="12">
          <cell r="C12" t="str">
            <v>(05) 聘僱人員</v>
          </cell>
          <cell r="D12">
            <v>0</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軟體資產群組清單"/>
      <sheetName val="軟體風險_SW_01"/>
      <sheetName val="軟體風險_SW_02"/>
      <sheetName val="Ref"/>
    </sheetNames>
    <sheetDataSet>
      <sheetData sheetId="0"/>
      <sheetData sheetId="1">
        <row r="11">
          <cell r="A11" t="str">
            <v>SW-01</v>
          </cell>
          <cell r="B11" t="str">
            <v>05</v>
          </cell>
          <cell r="C11" t="str">
            <v>01</v>
          </cell>
          <cell r="D11" t="str">
            <v>(05) 套裝軟體</v>
          </cell>
          <cell r="E11" t="str">
            <v>oracle</v>
          </cell>
          <cell r="J11">
            <v>4</v>
          </cell>
          <cell r="L11">
            <v>1</v>
          </cell>
          <cell r="N11">
            <v>2</v>
          </cell>
          <cell r="P11">
            <v>3</v>
          </cell>
          <cell r="R11">
            <v>4</v>
          </cell>
        </row>
        <row r="12">
          <cell r="A12" t="str">
            <v>SW-02</v>
          </cell>
          <cell r="B12" t="str">
            <v>03</v>
          </cell>
          <cell r="C12" t="str">
            <v>02</v>
          </cell>
          <cell r="D12" t="str">
            <v>(03) 資料庫</v>
          </cell>
          <cell r="E12" t="str">
            <v>人員資料庫</v>
          </cell>
          <cell r="G12" t="str">
            <v>機房</v>
          </cell>
          <cell r="J12">
            <v>4</v>
          </cell>
          <cell r="L12">
            <v>4</v>
          </cell>
          <cell r="N12">
            <v>4</v>
          </cell>
          <cell r="P12">
            <v>4</v>
          </cell>
          <cell r="R12">
            <v>4</v>
          </cell>
        </row>
        <row r="13">
          <cell r="A13" t="str">
            <v>SW-03</v>
          </cell>
          <cell r="B13" t="str">
            <v>01</v>
          </cell>
          <cell r="C13" t="str">
            <v>03</v>
          </cell>
          <cell r="D13" t="str">
            <v>(01) 應用系統</v>
          </cell>
          <cell r="E13" t="str">
            <v>官網</v>
          </cell>
          <cell r="F13" t="str">
            <v>自行開發</v>
          </cell>
          <cell r="G13" t="str">
            <v>機房</v>
          </cell>
          <cell r="R13">
            <v>0</v>
          </cell>
        </row>
        <row r="14">
          <cell r="A14" t="str">
            <v>SW-04</v>
          </cell>
          <cell r="B14" t="str">
            <v>01</v>
          </cell>
          <cell r="C14" t="str">
            <v>04</v>
          </cell>
          <cell r="D14" t="str">
            <v>(01) 應用系統</v>
          </cell>
          <cell r="E14" t="str">
            <v>人事系統</v>
          </cell>
          <cell r="F14" t="str">
            <v>委外開發</v>
          </cell>
          <cell r="G14" t="str">
            <v>機房</v>
          </cell>
          <cell r="R14">
            <v>0</v>
          </cell>
        </row>
        <row r="15">
          <cell r="A15" t="str">
            <v>未輸入</v>
          </cell>
          <cell r="B15" t="str">
            <v/>
          </cell>
          <cell r="R15">
            <v>0</v>
          </cell>
        </row>
        <row r="16">
          <cell r="A16" t="str">
            <v>未輸入</v>
          </cell>
          <cell r="B16" t="str">
            <v/>
          </cell>
          <cell r="R16">
            <v>0</v>
          </cell>
        </row>
        <row r="17">
          <cell r="A17" t="str">
            <v>未輸入</v>
          </cell>
          <cell r="B17" t="str">
            <v/>
          </cell>
          <cell r="R17">
            <v>0</v>
          </cell>
        </row>
        <row r="18">
          <cell r="A18" t="str">
            <v>未輸入</v>
          </cell>
          <cell r="B18" t="str">
            <v/>
          </cell>
          <cell r="R18">
            <v>0</v>
          </cell>
        </row>
        <row r="19">
          <cell r="A19" t="str">
            <v>未輸入</v>
          </cell>
          <cell r="B19" t="str">
            <v/>
          </cell>
          <cell r="R19">
            <v>0</v>
          </cell>
        </row>
        <row r="20">
          <cell r="A20" t="str">
            <v>未輸入</v>
          </cell>
          <cell r="B20" t="str">
            <v/>
          </cell>
          <cell r="R20">
            <v>0</v>
          </cell>
        </row>
        <row r="21">
          <cell r="A21" t="str">
            <v>未輸入</v>
          </cell>
          <cell r="B21" t="str">
            <v/>
          </cell>
          <cell r="R21">
            <v>0</v>
          </cell>
        </row>
        <row r="22">
          <cell r="A22" t="str">
            <v>未輸入</v>
          </cell>
          <cell r="B22" t="str">
            <v/>
          </cell>
          <cell r="R22">
            <v>0</v>
          </cell>
        </row>
        <row r="23">
          <cell r="A23" t="str">
            <v>未輸入</v>
          </cell>
          <cell r="B23" t="str">
            <v/>
          </cell>
          <cell r="R23">
            <v>0</v>
          </cell>
        </row>
        <row r="24">
          <cell r="A24" t="str">
            <v>未輸入</v>
          </cell>
          <cell r="B24" t="str">
            <v/>
          </cell>
          <cell r="R24">
            <v>0</v>
          </cell>
        </row>
        <row r="25">
          <cell r="A25" t="str">
            <v>未輸入</v>
          </cell>
          <cell r="B25" t="str">
            <v/>
          </cell>
          <cell r="R25">
            <v>0</v>
          </cell>
        </row>
        <row r="26">
          <cell r="A26" t="str">
            <v>未輸入</v>
          </cell>
          <cell r="R26">
            <v>0</v>
          </cell>
        </row>
        <row r="27">
          <cell r="A27" t="str">
            <v>未輸入</v>
          </cell>
          <cell r="R27">
            <v>0</v>
          </cell>
        </row>
        <row r="28">
          <cell r="A28" t="str">
            <v>未輸入</v>
          </cell>
          <cell r="R28">
            <v>0</v>
          </cell>
        </row>
        <row r="29">
          <cell r="A29" t="str">
            <v>未輸入</v>
          </cell>
          <cell r="R29">
            <v>0</v>
          </cell>
        </row>
        <row r="30">
          <cell r="A30" t="str">
            <v>未輸入</v>
          </cell>
          <cell r="R30">
            <v>0</v>
          </cell>
        </row>
        <row r="31">
          <cell r="A31" t="str">
            <v>未輸入</v>
          </cell>
          <cell r="R31">
            <v>0</v>
          </cell>
        </row>
        <row r="32">
          <cell r="A32" t="str">
            <v>未輸入</v>
          </cell>
          <cell r="R32">
            <v>0</v>
          </cell>
        </row>
        <row r="33">
          <cell r="A33" t="str">
            <v>未輸入</v>
          </cell>
          <cell r="R33">
            <v>0</v>
          </cell>
        </row>
        <row r="34">
          <cell r="A34" t="str">
            <v>未輸入</v>
          </cell>
          <cell r="R34">
            <v>0</v>
          </cell>
        </row>
        <row r="35">
          <cell r="A35" t="str">
            <v>未輸入</v>
          </cell>
          <cell r="R35">
            <v>0</v>
          </cell>
        </row>
        <row r="36">
          <cell r="A36" t="str">
            <v>未輸入</v>
          </cell>
          <cell r="R36">
            <v>0</v>
          </cell>
        </row>
        <row r="37">
          <cell r="A37" t="str">
            <v>未輸入</v>
          </cell>
          <cell r="R37">
            <v>0</v>
          </cell>
        </row>
        <row r="38">
          <cell r="A38" t="str">
            <v>未輸入</v>
          </cell>
          <cell r="R38">
            <v>0</v>
          </cell>
        </row>
        <row r="39">
          <cell r="A39" t="str">
            <v>未輸入</v>
          </cell>
          <cell r="R39">
            <v>0</v>
          </cell>
        </row>
        <row r="40">
          <cell r="A40" t="str">
            <v>未輸入</v>
          </cell>
          <cell r="R40">
            <v>0</v>
          </cell>
        </row>
        <row r="41">
          <cell r="A41" t="str">
            <v>未輸入</v>
          </cell>
          <cell r="R41">
            <v>0</v>
          </cell>
        </row>
        <row r="42">
          <cell r="A42" t="str">
            <v>未輸入</v>
          </cell>
          <cell r="R42">
            <v>0</v>
          </cell>
        </row>
        <row r="43">
          <cell r="A43" t="str">
            <v>未輸入</v>
          </cell>
          <cell r="R43">
            <v>0</v>
          </cell>
        </row>
        <row r="44">
          <cell r="A44" t="str">
            <v>未輸入</v>
          </cell>
          <cell r="R44">
            <v>0</v>
          </cell>
        </row>
        <row r="45">
          <cell r="A45" t="str">
            <v>未輸入</v>
          </cell>
          <cell r="R45">
            <v>0</v>
          </cell>
        </row>
        <row r="46">
          <cell r="A46" t="str">
            <v>未輸入</v>
          </cell>
          <cell r="R46">
            <v>0</v>
          </cell>
        </row>
        <row r="47">
          <cell r="A47" t="str">
            <v>未輸入</v>
          </cell>
          <cell r="R47">
            <v>0</v>
          </cell>
        </row>
        <row r="48">
          <cell r="A48" t="str">
            <v>未輸入</v>
          </cell>
          <cell r="R48">
            <v>0</v>
          </cell>
        </row>
        <row r="49">
          <cell r="A49" t="str">
            <v>未輸入</v>
          </cell>
          <cell r="R49">
            <v>0</v>
          </cell>
        </row>
        <row r="50">
          <cell r="A50" t="str">
            <v>未輸入</v>
          </cell>
          <cell r="R50">
            <v>0</v>
          </cell>
        </row>
      </sheetData>
      <sheetData sheetId="2"/>
      <sheetData sheetId="3"/>
      <sheetData sheetId="4">
        <row r="3">
          <cell r="C3" t="str">
            <v>(01) 應用系統</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4"/>
  </sheetPr>
  <dimension ref="B3:J15"/>
  <sheetViews>
    <sheetView topLeftCell="A7" zoomScale="80" zoomScaleNormal="80" workbookViewId="0">
      <selection activeCell="C11" sqref="C11:J11"/>
    </sheetView>
  </sheetViews>
  <sheetFormatPr defaultColWidth="9" defaultRowHeight="15.5"/>
  <cols>
    <col min="1" max="1" width="9" style="5"/>
    <col min="2" max="2" width="14.08984375" style="5" customWidth="1"/>
    <col min="3" max="16384" width="9" style="5"/>
  </cols>
  <sheetData>
    <row r="3" spans="2:10" ht="63.5" customHeight="1">
      <c r="B3" s="86" t="s">
        <v>162</v>
      </c>
      <c r="C3" s="86"/>
      <c r="D3" s="86"/>
      <c r="E3" s="86"/>
      <c r="F3" s="86"/>
      <c r="G3" s="86"/>
      <c r="H3" s="86"/>
      <c r="I3" s="86"/>
      <c r="J3" s="86"/>
    </row>
    <row r="4" spans="2:10" ht="78.75" customHeight="1">
      <c r="B4" s="87" t="s">
        <v>32</v>
      </c>
      <c r="C4" s="88"/>
      <c r="D4" s="88"/>
      <c r="E4" s="88"/>
      <c r="F4" s="88"/>
      <c r="G4" s="88"/>
      <c r="H4" s="88"/>
      <c r="I4" s="88"/>
      <c r="J4" s="88"/>
    </row>
    <row r="5" spans="2:10" ht="78.75" customHeight="1">
      <c r="B5" s="89" t="s">
        <v>30</v>
      </c>
      <c r="C5" s="89"/>
      <c r="D5" s="89"/>
      <c r="E5" s="89"/>
      <c r="F5" s="89"/>
      <c r="G5" s="89"/>
      <c r="H5" s="89"/>
      <c r="I5" s="89"/>
      <c r="J5" s="89"/>
    </row>
    <row r="7" spans="2:10" ht="98.5" customHeight="1">
      <c r="B7" s="85" t="s">
        <v>76</v>
      </c>
      <c r="C7" s="85"/>
      <c r="D7" s="85"/>
      <c r="E7" s="85"/>
      <c r="F7" s="85"/>
      <c r="G7" s="85"/>
      <c r="H7" s="85"/>
      <c r="I7" s="85"/>
      <c r="J7" s="85"/>
    </row>
    <row r="9" spans="2:10" ht="16.649999999999999" hidden="1" customHeight="1">
      <c r="B9" s="1" t="s">
        <v>43</v>
      </c>
      <c r="C9" s="82"/>
      <c r="D9" s="83"/>
      <c r="E9" s="83"/>
      <c r="F9" s="83"/>
      <c r="G9" s="83"/>
      <c r="H9" s="83"/>
      <c r="I9" s="83"/>
      <c r="J9" s="84"/>
    </row>
    <row r="10" spans="2:10" ht="16">
      <c r="B10" s="1" t="s">
        <v>44</v>
      </c>
      <c r="C10" s="90" t="s">
        <v>163</v>
      </c>
      <c r="D10" s="91"/>
      <c r="E10" s="91"/>
      <c r="F10" s="91"/>
      <c r="G10" s="91"/>
      <c r="H10" s="91"/>
      <c r="I10" s="91"/>
      <c r="J10" s="92"/>
    </row>
    <row r="11" spans="2:10" ht="16">
      <c r="B11" s="1" t="s">
        <v>45</v>
      </c>
      <c r="C11" s="76" t="s">
        <v>175</v>
      </c>
      <c r="D11" s="77"/>
      <c r="E11" s="77"/>
      <c r="F11" s="77"/>
      <c r="G11" s="77"/>
      <c r="H11" s="77"/>
      <c r="I11" s="77"/>
      <c r="J11" s="78"/>
    </row>
    <row r="12" spans="2:10" ht="16">
      <c r="B12" s="1" t="s">
        <v>0</v>
      </c>
      <c r="C12" s="79">
        <v>1</v>
      </c>
      <c r="D12" s="80"/>
      <c r="E12" s="80"/>
      <c r="F12" s="80"/>
      <c r="G12" s="80"/>
      <c r="H12" s="80"/>
      <c r="I12" s="80"/>
      <c r="J12" s="81"/>
    </row>
    <row r="13" spans="2:10" ht="16">
      <c r="B13" s="1" t="s">
        <v>1</v>
      </c>
      <c r="C13" s="82" t="s">
        <v>33</v>
      </c>
      <c r="D13" s="83"/>
      <c r="E13" s="83"/>
      <c r="F13" s="83"/>
      <c r="G13" s="83"/>
      <c r="H13" s="83"/>
      <c r="I13" s="83"/>
      <c r="J13" s="84"/>
    </row>
    <row r="15" spans="2:10">
      <c r="B15" s="75" t="s">
        <v>161</v>
      </c>
      <c r="C15" s="75"/>
      <c r="D15" s="75"/>
      <c r="E15" s="75"/>
      <c r="F15" s="75"/>
      <c r="G15" s="75"/>
      <c r="H15" s="75"/>
      <c r="I15" s="75"/>
      <c r="J15" s="75"/>
    </row>
  </sheetData>
  <mergeCells count="10">
    <mergeCell ref="B3:J3"/>
    <mergeCell ref="B4:J4"/>
    <mergeCell ref="B5:J5"/>
    <mergeCell ref="C9:J9"/>
    <mergeCell ref="C10:J10"/>
    <mergeCell ref="B15:J15"/>
    <mergeCell ref="C11:J11"/>
    <mergeCell ref="C12:J12"/>
    <mergeCell ref="C13:J13"/>
    <mergeCell ref="B7:J7"/>
  </mergeCells>
  <phoneticPr fontId="1" type="noConversion"/>
  <dataValidations count="1">
    <dataValidation type="list" allowBlank="1" showInputMessage="1" showErrorMessage="1" sqref="C13:J13" xr:uid="{00000000-0002-0000-0000-000000000000}">
      <formula1>"一般,限閱級,密級,機密級"</formula1>
    </dataValidation>
  </dataValidations>
  <pageMargins left="1.9685039370078741"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249977111117893"/>
    <pageSetUpPr fitToPage="1"/>
  </sheetPr>
  <dimension ref="A1:R10"/>
  <sheetViews>
    <sheetView tabSelected="1" zoomScaleNormal="100" workbookViewId="0">
      <pane xSplit="2" ySplit="9" topLeftCell="C10" activePane="bottomRight" state="frozen"/>
      <selection pane="topRight" activeCell="C1" sqref="C1"/>
      <selection pane="bottomLeft" activeCell="A10" sqref="A10"/>
      <selection pane="bottomRight" activeCell="F13" sqref="F13"/>
    </sheetView>
  </sheetViews>
  <sheetFormatPr defaultColWidth="9" defaultRowHeight="15.5"/>
  <cols>
    <col min="1" max="1" width="12.7265625" style="25" customWidth="1"/>
    <col min="2" max="2" width="17.08984375" style="23" hidden="1" customWidth="1"/>
    <col min="3" max="3" width="16.7265625" style="23" customWidth="1"/>
    <col min="4" max="4" width="18.90625" style="23" customWidth="1"/>
    <col min="5" max="6" width="13.26953125" style="23" customWidth="1"/>
    <col min="7" max="7" width="8.7265625" style="15" customWidth="1"/>
    <col min="8" max="8" width="6.26953125" style="23" customWidth="1"/>
    <col min="9" max="9" width="13.36328125" style="23" customWidth="1"/>
    <col min="10" max="10" width="6.26953125" style="23" customWidth="1"/>
    <col min="11" max="11" width="13.36328125" style="23" customWidth="1"/>
    <col min="12" max="12" width="6.26953125" style="23" customWidth="1"/>
    <col min="13" max="13" width="13.36328125" style="23" customWidth="1"/>
    <col min="14" max="14" width="6.26953125" style="23" customWidth="1"/>
    <col min="15" max="15" width="13.36328125" style="23" customWidth="1"/>
    <col min="16" max="16" width="6.26953125" style="23" customWidth="1"/>
    <col min="17" max="17" width="8.7265625" style="15" customWidth="1"/>
    <col min="18" max="16384" width="9" style="23"/>
  </cols>
  <sheetData>
    <row r="1" spans="1:18" s="21" customFormat="1">
      <c r="A1" s="93" t="str">
        <f>資訊清單資訊!B3</f>
        <v>石油與天然氣輸儲查核與檢測雲端平台</v>
      </c>
      <c r="B1" s="93"/>
      <c r="C1" s="93"/>
      <c r="D1" s="93"/>
      <c r="E1" s="93"/>
      <c r="F1" s="93"/>
      <c r="G1" s="93"/>
      <c r="H1" s="93"/>
      <c r="I1" s="93"/>
      <c r="J1" s="93"/>
      <c r="K1" s="93"/>
      <c r="L1" s="93"/>
      <c r="M1" s="93"/>
      <c r="N1" s="93"/>
      <c r="O1" s="93"/>
      <c r="P1" s="93"/>
      <c r="Q1" s="93"/>
    </row>
    <row r="2" spans="1:18" s="21" customFormat="1">
      <c r="A2" s="93" t="str">
        <f>資訊清單資訊!B7 &amp;"資訊資產清冊"</f>
        <v>環境類(EN)資訊資產清冊</v>
      </c>
      <c r="B2" s="93"/>
      <c r="C2" s="93"/>
      <c r="D2" s="93"/>
      <c r="E2" s="93"/>
      <c r="F2" s="93"/>
      <c r="G2" s="93"/>
      <c r="H2" s="93"/>
      <c r="I2" s="93"/>
      <c r="J2" s="93"/>
      <c r="K2" s="93"/>
      <c r="L2" s="93"/>
      <c r="M2" s="93"/>
      <c r="N2" s="93"/>
      <c r="O2" s="93"/>
      <c r="P2" s="93"/>
      <c r="Q2" s="93"/>
    </row>
    <row r="3" spans="1:18" s="4" customFormat="1" hidden="1">
      <c r="A3" s="94" t="str">
        <f>資訊清單資訊!B9&amp; " : " &amp;資訊清單資訊!C9</f>
        <v xml:space="preserve">計畫代號 : </v>
      </c>
      <c r="B3" s="94"/>
      <c r="C3" s="94"/>
      <c r="D3" s="94"/>
      <c r="E3" s="94"/>
      <c r="F3" s="94"/>
      <c r="G3" s="94"/>
      <c r="H3" s="94"/>
      <c r="I3" s="94"/>
      <c r="J3" s="94"/>
      <c r="K3" s="94"/>
      <c r="L3" s="94"/>
      <c r="M3" s="94"/>
      <c r="N3" s="94"/>
      <c r="O3" s="94"/>
      <c r="P3" s="94"/>
      <c r="Q3" s="94"/>
    </row>
    <row r="4" spans="1:18" s="22" customFormat="1">
      <c r="A4" s="94" t="str">
        <f>資訊清單資訊!B10&amp; " : " &amp;資訊清單資訊!C10</f>
        <v>編號 : 材1-1</v>
      </c>
      <c r="B4" s="94"/>
      <c r="C4" s="94"/>
      <c r="D4" s="94"/>
      <c r="E4" s="94"/>
      <c r="F4" s="94"/>
      <c r="G4" s="94"/>
      <c r="H4" s="94"/>
      <c r="I4" s="94"/>
      <c r="J4" s="94"/>
      <c r="K4" s="94"/>
      <c r="L4" s="94"/>
      <c r="M4" s="94"/>
      <c r="N4" s="94"/>
      <c r="O4" s="94"/>
      <c r="P4" s="94"/>
      <c r="Q4" s="94"/>
    </row>
    <row r="5" spans="1:18" s="22" customFormat="1">
      <c r="A5" s="94" t="str">
        <f>資訊清單資訊!B11&amp; " : " &amp;資訊清單資訊!C11</f>
        <v>日期 : 113/3/19</v>
      </c>
      <c r="B5" s="94"/>
      <c r="C5" s="94"/>
      <c r="D5" s="94"/>
      <c r="E5" s="94"/>
      <c r="F5" s="94"/>
      <c r="G5" s="94"/>
      <c r="H5" s="94"/>
      <c r="I5" s="94"/>
      <c r="J5" s="94"/>
      <c r="K5" s="94"/>
      <c r="L5" s="94"/>
      <c r="M5" s="94"/>
      <c r="N5" s="94"/>
      <c r="O5" s="94"/>
      <c r="P5" s="94"/>
      <c r="Q5" s="94"/>
    </row>
    <row r="6" spans="1:18" s="22" customFormat="1">
      <c r="A6" s="94" t="str">
        <f>資訊清單資訊!B12&amp; " : " &amp;資訊清單資訊!C12</f>
        <v>版本 : 1</v>
      </c>
      <c r="B6" s="94"/>
      <c r="C6" s="94"/>
      <c r="D6" s="94"/>
      <c r="E6" s="94"/>
      <c r="F6" s="94"/>
      <c r="G6" s="94"/>
      <c r="H6" s="94"/>
      <c r="I6" s="94"/>
      <c r="J6" s="94"/>
      <c r="K6" s="94"/>
      <c r="L6" s="94"/>
      <c r="M6" s="94"/>
      <c r="N6" s="94"/>
      <c r="O6" s="94"/>
      <c r="P6" s="94"/>
      <c r="Q6" s="94"/>
    </row>
    <row r="7" spans="1:18" s="22" customFormat="1">
      <c r="A7" s="95" t="str">
        <f>資訊清單資訊!B13&amp; " : " &amp;資訊清單資訊!C13</f>
        <v>機密等級 : 限閱級</v>
      </c>
      <c r="B7" s="94"/>
      <c r="C7" s="94"/>
      <c r="D7" s="94"/>
      <c r="E7" s="94"/>
      <c r="F7" s="94"/>
      <c r="G7" s="94"/>
      <c r="H7" s="94"/>
      <c r="I7" s="94"/>
      <c r="J7" s="94"/>
      <c r="K7" s="94"/>
      <c r="L7" s="94"/>
      <c r="M7" s="94"/>
      <c r="N7" s="94"/>
      <c r="O7" s="94"/>
      <c r="P7" s="94"/>
      <c r="Q7" s="94"/>
    </row>
    <row r="8" spans="1:18" s="12" customFormat="1">
      <c r="A8" s="27"/>
      <c r="B8" s="96" t="s">
        <v>55</v>
      </c>
      <c r="C8" s="96"/>
      <c r="D8" s="96"/>
      <c r="E8" s="96"/>
      <c r="F8" s="96"/>
      <c r="G8" s="97"/>
      <c r="H8" s="98" t="s">
        <v>70</v>
      </c>
      <c r="I8" s="99"/>
      <c r="J8" s="99"/>
      <c r="K8" s="99"/>
      <c r="L8" s="99"/>
      <c r="M8" s="99"/>
      <c r="N8" s="99"/>
      <c r="O8" s="99"/>
      <c r="P8" s="99"/>
      <c r="Q8" s="100"/>
    </row>
    <row r="9" spans="1:18" s="15" customFormat="1" ht="31">
      <c r="A9" s="28" t="s">
        <v>71</v>
      </c>
      <c r="B9" s="26" t="s">
        <v>2</v>
      </c>
      <c r="C9" s="13" t="s">
        <v>56</v>
      </c>
      <c r="D9" s="13" t="s">
        <v>57</v>
      </c>
      <c r="E9" s="13" t="s">
        <v>58</v>
      </c>
      <c r="F9" s="13" t="s">
        <v>59</v>
      </c>
      <c r="G9" s="13" t="s">
        <v>60</v>
      </c>
      <c r="H9" s="11" t="s">
        <v>61</v>
      </c>
      <c r="I9" s="11" t="s">
        <v>62</v>
      </c>
      <c r="J9" s="11" t="s">
        <v>63</v>
      </c>
      <c r="K9" s="11" t="s">
        <v>64</v>
      </c>
      <c r="L9" s="11" t="s">
        <v>65</v>
      </c>
      <c r="M9" s="11" t="s">
        <v>62</v>
      </c>
      <c r="N9" s="11" t="s">
        <v>66</v>
      </c>
      <c r="O9" s="11" t="s">
        <v>67</v>
      </c>
      <c r="P9" s="11" t="s">
        <v>68</v>
      </c>
      <c r="Q9" s="14" t="s">
        <v>69</v>
      </c>
    </row>
    <row r="10" spans="1:18" s="12" customFormat="1" ht="46.5">
      <c r="A10" s="69" t="s">
        <v>164</v>
      </c>
      <c r="B10" s="16"/>
      <c r="C10" s="71" t="s">
        <v>173</v>
      </c>
      <c r="D10" s="71" t="s">
        <v>174</v>
      </c>
      <c r="E10" s="167" t="s">
        <v>165</v>
      </c>
      <c r="F10" s="168" t="s">
        <v>144</v>
      </c>
      <c r="G10" s="169" t="s">
        <v>166</v>
      </c>
      <c r="H10" s="73">
        <v>2</v>
      </c>
      <c r="I10" s="74" t="s">
        <v>172</v>
      </c>
      <c r="J10" s="73">
        <v>2</v>
      </c>
      <c r="K10" s="74" t="s">
        <v>145</v>
      </c>
      <c r="L10" s="73">
        <v>2</v>
      </c>
      <c r="M10" s="74" t="s">
        <v>169</v>
      </c>
      <c r="N10" s="73">
        <v>3</v>
      </c>
      <c r="O10" s="74" t="s">
        <v>146</v>
      </c>
      <c r="P10" s="73">
        <f>MAX(H10,J10,L10,N10)</f>
        <v>3</v>
      </c>
      <c r="Q10" s="72" t="s">
        <v>167</v>
      </c>
      <c r="R10" s="70"/>
    </row>
  </sheetData>
  <sheetProtection formatCells="0" formatColumns="0" formatRows="0" insertColumns="0" insertRows="0" insertHyperlinks="0" deleteColumns="0" deleteRows="0" sort="0" autoFilter="0" pivotTables="0"/>
  <autoFilter ref="A9:Q9" xr:uid="{00000000-0009-0000-0000-000001000000}"/>
  <mergeCells count="9">
    <mergeCell ref="A1:Q1"/>
    <mergeCell ref="A2:Q2"/>
    <mergeCell ref="A3:Q3"/>
    <mergeCell ref="A7:Q7"/>
    <mergeCell ref="B8:G8"/>
    <mergeCell ref="H8:Q8"/>
    <mergeCell ref="A4:Q4"/>
    <mergeCell ref="A5:Q5"/>
    <mergeCell ref="A6:Q6"/>
  </mergeCells>
  <phoneticPr fontId="1" type="noConversion"/>
  <dataValidations count="4">
    <dataValidation type="list" allowBlank="1" showInputMessage="1" showErrorMessage="1" sqref="J10:J419 H10:H419 L10:L419" xr:uid="{00000000-0002-0000-0100-000000000000}">
      <formula1>"1,2,3,4"</formula1>
    </dataValidation>
    <dataValidation type="list" allowBlank="1" showInputMessage="1" showErrorMessage="1" sqref="N1:N8 N11:N1048576" xr:uid="{00000000-0002-0000-0100-000001000000}">
      <formula1>"2,3,4,NA"</formula1>
    </dataValidation>
    <dataValidation type="list" allowBlank="1" showInputMessage="1" showErrorMessage="1" sqref="B10:B419" xr:uid="{00000000-0002-0000-0100-000002000000}">
      <formula1>PE_SUBLIST</formula1>
    </dataValidation>
    <dataValidation type="list" allowBlank="1" showInputMessage="1" showErrorMessage="1" sqref="N10" xr:uid="{00000000-0002-0000-0100-000003000000}">
      <formula1>"1,2,3,4,NA"</formula1>
    </dataValidation>
  </dataValidations>
  <pageMargins left="0" right="0" top="0.39370078740157483" bottom="0.59055118110236227" header="0.31496062992125984" footer="0.19685039370078741"/>
  <pageSetup paperSize="9" scale="83" fitToHeight="0" orientation="landscape" r:id="rId1"/>
  <headerFooter>
    <oddFooter>第 &amp;P 頁，共 &amp;N 頁</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產生清單">
                <anchor moveWithCells="1" sizeWithCells="1">
                  <from>
                    <xdr:col>14</xdr:col>
                    <xdr:colOff>469900</xdr:colOff>
                    <xdr:row>10</xdr:row>
                    <xdr:rowOff>95250</xdr:rowOff>
                  </from>
                  <to>
                    <xdr:col>16</xdr:col>
                    <xdr:colOff>469900</xdr:colOff>
                    <xdr:row>12</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sheetPr>
  <dimension ref="A1:I59"/>
  <sheetViews>
    <sheetView topLeftCell="E1" workbookViewId="0">
      <selection activeCell="L5" sqref="L5"/>
    </sheetView>
  </sheetViews>
  <sheetFormatPr defaultColWidth="9" defaultRowHeight="37" customHeight="1"/>
  <cols>
    <col min="1" max="1" width="7.36328125" style="2" customWidth="1"/>
    <col min="2" max="2" width="76.7265625" style="50" customWidth="1"/>
    <col min="3" max="3" width="4" style="2" customWidth="1"/>
    <col min="4" max="4" width="7" style="43" customWidth="1"/>
    <col min="5" max="5" width="18.08984375" style="43" customWidth="1"/>
    <col min="6" max="6" width="72.7265625" style="50" customWidth="1"/>
    <col min="7" max="7" width="5.36328125" style="2" customWidth="1"/>
    <col min="8" max="8" width="29.7265625" style="2" customWidth="1"/>
    <col min="9" max="16384" width="9" style="2"/>
  </cols>
  <sheetData>
    <row r="1" spans="1:9" ht="37" customHeight="1">
      <c r="A1" s="101" t="s">
        <v>77</v>
      </c>
      <c r="B1" s="101"/>
      <c r="D1" s="102" t="s">
        <v>78</v>
      </c>
      <c r="E1" s="102"/>
      <c r="F1" s="102"/>
      <c r="H1" s="103" t="s">
        <v>79</v>
      </c>
      <c r="I1" s="103"/>
    </row>
    <row r="2" spans="1:9" ht="37" customHeight="1">
      <c r="A2" s="44" t="s">
        <v>80</v>
      </c>
      <c r="B2" s="45" t="s">
        <v>81</v>
      </c>
      <c r="D2" s="104" t="s">
        <v>46</v>
      </c>
      <c r="E2" s="104"/>
      <c r="F2" s="105"/>
      <c r="H2" s="46" t="s">
        <v>23</v>
      </c>
      <c r="I2" s="46" t="s">
        <v>82</v>
      </c>
    </row>
    <row r="3" spans="1:9" ht="37" customHeight="1">
      <c r="A3" s="47">
        <v>1</v>
      </c>
      <c r="B3" s="48" t="s">
        <v>83</v>
      </c>
      <c r="D3" s="8" t="s">
        <v>48</v>
      </c>
      <c r="E3" s="8" t="s">
        <v>35</v>
      </c>
      <c r="F3" s="8" t="s">
        <v>34</v>
      </c>
      <c r="H3" s="49" t="s">
        <v>111</v>
      </c>
      <c r="I3" s="47" t="s">
        <v>141</v>
      </c>
    </row>
    <row r="4" spans="1:9" ht="37" customHeight="1">
      <c r="A4" s="47">
        <v>2</v>
      </c>
      <c r="B4" s="48" t="s">
        <v>84</v>
      </c>
      <c r="D4" s="9">
        <v>1</v>
      </c>
      <c r="E4" s="9" t="s">
        <v>36</v>
      </c>
      <c r="F4" s="48" t="s">
        <v>49</v>
      </c>
      <c r="H4" s="49" t="s">
        <v>89</v>
      </c>
      <c r="I4" s="47" t="s">
        <v>140</v>
      </c>
    </row>
    <row r="5" spans="1:9" ht="37" customHeight="1">
      <c r="A5" s="47">
        <v>3</v>
      </c>
      <c r="B5" s="48" t="s">
        <v>85</v>
      </c>
      <c r="D5" s="9">
        <v>2</v>
      </c>
      <c r="E5" s="9" t="s">
        <v>37</v>
      </c>
      <c r="F5" s="48" t="s">
        <v>50</v>
      </c>
      <c r="H5" s="49" t="s">
        <v>133</v>
      </c>
      <c r="I5" s="47" t="s">
        <v>141</v>
      </c>
    </row>
    <row r="6" spans="1:9" ht="37" customHeight="1">
      <c r="A6" s="47">
        <v>4</v>
      </c>
      <c r="B6" s="48" t="s">
        <v>86</v>
      </c>
      <c r="D6" s="9">
        <v>3</v>
      </c>
      <c r="E6" s="9" t="s">
        <v>38</v>
      </c>
      <c r="F6" s="48" t="s">
        <v>47</v>
      </c>
      <c r="H6" s="49" t="s">
        <v>116</v>
      </c>
      <c r="I6" s="47" t="s">
        <v>142</v>
      </c>
    </row>
    <row r="7" spans="1:9" ht="37" customHeight="1">
      <c r="D7" s="9">
        <v>4</v>
      </c>
      <c r="E7" s="9" t="s">
        <v>39</v>
      </c>
      <c r="F7" s="48" t="s">
        <v>51</v>
      </c>
      <c r="H7" s="49" t="s">
        <v>119</v>
      </c>
      <c r="I7" s="47" t="s">
        <v>141</v>
      </c>
    </row>
    <row r="8" spans="1:9" ht="37" customHeight="1">
      <c r="A8" s="44" t="s">
        <v>80</v>
      </c>
      <c r="B8" s="45" t="s">
        <v>87</v>
      </c>
      <c r="H8" s="49" t="s">
        <v>134</v>
      </c>
      <c r="I8" s="47" t="s">
        <v>141</v>
      </c>
    </row>
    <row r="9" spans="1:9" ht="37" customHeight="1">
      <c r="A9" s="47">
        <v>1</v>
      </c>
      <c r="B9" s="48" t="s">
        <v>88</v>
      </c>
      <c r="H9" s="49" t="s">
        <v>135</v>
      </c>
      <c r="I9" s="47" t="s">
        <v>141</v>
      </c>
    </row>
    <row r="10" spans="1:9" ht="37" customHeight="1">
      <c r="A10" s="47">
        <v>2</v>
      </c>
      <c r="B10" s="48" t="s">
        <v>90</v>
      </c>
      <c r="D10" s="104" t="s">
        <v>52</v>
      </c>
      <c r="E10" s="104"/>
      <c r="F10" s="104"/>
      <c r="H10" s="49" t="s">
        <v>136</v>
      </c>
      <c r="I10" s="47" t="s">
        <v>141</v>
      </c>
    </row>
    <row r="11" spans="1:9" ht="37" customHeight="1">
      <c r="A11" s="47">
        <v>3</v>
      </c>
      <c r="B11" s="48" t="s">
        <v>91</v>
      </c>
      <c r="D11" s="8" t="s">
        <v>48</v>
      </c>
      <c r="E11" s="8" t="s">
        <v>35</v>
      </c>
      <c r="F11" s="8" t="s">
        <v>34</v>
      </c>
      <c r="H11" s="64" t="s">
        <v>137</v>
      </c>
      <c r="I11" s="47" t="s">
        <v>141</v>
      </c>
    </row>
    <row r="12" spans="1:9" ht="37" customHeight="1">
      <c r="A12" s="47">
        <v>4</v>
      </c>
      <c r="B12" s="48" t="s">
        <v>92</v>
      </c>
      <c r="D12" s="9">
        <v>1</v>
      </c>
      <c r="E12" s="9" t="s">
        <v>53</v>
      </c>
      <c r="F12" s="48" t="s">
        <v>54</v>
      </c>
      <c r="H12" s="64" t="s">
        <v>138</v>
      </c>
      <c r="I12" s="47" t="s">
        <v>141</v>
      </c>
    </row>
    <row r="13" spans="1:9" ht="37" customHeight="1">
      <c r="D13" s="9">
        <v>2</v>
      </c>
      <c r="E13" s="9" t="s">
        <v>40</v>
      </c>
      <c r="F13" s="48" t="s">
        <v>93</v>
      </c>
      <c r="H13" s="64" t="s">
        <v>139</v>
      </c>
      <c r="I13" s="47" t="s">
        <v>140</v>
      </c>
    </row>
    <row r="14" spans="1:9" ht="37" customHeight="1">
      <c r="A14" s="44" t="s">
        <v>80</v>
      </c>
      <c r="B14" s="45" t="s">
        <v>94</v>
      </c>
      <c r="D14" s="9">
        <v>3</v>
      </c>
      <c r="E14" s="9" t="s">
        <v>41</v>
      </c>
      <c r="F14" s="48" t="s">
        <v>95</v>
      </c>
      <c r="H14" s="65" t="s">
        <v>131</v>
      </c>
      <c r="I14" s="47"/>
    </row>
    <row r="15" spans="1:9" ht="37" customHeight="1">
      <c r="A15" s="47">
        <v>1</v>
      </c>
      <c r="B15" s="48" t="s">
        <v>96</v>
      </c>
      <c r="D15" s="9">
        <v>4</v>
      </c>
      <c r="E15" s="9" t="s">
        <v>42</v>
      </c>
      <c r="F15" s="48" t="s">
        <v>97</v>
      </c>
    </row>
    <row r="16" spans="1:9" ht="37" customHeight="1">
      <c r="A16" s="47">
        <v>2</v>
      </c>
      <c r="B16" s="48" t="s">
        <v>98</v>
      </c>
    </row>
    <row r="17" spans="1:6" ht="37" customHeight="1">
      <c r="A17" s="47">
        <v>3</v>
      </c>
      <c r="B17" s="48" t="s">
        <v>99</v>
      </c>
    </row>
    <row r="18" spans="1:6" ht="37" customHeight="1">
      <c r="A18" s="47">
        <v>4</v>
      </c>
      <c r="B18" s="48" t="s">
        <v>100</v>
      </c>
    </row>
    <row r="20" spans="1:6" ht="37" customHeight="1">
      <c r="A20" s="44" t="s">
        <v>80</v>
      </c>
      <c r="B20" s="45" t="s">
        <v>101</v>
      </c>
    </row>
    <row r="21" spans="1:6" ht="37" customHeight="1">
      <c r="A21" s="47">
        <v>1</v>
      </c>
      <c r="B21" s="48" t="s">
        <v>102</v>
      </c>
    </row>
    <row r="22" spans="1:6" ht="37" customHeight="1">
      <c r="A22" s="47">
        <v>2</v>
      </c>
      <c r="B22" s="48" t="s">
        <v>103</v>
      </c>
    </row>
    <row r="23" spans="1:6" ht="37" customHeight="1">
      <c r="A23" s="47">
        <v>3</v>
      </c>
      <c r="B23" s="48" t="s">
        <v>104</v>
      </c>
    </row>
    <row r="24" spans="1:6" ht="37" customHeight="1">
      <c r="A24" s="47">
        <v>4</v>
      </c>
      <c r="B24" s="48" t="s">
        <v>105</v>
      </c>
    </row>
    <row r="26" spans="1:6" ht="37" customHeight="1">
      <c r="A26" s="44" t="s">
        <v>80</v>
      </c>
      <c r="B26" s="45" t="s">
        <v>106</v>
      </c>
    </row>
    <row r="27" spans="1:6" ht="37" customHeight="1">
      <c r="A27" s="47">
        <v>3</v>
      </c>
      <c r="B27" s="48" t="s">
        <v>107</v>
      </c>
    </row>
    <row r="28" spans="1:6" ht="37" customHeight="1">
      <c r="A28" s="47">
        <v>4</v>
      </c>
      <c r="B28" s="48" t="s">
        <v>108</v>
      </c>
    </row>
    <row r="31" spans="1:6" s="3" customFormat="1" ht="37" customHeight="1">
      <c r="A31" s="2"/>
      <c r="B31" s="50"/>
      <c r="D31" s="43"/>
      <c r="E31" s="43"/>
      <c r="F31" s="50"/>
    </row>
    <row r="32" spans="1:6" s="3" customFormat="1" ht="37" customHeight="1">
      <c r="A32" s="2"/>
      <c r="B32" s="50"/>
      <c r="D32" s="10"/>
      <c r="E32" s="10"/>
      <c r="F32" s="51"/>
    </row>
    <row r="33" spans="1:6" s="3" customFormat="1" ht="37" customHeight="1">
      <c r="A33" s="2"/>
      <c r="B33" s="50"/>
      <c r="D33" s="10"/>
      <c r="E33" s="10"/>
      <c r="F33" s="51"/>
    </row>
    <row r="34" spans="1:6" s="3" customFormat="1" ht="37" customHeight="1">
      <c r="B34" s="10"/>
      <c r="D34" s="10"/>
      <c r="E34" s="10"/>
      <c r="F34" s="51"/>
    </row>
    <row r="35" spans="1:6" s="3" customFormat="1" ht="37" customHeight="1">
      <c r="B35" s="10"/>
      <c r="D35" s="10"/>
      <c r="E35" s="10"/>
      <c r="F35" s="51"/>
    </row>
    <row r="36" spans="1:6" s="3" customFormat="1" ht="37" customHeight="1">
      <c r="B36" s="10"/>
      <c r="D36" s="10"/>
      <c r="E36" s="10"/>
      <c r="F36" s="51"/>
    </row>
    <row r="37" spans="1:6" s="3" customFormat="1" ht="37" customHeight="1">
      <c r="B37" s="10"/>
      <c r="D37" s="10"/>
      <c r="E37" s="10"/>
      <c r="F37" s="51"/>
    </row>
    <row r="38" spans="1:6" s="3" customFormat="1" ht="37" customHeight="1">
      <c r="B38" s="10"/>
      <c r="D38" s="10"/>
      <c r="E38" s="10"/>
      <c r="F38" s="51"/>
    </row>
    <row r="39" spans="1:6" s="3" customFormat="1" ht="37" customHeight="1">
      <c r="B39" s="10"/>
      <c r="D39" s="10"/>
      <c r="E39" s="10"/>
      <c r="F39" s="51"/>
    </row>
    <row r="40" spans="1:6" s="3" customFormat="1" ht="37" customHeight="1">
      <c r="B40" s="10"/>
      <c r="D40" s="10"/>
      <c r="E40" s="10"/>
      <c r="F40" s="51"/>
    </row>
    <row r="41" spans="1:6" s="3" customFormat="1" ht="37" customHeight="1">
      <c r="B41" s="10"/>
      <c r="D41" s="10"/>
      <c r="E41" s="10"/>
      <c r="F41" s="51"/>
    </row>
    <row r="42" spans="1:6" s="3" customFormat="1" ht="37" customHeight="1">
      <c r="B42" s="10"/>
      <c r="D42" s="10"/>
      <c r="E42" s="10"/>
      <c r="F42" s="51"/>
    </row>
    <row r="43" spans="1:6" s="3" customFormat="1" ht="37" customHeight="1">
      <c r="B43" s="10"/>
      <c r="D43" s="10"/>
      <c r="E43" s="10"/>
      <c r="F43" s="51"/>
    </row>
    <row r="44" spans="1:6" s="3" customFormat="1" ht="37" customHeight="1">
      <c r="B44" s="10"/>
      <c r="D44" s="10"/>
      <c r="E44" s="10"/>
      <c r="F44" s="51"/>
    </row>
    <row r="45" spans="1:6" s="3" customFormat="1" ht="37" customHeight="1">
      <c r="B45" s="10"/>
      <c r="D45" s="10"/>
      <c r="E45" s="10"/>
      <c r="F45" s="51"/>
    </row>
    <row r="46" spans="1:6" s="3" customFormat="1" ht="37" customHeight="1">
      <c r="B46" s="10"/>
      <c r="D46" s="10"/>
      <c r="E46" s="10"/>
      <c r="F46" s="51"/>
    </row>
    <row r="47" spans="1:6" s="3" customFormat="1" ht="37" customHeight="1">
      <c r="A47" s="52"/>
      <c r="B47" s="51"/>
      <c r="D47" s="10"/>
      <c r="E47" s="10"/>
      <c r="F47" s="51"/>
    </row>
    <row r="48" spans="1:6" s="3" customFormat="1" ht="37" customHeight="1">
      <c r="A48" s="52"/>
      <c r="B48" s="51"/>
      <c r="D48" s="10"/>
      <c r="E48" s="10"/>
      <c r="F48" s="51"/>
    </row>
    <row r="49" spans="1:6" s="3" customFormat="1" ht="37" customHeight="1">
      <c r="A49" s="52"/>
      <c r="B49" s="51"/>
      <c r="D49" s="10"/>
      <c r="E49" s="10"/>
      <c r="F49" s="51"/>
    </row>
    <row r="50" spans="1:6" s="3" customFormat="1" ht="37" customHeight="1">
      <c r="A50" s="52"/>
      <c r="B50" s="51"/>
      <c r="D50" s="10"/>
      <c r="E50" s="10"/>
      <c r="F50" s="51"/>
    </row>
    <row r="51" spans="1:6" s="3" customFormat="1" ht="37" customHeight="1">
      <c r="B51" s="51"/>
      <c r="D51" s="10"/>
      <c r="E51" s="10"/>
      <c r="F51" s="51"/>
    </row>
    <row r="52" spans="1:6" s="3" customFormat="1" ht="37" customHeight="1">
      <c r="B52" s="51"/>
      <c r="D52" s="10"/>
      <c r="E52" s="10"/>
      <c r="F52" s="51"/>
    </row>
    <row r="53" spans="1:6" s="3" customFormat="1" ht="37" customHeight="1">
      <c r="B53" s="51"/>
      <c r="D53" s="10"/>
      <c r="E53" s="10"/>
      <c r="F53" s="51"/>
    </row>
    <row r="54" spans="1:6" s="3" customFormat="1" ht="37" customHeight="1">
      <c r="B54" s="51"/>
      <c r="D54" s="10"/>
      <c r="E54" s="10"/>
      <c r="F54" s="51"/>
    </row>
    <row r="55" spans="1:6" s="3" customFormat="1" ht="37" customHeight="1">
      <c r="B55" s="51"/>
      <c r="D55" s="10"/>
      <c r="E55" s="10"/>
      <c r="F55" s="51"/>
    </row>
    <row r="56" spans="1:6" s="3" customFormat="1" ht="37" customHeight="1">
      <c r="B56" s="51"/>
      <c r="D56" s="10"/>
      <c r="E56" s="10"/>
      <c r="F56" s="51"/>
    </row>
    <row r="57" spans="1:6" ht="37" customHeight="1">
      <c r="A57" s="3"/>
      <c r="B57" s="51"/>
      <c r="D57" s="10"/>
      <c r="E57" s="10"/>
      <c r="F57" s="51"/>
    </row>
    <row r="58" spans="1:6" ht="37" customHeight="1">
      <c r="A58" s="3"/>
      <c r="B58" s="51"/>
    </row>
    <row r="59" spans="1:6" ht="37" customHeight="1">
      <c r="A59" s="3"/>
      <c r="B59" s="51"/>
    </row>
  </sheetData>
  <mergeCells count="5">
    <mergeCell ref="A1:B1"/>
    <mergeCell ref="D1:F1"/>
    <mergeCell ref="H1:I1"/>
    <mergeCell ref="D2:F2"/>
    <mergeCell ref="D10:F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CIA比對">
                <anchor moveWithCells="1" sizeWithCells="1">
                  <from>
                    <xdr:col>9</xdr:col>
                    <xdr:colOff>279400</xdr:colOff>
                    <xdr:row>0</xdr:row>
                    <xdr:rowOff>184150</xdr:rowOff>
                  </from>
                  <to>
                    <xdr:col>11</xdr:col>
                    <xdr:colOff>431800</xdr:colOff>
                    <xdr:row>1</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pageSetUpPr fitToPage="1"/>
  </sheetPr>
  <dimension ref="A1:Z32"/>
  <sheetViews>
    <sheetView topLeftCell="M13" zoomScale="97" zoomScaleNormal="97" workbookViewId="0">
      <selection activeCell="X13" sqref="X13"/>
    </sheetView>
  </sheetViews>
  <sheetFormatPr defaultRowHeight="15.5"/>
  <cols>
    <col min="1" max="1" width="7.7265625" style="37" hidden="1" customWidth="1"/>
    <col min="2" max="2" width="11.90625" style="37" hidden="1" customWidth="1"/>
    <col min="3" max="4" width="9.7265625" style="37" hidden="1" customWidth="1"/>
    <col min="5" max="5" width="5.7265625" style="37" hidden="1" customWidth="1"/>
    <col min="6" max="6" width="7.7265625" style="37" hidden="1" customWidth="1"/>
    <col min="7" max="7" width="3.08984375" style="37" hidden="1" customWidth="1"/>
    <col min="8" max="8" width="2.26953125" style="37" hidden="1" customWidth="1"/>
    <col min="9" max="9" width="3.08984375" style="37" hidden="1" customWidth="1"/>
    <col min="10" max="10" width="5.26953125" style="37" hidden="1" customWidth="1"/>
    <col min="11" max="11" width="9.7265625" style="37" hidden="1" customWidth="1"/>
    <col min="12" max="12" width="5.7265625" style="37" hidden="1" customWidth="1"/>
    <col min="13" max="13" width="21.08984375" style="6" customWidth="1"/>
    <col min="14" max="14" width="8.90625" style="6" customWidth="1"/>
    <col min="15" max="15" width="11.36328125" style="6" customWidth="1"/>
    <col min="16" max="16" width="8.90625" style="6" customWidth="1"/>
    <col min="17" max="17" width="8.90625" style="38" customWidth="1"/>
    <col min="18" max="18" width="16.90625" style="6" customWidth="1"/>
    <col min="19" max="19" width="16.90625" style="38" customWidth="1"/>
    <col min="20" max="20" width="10" style="6" customWidth="1"/>
    <col min="21" max="21" width="10" style="38"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9" customFormat="1" ht="23.5" customHeight="1">
      <c r="A1" s="37"/>
      <c r="B1" s="37"/>
      <c r="C1" s="37"/>
      <c r="D1" s="37"/>
      <c r="E1" s="37"/>
      <c r="F1" s="37"/>
      <c r="G1" s="37"/>
      <c r="H1" s="37"/>
      <c r="I1" s="37"/>
      <c r="J1" s="37"/>
      <c r="K1" s="37"/>
      <c r="L1" s="37"/>
      <c r="M1" s="154" t="str">
        <f>資訊清單資訊!B3 &amp;資訊清單資訊!B7 &amp;資訊清單資訊!B5</f>
        <v>石油與天然氣輸儲查核與檢測雲端平台環境類(EN)資訊資產風險評鑑</v>
      </c>
      <c r="N1" s="154"/>
      <c r="O1" s="154"/>
      <c r="P1" s="154"/>
      <c r="Q1" s="154"/>
      <c r="R1" s="154"/>
      <c r="S1" s="154"/>
      <c r="T1" s="154"/>
      <c r="U1" s="154"/>
      <c r="V1" s="154"/>
      <c r="W1" s="154"/>
      <c r="X1" s="154"/>
      <c r="Y1" s="154"/>
      <c r="Z1" s="154"/>
    </row>
    <row r="2" spans="1:26">
      <c r="M2" s="39" t="s">
        <v>9</v>
      </c>
      <c r="N2" s="122" t="str">
        <f>資訊清單資訊!B7</f>
        <v>環境類(EN)</v>
      </c>
      <c r="O2" s="123"/>
      <c r="P2" s="124"/>
      <c r="Q2" s="53"/>
      <c r="R2" s="31" t="s">
        <v>11</v>
      </c>
      <c r="S2" s="17">
        <f>IF(ISNA(VLOOKUP($N$3,ALL_LIST,16,FALSE)), "",VLOOKUP($N$3,ALL_LIST,16,FALSE))</f>
        <v>3</v>
      </c>
    </row>
    <row r="3" spans="1:26" ht="31.75" customHeight="1">
      <c r="M3" s="42" t="s">
        <v>5</v>
      </c>
      <c r="N3" s="125" t="s">
        <v>164</v>
      </c>
      <c r="O3" s="126"/>
      <c r="P3" s="127"/>
      <c r="R3" s="30" t="s">
        <v>72</v>
      </c>
      <c r="S3" s="18">
        <f>IF(ISNA(VLOOKUP($N$3,ALL_LIST,8,FALSE)), "",VLOOKUP($N$3,ALL_LIST,8,FALSE))</f>
        <v>2</v>
      </c>
    </row>
    <row r="4" spans="1:26">
      <c r="M4" s="40" t="s">
        <v>10</v>
      </c>
      <c r="N4" s="128" t="str">
        <f>IF(ISNA(VLOOKUP($N$3,ALL_LIST,3,FALSE)), "",VLOOKUP($N$3,ALL_LIST,3,FALSE))</f>
        <v>計畫辦公室</v>
      </c>
      <c r="O4" s="129"/>
      <c r="P4" s="130"/>
      <c r="Q4" s="53"/>
      <c r="R4" s="30" t="s">
        <v>73</v>
      </c>
      <c r="S4" s="18">
        <f>IF(ISNA(VLOOKUP($N$3,ALL_LIST,10,FALSE)), "",VLOOKUP($N$3,ALL_LIST,10,FALSE))</f>
        <v>2</v>
      </c>
    </row>
    <row r="5" spans="1:26">
      <c r="M5" s="39" t="s">
        <v>6</v>
      </c>
      <c r="N5" s="131" t="str">
        <f>IF(ISNA(VLOOKUP($N$3,ALL_LIST,17,FALSE)), "",VLOOKUP($N$3,ALL_LIST,17,FALSE))</f>
        <v>賴斐瓔 </v>
      </c>
      <c r="O5" s="132"/>
      <c r="P5" s="133"/>
      <c r="Q5" s="53"/>
      <c r="R5" s="30" t="s">
        <v>74</v>
      </c>
      <c r="S5" s="18">
        <f>IF(ISNA(VLOOKUP($N$3,ALL_LIST,12,FALSE)), " ",VLOOKUP($N$3,ALL_LIST,12,FALSE))</f>
        <v>2</v>
      </c>
    </row>
    <row r="6" spans="1:26">
      <c r="M6" s="41" t="s">
        <v>7</v>
      </c>
      <c r="N6" s="134" t="s">
        <v>175</v>
      </c>
      <c r="O6" s="135"/>
      <c r="P6" s="136"/>
      <c r="R6" s="30" t="s">
        <v>75</v>
      </c>
      <c r="S6" s="18">
        <f>IF(ISNA(VLOOKUP($N$3,ALL_LIST,14,FALSE)), "",VLOOKUP($N$3,ALL_LIST,14,FALSE))</f>
        <v>3</v>
      </c>
    </row>
    <row r="7" spans="1:26">
      <c r="M7" s="41" t="s">
        <v>8</v>
      </c>
      <c r="N7" s="137" t="s">
        <v>168</v>
      </c>
      <c r="O7" s="138"/>
      <c r="P7" s="139"/>
      <c r="Q7" s="53"/>
      <c r="R7" s="32" t="s">
        <v>12</v>
      </c>
      <c r="S7" s="24">
        <f>MAX(Y11:Y27)</f>
        <v>12</v>
      </c>
    </row>
    <row r="10" spans="1:26" s="20" customFormat="1" ht="16">
      <c r="A10" s="33" t="s">
        <v>13</v>
      </c>
      <c r="B10" s="33" t="s">
        <v>14</v>
      </c>
      <c r="C10" s="33" t="s">
        <v>15</v>
      </c>
      <c r="D10" s="33" t="s">
        <v>16</v>
      </c>
      <c r="E10" s="33" t="s">
        <v>3</v>
      </c>
      <c r="F10" s="33" t="s">
        <v>17</v>
      </c>
      <c r="G10" s="34" t="s">
        <v>18</v>
      </c>
      <c r="H10" s="34" t="s">
        <v>19</v>
      </c>
      <c r="I10" s="34" t="s">
        <v>20</v>
      </c>
      <c r="J10" s="34" t="s">
        <v>21</v>
      </c>
      <c r="K10" s="35" t="s">
        <v>22</v>
      </c>
      <c r="L10" s="36" t="s">
        <v>31</v>
      </c>
      <c r="M10" s="119" t="s">
        <v>23</v>
      </c>
      <c r="N10" s="120"/>
      <c r="O10" s="121"/>
      <c r="P10" s="119" t="s">
        <v>4</v>
      </c>
      <c r="Q10" s="120"/>
      <c r="R10" s="120"/>
      <c r="S10" s="121"/>
      <c r="T10" s="29" t="s">
        <v>24</v>
      </c>
      <c r="U10" s="29" t="s">
        <v>25</v>
      </c>
      <c r="V10" s="29" t="s">
        <v>26</v>
      </c>
      <c r="W10" s="29" t="s">
        <v>27</v>
      </c>
      <c r="X10" s="29" t="s">
        <v>26</v>
      </c>
      <c r="Y10" s="29" t="s">
        <v>28</v>
      </c>
      <c r="Z10" s="29" t="s">
        <v>29</v>
      </c>
    </row>
    <row r="11" spans="1:26" s="59" customFormat="1" ht="31">
      <c r="A11" s="54" t="str">
        <f t="shared" ref="A11:A27" si="0">$N$3</f>
        <v>材1-1-EN-01</v>
      </c>
      <c r="B11" s="54">
        <f t="shared" ref="B11:B27" si="1">VLOOKUP($N$3,ALL_LIST,2,FALSE)</f>
        <v>0</v>
      </c>
      <c r="C11" s="54" t="str">
        <f t="shared" ref="C11:C27" si="2">VLOOKUP($N$3,ALL_LIST,3,FALSE)</f>
        <v>計畫辦公室</v>
      </c>
      <c r="D11" s="54" t="str">
        <f t="shared" ref="D11:D27" si="3">VLOOKUP($N$3,ALL_LIST,4,FALSE)</f>
        <v>計畫相關成員辦公室(含委外廠商)</v>
      </c>
      <c r="E11" s="54" t="str">
        <f t="shared" ref="E11:E27" si="4">VLOOKUP($N$3,ALL_LIST,6,FALSE)</f>
        <v>3</v>
      </c>
      <c r="F11" s="54" t="str">
        <f t="shared" ref="F11:F27" si="5">VLOOKUP($N$3,ALL_LIST,7,FALSE)</f>
        <v>賴斐瓔
吳榮正
邵錡鼎</v>
      </c>
      <c r="G11" s="54">
        <f t="shared" ref="G11:G27" si="6">VLOOKUP($N$3,ALL_LIST,8,FALSE)</f>
        <v>2</v>
      </c>
      <c r="H11" s="54">
        <f t="shared" ref="H11:H27" si="7">VLOOKUP($N$3,ALL_LIST,10,FALSE)</f>
        <v>2</v>
      </c>
      <c r="I11" s="54">
        <f t="shared" ref="I11:I27" si="8">VLOOKUP($N$3,ALL_LIST,12,FALSE)</f>
        <v>2</v>
      </c>
      <c r="J11" s="54">
        <f t="shared" ref="J11:J27" si="9">VLOOKUP($N$3,ALL_LIST,14,FALSE)</f>
        <v>3</v>
      </c>
      <c r="K11" s="55">
        <f t="shared" ref="K11:K27" si="10">VLOOKUP($N$3,ALL_LIST,16,FALSE)</f>
        <v>3</v>
      </c>
      <c r="L11" s="55">
        <f t="shared" ref="L11:L21" si="11">$S$7</f>
        <v>12</v>
      </c>
      <c r="M11" s="106" t="s">
        <v>111</v>
      </c>
      <c r="N11" s="107"/>
      <c r="O11" s="108"/>
      <c r="P11" s="109" t="s">
        <v>109</v>
      </c>
      <c r="Q11" s="109"/>
      <c r="R11" s="109"/>
      <c r="S11" s="110"/>
      <c r="T11" s="56" t="s">
        <v>110</v>
      </c>
      <c r="U11" s="56">
        <v>1</v>
      </c>
      <c r="V11" s="57" t="s">
        <v>147</v>
      </c>
      <c r="W11" s="56">
        <v>3</v>
      </c>
      <c r="X11" s="57" t="s">
        <v>148</v>
      </c>
      <c r="Y11" s="58">
        <f>IF((T11="N"),"不適用",IF(COUNTA(U11,W11)&lt;2,"評鑑中",$S$2*U11*W11))</f>
        <v>9</v>
      </c>
      <c r="Z11" s="60"/>
    </row>
    <row r="12" spans="1:26" s="59" customFormat="1" ht="62">
      <c r="A12" s="54" t="str">
        <f t="shared" si="0"/>
        <v>材1-1-EN-01</v>
      </c>
      <c r="B12" s="54">
        <f t="shared" si="1"/>
        <v>0</v>
      </c>
      <c r="C12" s="54" t="str">
        <f t="shared" si="2"/>
        <v>計畫辦公室</v>
      </c>
      <c r="D12" s="54" t="str">
        <f t="shared" si="3"/>
        <v>計畫相關成員辦公室(含委外廠商)</v>
      </c>
      <c r="E12" s="54" t="str">
        <f t="shared" si="4"/>
        <v>3</v>
      </c>
      <c r="F12" s="54" t="str">
        <f t="shared" si="5"/>
        <v>賴斐瓔
吳榮正
邵錡鼎</v>
      </c>
      <c r="G12" s="54">
        <f t="shared" si="6"/>
        <v>2</v>
      </c>
      <c r="H12" s="54">
        <f t="shared" si="7"/>
        <v>2</v>
      </c>
      <c r="I12" s="54">
        <f t="shared" si="8"/>
        <v>2</v>
      </c>
      <c r="J12" s="54">
        <f t="shared" si="9"/>
        <v>3</v>
      </c>
      <c r="K12" s="55">
        <f t="shared" si="10"/>
        <v>3</v>
      </c>
      <c r="L12" s="55">
        <f t="shared" si="11"/>
        <v>12</v>
      </c>
      <c r="M12" s="111" t="s">
        <v>111</v>
      </c>
      <c r="N12" s="112"/>
      <c r="O12" s="113"/>
      <c r="P12" s="109" t="s">
        <v>112</v>
      </c>
      <c r="Q12" s="109"/>
      <c r="R12" s="109"/>
      <c r="S12" s="110"/>
      <c r="T12" s="56" t="s">
        <v>149</v>
      </c>
      <c r="U12" s="56">
        <v>1</v>
      </c>
      <c r="V12" s="60" t="s">
        <v>150</v>
      </c>
      <c r="W12" s="56">
        <v>3</v>
      </c>
      <c r="X12" s="57" t="s">
        <v>148</v>
      </c>
      <c r="Y12" s="58">
        <f t="shared" ref="Y12:Y26" si="12">IF((T12="N"),"不適用",IF(COUNTA(U12,W12)&lt;2,"評鑑中",$S$2*U12*W12))</f>
        <v>9</v>
      </c>
      <c r="Z12" s="60"/>
    </row>
    <row r="13" spans="1:26" s="59" customFormat="1" ht="77.5">
      <c r="A13" s="54" t="str">
        <f t="shared" si="0"/>
        <v>材1-1-EN-01</v>
      </c>
      <c r="B13" s="54">
        <f t="shared" si="1"/>
        <v>0</v>
      </c>
      <c r="C13" s="54" t="str">
        <f t="shared" si="2"/>
        <v>計畫辦公室</v>
      </c>
      <c r="D13" s="54" t="str">
        <f t="shared" si="3"/>
        <v>計畫相關成員辦公室(含委外廠商)</v>
      </c>
      <c r="E13" s="54" t="str">
        <f t="shared" si="4"/>
        <v>3</v>
      </c>
      <c r="F13" s="54" t="str">
        <f t="shared" si="5"/>
        <v>賴斐瓔
吳榮正
邵錡鼎</v>
      </c>
      <c r="G13" s="54">
        <f t="shared" si="6"/>
        <v>2</v>
      </c>
      <c r="H13" s="54">
        <f t="shared" si="7"/>
        <v>2</v>
      </c>
      <c r="I13" s="54">
        <f t="shared" si="8"/>
        <v>2</v>
      </c>
      <c r="J13" s="54">
        <f t="shared" si="9"/>
        <v>3</v>
      </c>
      <c r="K13" s="55">
        <f t="shared" si="10"/>
        <v>3</v>
      </c>
      <c r="L13" s="55">
        <f t="shared" si="11"/>
        <v>12</v>
      </c>
      <c r="M13" s="115" t="s">
        <v>89</v>
      </c>
      <c r="N13" s="116"/>
      <c r="O13" s="117"/>
      <c r="P13" s="118" t="s">
        <v>113</v>
      </c>
      <c r="Q13" s="109"/>
      <c r="R13" s="109"/>
      <c r="S13" s="110"/>
      <c r="T13" s="56" t="s">
        <v>149</v>
      </c>
      <c r="U13" s="56">
        <v>1</v>
      </c>
      <c r="V13" s="60" t="s">
        <v>151</v>
      </c>
      <c r="W13" s="56">
        <v>3</v>
      </c>
      <c r="X13" s="57" t="s">
        <v>152</v>
      </c>
      <c r="Y13" s="58">
        <f t="shared" si="12"/>
        <v>9</v>
      </c>
      <c r="Z13" s="60"/>
    </row>
    <row r="14" spans="1:26" s="59" customFormat="1" ht="46.5">
      <c r="A14" s="54" t="str">
        <f t="shared" si="0"/>
        <v>材1-1-EN-01</v>
      </c>
      <c r="B14" s="54">
        <f t="shared" si="1"/>
        <v>0</v>
      </c>
      <c r="C14" s="54" t="str">
        <f t="shared" si="2"/>
        <v>計畫辦公室</v>
      </c>
      <c r="D14" s="54" t="str">
        <f t="shared" si="3"/>
        <v>計畫相關成員辦公室(含委外廠商)</v>
      </c>
      <c r="E14" s="54" t="str">
        <f t="shared" si="4"/>
        <v>3</v>
      </c>
      <c r="F14" s="54" t="str">
        <f t="shared" si="5"/>
        <v>賴斐瓔
吳榮正
邵錡鼎</v>
      </c>
      <c r="G14" s="54">
        <f t="shared" si="6"/>
        <v>2</v>
      </c>
      <c r="H14" s="54">
        <f t="shared" si="7"/>
        <v>2</v>
      </c>
      <c r="I14" s="54">
        <f t="shared" si="8"/>
        <v>2</v>
      </c>
      <c r="J14" s="54">
        <f t="shared" si="9"/>
        <v>3</v>
      </c>
      <c r="K14" s="55">
        <f t="shared" si="10"/>
        <v>3</v>
      </c>
      <c r="L14" s="55">
        <f t="shared" si="11"/>
        <v>12</v>
      </c>
      <c r="M14" s="118" t="s">
        <v>133</v>
      </c>
      <c r="N14" s="109"/>
      <c r="O14" s="110"/>
      <c r="P14" s="118" t="s">
        <v>114</v>
      </c>
      <c r="Q14" s="109"/>
      <c r="R14" s="109"/>
      <c r="S14" s="110"/>
      <c r="T14" s="56" t="s">
        <v>149</v>
      </c>
      <c r="U14" s="56">
        <v>2</v>
      </c>
      <c r="V14" s="60" t="s">
        <v>170</v>
      </c>
      <c r="W14" s="56">
        <v>2</v>
      </c>
      <c r="X14" s="57" t="s">
        <v>153</v>
      </c>
      <c r="Y14" s="58">
        <f t="shared" si="12"/>
        <v>12</v>
      </c>
      <c r="Z14" s="60"/>
    </row>
    <row r="15" spans="1:26" s="59" customFormat="1">
      <c r="A15" s="54" t="str">
        <f t="shared" si="0"/>
        <v>材1-1-EN-01</v>
      </c>
      <c r="B15" s="54">
        <f t="shared" si="1"/>
        <v>0</v>
      </c>
      <c r="C15" s="54" t="str">
        <f t="shared" si="2"/>
        <v>計畫辦公室</v>
      </c>
      <c r="D15" s="54" t="str">
        <f t="shared" si="3"/>
        <v>計畫相關成員辦公室(含委外廠商)</v>
      </c>
      <c r="E15" s="54" t="str">
        <f t="shared" si="4"/>
        <v>3</v>
      </c>
      <c r="F15" s="54" t="str">
        <f t="shared" si="5"/>
        <v>賴斐瓔
吳榮正
邵錡鼎</v>
      </c>
      <c r="G15" s="54">
        <f t="shared" si="6"/>
        <v>2</v>
      </c>
      <c r="H15" s="54">
        <f t="shared" si="7"/>
        <v>2</v>
      </c>
      <c r="I15" s="54">
        <f t="shared" si="8"/>
        <v>2</v>
      </c>
      <c r="J15" s="54">
        <f t="shared" si="9"/>
        <v>3</v>
      </c>
      <c r="K15" s="55">
        <f t="shared" si="10"/>
        <v>3</v>
      </c>
      <c r="L15" s="55">
        <f t="shared" si="11"/>
        <v>12</v>
      </c>
      <c r="M15" s="106" t="s">
        <v>116</v>
      </c>
      <c r="N15" s="107"/>
      <c r="O15" s="108"/>
      <c r="P15" s="109" t="s">
        <v>115</v>
      </c>
      <c r="Q15" s="109"/>
      <c r="R15" s="109"/>
      <c r="S15" s="110"/>
      <c r="T15" s="56" t="s">
        <v>143</v>
      </c>
      <c r="U15" s="56"/>
      <c r="V15" s="60"/>
      <c r="W15" s="56"/>
      <c r="X15" s="57"/>
      <c r="Y15" s="58" t="str">
        <f t="shared" si="12"/>
        <v>不適用</v>
      </c>
      <c r="Z15" s="60"/>
    </row>
    <row r="16" spans="1:26" s="59" customFormat="1">
      <c r="A16" s="54" t="str">
        <f t="shared" si="0"/>
        <v>材1-1-EN-01</v>
      </c>
      <c r="B16" s="54">
        <f t="shared" si="1"/>
        <v>0</v>
      </c>
      <c r="C16" s="54" t="str">
        <f t="shared" si="2"/>
        <v>計畫辦公室</v>
      </c>
      <c r="D16" s="54" t="str">
        <f t="shared" si="3"/>
        <v>計畫相關成員辦公室(含委外廠商)</v>
      </c>
      <c r="E16" s="54" t="str">
        <f t="shared" si="4"/>
        <v>3</v>
      </c>
      <c r="F16" s="54" t="str">
        <f t="shared" si="5"/>
        <v>賴斐瓔
吳榮正
邵錡鼎</v>
      </c>
      <c r="G16" s="54">
        <f t="shared" si="6"/>
        <v>2</v>
      </c>
      <c r="H16" s="54">
        <f t="shared" si="7"/>
        <v>2</v>
      </c>
      <c r="I16" s="54">
        <f t="shared" si="8"/>
        <v>2</v>
      </c>
      <c r="J16" s="54">
        <f t="shared" si="9"/>
        <v>3</v>
      </c>
      <c r="K16" s="55">
        <f t="shared" si="10"/>
        <v>3</v>
      </c>
      <c r="L16" s="55">
        <f t="shared" si="11"/>
        <v>12</v>
      </c>
      <c r="M16" s="161" t="s">
        <v>116</v>
      </c>
      <c r="N16" s="162"/>
      <c r="O16" s="163"/>
      <c r="P16" s="109" t="s">
        <v>117</v>
      </c>
      <c r="Q16" s="109"/>
      <c r="R16" s="109"/>
      <c r="S16" s="110"/>
      <c r="T16" s="56" t="s">
        <v>143</v>
      </c>
      <c r="U16" s="56"/>
      <c r="V16" s="60"/>
      <c r="W16" s="56"/>
      <c r="X16" s="57"/>
      <c r="Y16" s="58" t="str">
        <f t="shared" si="12"/>
        <v>不適用</v>
      </c>
      <c r="Z16" s="60"/>
    </row>
    <row r="17" spans="1:26" s="59" customFormat="1" ht="31">
      <c r="A17" s="54" t="str">
        <f t="shared" si="0"/>
        <v>材1-1-EN-01</v>
      </c>
      <c r="B17" s="54">
        <f t="shared" si="1"/>
        <v>0</v>
      </c>
      <c r="C17" s="54" t="str">
        <f t="shared" si="2"/>
        <v>計畫辦公室</v>
      </c>
      <c r="D17" s="54" t="str">
        <f t="shared" si="3"/>
        <v>計畫相關成員辦公室(含委外廠商)</v>
      </c>
      <c r="E17" s="54" t="str">
        <f t="shared" si="4"/>
        <v>3</v>
      </c>
      <c r="F17" s="54" t="str">
        <f t="shared" si="5"/>
        <v>賴斐瓔
吳榮正
邵錡鼎</v>
      </c>
      <c r="G17" s="54">
        <f t="shared" si="6"/>
        <v>2</v>
      </c>
      <c r="H17" s="54">
        <f t="shared" si="7"/>
        <v>2</v>
      </c>
      <c r="I17" s="54">
        <f t="shared" si="8"/>
        <v>2</v>
      </c>
      <c r="J17" s="54">
        <f t="shared" si="9"/>
        <v>3</v>
      </c>
      <c r="K17" s="55">
        <f t="shared" si="10"/>
        <v>3</v>
      </c>
      <c r="L17" s="55">
        <f t="shared" si="11"/>
        <v>12</v>
      </c>
      <c r="M17" s="106" t="s">
        <v>119</v>
      </c>
      <c r="N17" s="107"/>
      <c r="O17" s="108"/>
      <c r="P17" s="114" t="s">
        <v>118</v>
      </c>
      <c r="Q17" s="114"/>
      <c r="R17" s="114"/>
      <c r="S17" s="114"/>
      <c r="T17" s="56" t="s">
        <v>149</v>
      </c>
      <c r="U17" s="56">
        <v>1</v>
      </c>
      <c r="V17" s="60" t="s">
        <v>154</v>
      </c>
      <c r="W17" s="56">
        <v>3</v>
      </c>
      <c r="X17" s="57" t="s">
        <v>155</v>
      </c>
      <c r="Y17" s="58">
        <f t="shared" si="12"/>
        <v>9</v>
      </c>
      <c r="Z17" s="60"/>
    </row>
    <row r="18" spans="1:26" s="59" customFormat="1" ht="31">
      <c r="A18" s="54" t="str">
        <f t="shared" si="0"/>
        <v>材1-1-EN-01</v>
      </c>
      <c r="B18" s="54">
        <f t="shared" si="1"/>
        <v>0</v>
      </c>
      <c r="C18" s="54" t="str">
        <f t="shared" si="2"/>
        <v>計畫辦公室</v>
      </c>
      <c r="D18" s="54" t="str">
        <f t="shared" si="3"/>
        <v>計畫相關成員辦公室(含委外廠商)</v>
      </c>
      <c r="E18" s="54" t="str">
        <f t="shared" si="4"/>
        <v>3</v>
      </c>
      <c r="F18" s="54" t="str">
        <f t="shared" si="5"/>
        <v>賴斐瓔
吳榮正
邵錡鼎</v>
      </c>
      <c r="G18" s="54">
        <f t="shared" si="6"/>
        <v>2</v>
      </c>
      <c r="H18" s="54">
        <f t="shared" si="7"/>
        <v>2</v>
      </c>
      <c r="I18" s="54">
        <f t="shared" si="8"/>
        <v>2</v>
      </c>
      <c r="J18" s="54">
        <f t="shared" si="9"/>
        <v>3</v>
      </c>
      <c r="K18" s="55">
        <f t="shared" si="10"/>
        <v>3</v>
      </c>
      <c r="L18" s="55">
        <f t="shared" si="11"/>
        <v>12</v>
      </c>
      <c r="M18" s="164" t="s">
        <v>119</v>
      </c>
      <c r="N18" s="165"/>
      <c r="O18" s="166"/>
      <c r="P18" s="114" t="s">
        <v>120</v>
      </c>
      <c r="Q18" s="114"/>
      <c r="R18" s="114"/>
      <c r="S18" s="114"/>
      <c r="T18" s="56" t="s">
        <v>149</v>
      </c>
      <c r="U18" s="56">
        <v>1</v>
      </c>
      <c r="V18" s="60" t="s">
        <v>154</v>
      </c>
      <c r="W18" s="56">
        <v>3</v>
      </c>
      <c r="X18" s="57" t="s">
        <v>155</v>
      </c>
      <c r="Y18" s="58">
        <f t="shared" si="12"/>
        <v>9</v>
      </c>
      <c r="Z18" s="60"/>
    </row>
    <row r="19" spans="1:26" s="59" customFormat="1" ht="31">
      <c r="A19" s="54" t="str">
        <f t="shared" si="0"/>
        <v>材1-1-EN-01</v>
      </c>
      <c r="B19" s="54">
        <f t="shared" si="1"/>
        <v>0</v>
      </c>
      <c r="C19" s="54" t="str">
        <f t="shared" si="2"/>
        <v>計畫辦公室</v>
      </c>
      <c r="D19" s="54" t="str">
        <f t="shared" si="3"/>
        <v>計畫相關成員辦公室(含委外廠商)</v>
      </c>
      <c r="E19" s="54" t="str">
        <f t="shared" si="4"/>
        <v>3</v>
      </c>
      <c r="F19" s="54" t="str">
        <f t="shared" si="5"/>
        <v>賴斐瓔
吳榮正
邵錡鼎</v>
      </c>
      <c r="G19" s="54">
        <f t="shared" si="6"/>
        <v>2</v>
      </c>
      <c r="H19" s="54">
        <f t="shared" si="7"/>
        <v>2</v>
      </c>
      <c r="I19" s="54">
        <f t="shared" si="8"/>
        <v>2</v>
      </c>
      <c r="J19" s="54">
        <f t="shared" si="9"/>
        <v>3</v>
      </c>
      <c r="K19" s="55">
        <f t="shared" si="10"/>
        <v>3</v>
      </c>
      <c r="L19" s="55">
        <f t="shared" si="11"/>
        <v>12</v>
      </c>
      <c r="M19" s="115" t="s">
        <v>134</v>
      </c>
      <c r="N19" s="116"/>
      <c r="O19" s="117"/>
      <c r="P19" s="118" t="s">
        <v>121</v>
      </c>
      <c r="Q19" s="109"/>
      <c r="R19" s="109"/>
      <c r="S19" s="110"/>
      <c r="T19" s="56" t="s">
        <v>149</v>
      </c>
      <c r="U19" s="56">
        <v>1</v>
      </c>
      <c r="V19" s="60" t="s">
        <v>156</v>
      </c>
      <c r="W19" s="56">
        <v>3</v>
      </c>
      <c r="X19" s="57" t="s">
        <v>157</v>
      </c>
      <c r="Y19" s="58">
        <f t="shared" si="12"/>
        <v>9</v>
      </c>
      <c r="Z19" s="60"/>
    </row>
    <row r="20" spans="1:26" s="59" customFormat="1" ht="46.5">
      <c r="A20" s="54" t="str">
        <f t="shared" si="0"/>
        <v>材1-1-EN-01</v>
      </c>
      <c r="B20" s="54">
        <f t="shared" si="1"/>
        <v>0</v>
      </c>
      <c r="C20" s="54" t="str">
        <f t="shared" si="2"/>
        <v>計畫辦公室</v>
      </c>
      <c r="D20" s="54" t="str">
        <f t="shared" si="3"/>
        <v>計畫相關成員辦公室(含委外廠商)</v>
      </c>
      <c r="E20" s="54" t="str">
        <f t="shared" si="4"/>
        <v>3</v>
      </c>
      <c r="F20" s="54" t="str">
        <f t="shared" si="5"/>
        <v>賴斐瓔
吳榮正
邵錡鼎</v>
      </c>
      <c r="G20" s="54">
        <f t="shared" si="6"/>
        <v>2</v>
      </c>
      <c r="H20" s="54">
        <f t="shared" si="7"/>
        <v>2</v>
      </c>
      <c r="I20" s="54">
        <f t="shared" si="8"/>
        <v>2</v>
      </c>
      <c r="J20" s="54">
        <f t="shared" si="9"/>
        <v>3</v>
      </c>
      <c r="K20" s="55">
        <f t="shared" si="10"/>
        <v>3</v>
      </c>
      <c r="L20" s="55">
        <f t="shared" si="11"/>
        <v>12</v>
      </c>
      <c r="M20" s="118" t="s">
        <v>135</v>
      </c>
      <c r="N20" s="109"/>
      <c r="O20" s="110"/>
      <c r="P20" s="118" t="s">
        <v>122</v>
      </c>
      <c r="Q20" s="109"/>
      <c r="R20" s="109"/>
      <c r="S20" s="110"/>
      <c r="T20" s="56" t="s">
        <v>149</v>
      </c>
      <c r="U20" s="56">
        <v>1</v>
      </c>
      <c r="V20" s="60" t="s">
        <v>158</v>
      </c>
      <c r="W20" s="56">
        <v>3</v>
      </c>
      <c r="X20" s="57" t="s">
        <v>159</v>
      </c>
      <c r="Y20" s="58">
        <f t="shared" si="12"/>
        <v>9</v>
      </c>
      <c r="Z20" s="60"/>
    </row>
    <row r="21" spans="1:26" s="59" customFormat="1" ht="46.5">
      <c r="A21" s="54" t="str">
        <f t="shared" si="0"/>
        <v>材1-1-EN-01</v>
      </c>
      <c r="B21" s="54">
        <f t="shared" si="1"/>
        <v>0</v>
      </c>
      <c r="C21" s="54" t="str">
        <f t="shared" si="2"/>
        <v>計畫辦公室</v>
      </c>
      <c r="D21" s="54" t="str">
        <f t="shared" si="3"/>
        <v>計畫相關成員辦公室(含委外廠商)</v>
      </c>
      <c r="E21" s="54" t="str">
        <f t="shared" si="4"/>
        <v>3</v>
      </c>
      <c r="F21" s="54" t="str">
        <f t="shared" si="5"/>
        <v>賴斐瓔
吳榮正
邵錡鼎</v>
      </c>
      <c r="G21" s="54">
        <f t="shared" si="6"/>
        <v>2</v>
      </c>
      <c r="H21" s="54">
        <f t="shared" si="7"/>
        <v>2</v>
      </c>
      <c r="I21" s="54">
        <f t="shared" si="8"/>
        <v>2</v>
      </c>
      <c r="J21" s="54">
        <f t="shared" si="9"/>
        <v>3</v>
      </c>
      <c r="K21" s="55">
        <f t="shared" si="10"/>
        <v>3</v>
      </c>
      <c r="L21" s="55">
        <f t="shared" si="11"/>
        <v>12</v>
      </c>
      <c r="M21" s="106" t="s">
        <v>136</v>
      </c>
      <c r="N21" s="107"/>
      <c r="O21" s="108"/>
      <c r="P21" s="118" t="s">
        <v>123</v>
      </c>
      <c r="Q21" s="109"/>
      <c r="R21" s="109"/>
      <c r="S21" s="110"/>
      <c r="T21" s="56" t="s">
        <v>149</v>
      </c>
      <c r="U21" s="56">
        <v>1</v>
      </c>
      <c r="V21" s="60" t="s">
        <v>171</v>
      </c>
      <c r="W21" s="56">
        <v>3</v>
      </c>
      <c r="X21" s="57" t="s">
        <v>160</v>
      </c>
      <c r="Y21" s="58">
        <f t="shared" si="12"/>
        <v>9</v>
      </c>
      <c r="Z21" s="60"/>
    </row>
    <row r="22" spans="1:26" s="59" customFormat="1" ht="33.5" customHeight="1">
      <c r="A22" s="54"/>
      <c r="B22" s="54"/>
      <c r="C22" s="54"/>
      <c r="D22" s="54"/>
      <c r="E22" s="54"/>
      <c r="F22" s="54"/>
      <c r="G22" s="54"/>
      <c r="H22" s="54"/>
      <c r="I22" s="54"/>
      <c r="J22" s="54"/>
      <c r="K22" s="55"/>
      <c r="L22" s="55"/>
      <c r="M22" s="146" t="s">
        <v>137</v>
      </c>
      <c r="N22" s="147"/>
      <c r="O22" s="148"/>
      <c r="P22" s="149" t="s">
        <v>124</v>
      </c>
      <c r="Q22" s="150"/>
      <c r="R22" s="150"/>
      <c r="S22" s="150"/>
      <c r="T22" s="56" t="s">
        <v>143</v>
      </c>
      <c r="U22" s="66"/>
      <c r="V22" s="67"/>
      <c r="W22" s="66"/>
      <c r="X22" s="68"/>
      <c r="Y22" s="58" t="str">
        <f t="shared" si="12"/>
        <v>不適用</v>
      </c>
      <c r="Z22" s="61"/>
    </row>
    <row r="23" spans="1:26" s="59" customFormat="1">
      <c r="A23" s="54"/>
      <c r="B23" s="54"/>
      <c r="C23" s="54"/>
      <c r="D23" s="54"/>
      <c r="E23" s="54"/>
      <c r="F23" s="54"/>
      <c r="G23" s="54"/>
      <c r="H23" s="54"/>
      <c r="I23" s="54"/>
      <c r="J23" s="54"/>
      <c r="K23" s="55"/>
      <c r="L23" s="55"/>
      <c r="M23" s="151" t="s">
        <v>125</v>
      </c>
      <c r="N23" s="152"/>
      <c r="O23" s="153"/>
      <c r="P23" s="149" t="s">
        <v>126</v>
      </c>
      <c r="Q23" s="150"/>
      <c r="R23" s="150"/>
      <c r="S23" s="150"/>
      <c r="T23" s="56" t="s">
        <v>143</v>
      </c>
      <c r="U23" s="66"/>
      <c r="V23" s="67"/>
      <c r="W23" s="66"/>
      <c r="X23" s="68"/>
      <c r="Y23" s="58" t="str">
        <f t="shared" si="12"/>
        <v>不適用</v>
      </c>
      <c r="Z23" s="61"/>
    </row>
    <row r="24" spans="1:26" s="59" customFormat="1" ht="29.15" customHeight="1">
      <c r="A24" s="54"/>
      <c r="B24" s="54"/>
      <c r="C24" s="54"/>
      <c r="D24" s="54"/>
      <c r="E24" s="54"/>
      <c r="F24" s="54"/>
      <c r="G24" s="54"/>
      <c r="H24" s="54"/>
      <c r="I24" s="54"/>
      <c r="J24" s="54"/>
      <c r="K24" s="55"/>
      <c r="L24" s="55"/>
      <c r="M24" s="146" t="s">
        <v>138</v>
      </c>
      <c r="N24" s="147"/>
      <c r="O24" s="148"/>
      <c r="P24" s="149" t="s">
        <v>127</v>
      </c>
      <c r="Q24" s="150"/>
      <c r="R24" s="150"/>
      <c r="S24" s="150"/>
      <c r="T24" s="56" t="s">
        <v>143</v>
      </c>
      <c r="U24" s="66"/>
      <c r="V24" s="67"/>
      <c r="W24" s="66"/>
      <c r="X24" s="68"/>
      <c r="Y24" s="58" t="str">
        <f t="shared" si="12"/>
        <v>不適用</v>
      </c>
      <c r="Z24" s="61"/>
    </row>
    <row r="25" spans="1:26" s="59" customFormat="1">
      <c r="A25" s="54"/>
      <c r="B25" s="54"/>
      <c r="C25" s="54"/>
      <c r="D25" s="54"/>
      <c r="E25" s="54"/>
      <c r="F25" s="54"/>
      <c r="G25" s="54"/>
      <c r="H25" s="54"/>
      <c r="I25" s="54"/>
      <c r="J25" s="54"/>
      <c r="K25" s="55"/>
      <c r="L25" s="55"/>
      <c r="M25" s="155" t="s">
        <v>128</v>
      </c>
      <c r="N25" s="156"/>
      <c r="O25" s="157"/>
      <c r="P25" s="149" t="s">
        <v>129</v>
      </c>
      <c r="Q25" s="150"/>
      <c r="R25" s="150"/>
      <c r="S25" s="150"/>
      <c r="T25" s="56" t="s">
        <v>143</v>
      </c>
      <c r="U25" s="66"/>
      <c r="V25" s="67"/>
      <c r="W25" s="66"/>
      <c r="X25" s="68"/>
      <c r="Y25" s="58" t="str">
        <f t="shared" si="12"/>
        <v>不適用</v>
      </c>
      <c r="Z25" s="61"/>
    </row>
    <row r="26" spans="1:26" s="59" customFormat="1">
      <c r="A26" s="54"/>
      <c r="B26" s="54"/>
      <c r="C26" s="54"/>
      <c r="D26" s="54"/>
      <c r="E26" s="54"/>
      <c r="F26" s="54"/>
      <c r="G26" s="54"/>
      <c r="H26" s="54"/>
      <c r="I26" s="54"/>
      <c r="J26" s="54"/>
      <c r="K26" s="55"/>
      <c r="L26" s="55"/>
      <c r="M26" s="158" t="s">
        <v>139</v>
      </c>
      <c r="N26" s="159"/>
      <c r="O26" s="160"/>
      <c r="P26" s="149" t="s">
        <v>130</v>
      </c>
      <c r="Q26" s="150"/>
      <c r="R26" s="150"/>
      <c r="S26" s="150"/>
      <c r="T26" s="56" t="s">
        <v>143</v>
      </c>
      <c r="U26" s="66"/>
      <c r="V26" s="67"/>
      <c r="W26" s="66"/>
      <c r="X26" s="68"/>
      <c r="Y26" s="58" t="str">
        <f t="shared" si="12"/>
        <v>不適用</v>
      </c>
      <c r="Z26" s="61"/>
    </row>
    <row r="27" spans="1:26" s="59" customFormat="1">
      <c r="A27" s="54" t="str">
        <f t="shared" si="0"/>
        <v>材1-1-EN-01</v>
      </c>
      <c r="B27" s="54">
        <f t="shared" si="1"/>
        <v>0</v>
      </c>
      <c r="C27" s="54" t="str">
        <f t="shared" si="2"/>
        <v>計畫辦公室</v>
      </c>
      <c r="D27" s="54" t="str">
        <f t="shared" si="3"/>
        <v>計畫相關成員辦公室(含委外廠商)</v>
      </c>
      <c r="E27" s="54" t="str">
        <f t="shared" si="4"/>
        <v>3</v>
      </c>
      <c r="F27" s="54" t="str">
        <f t="shared" si="5"/>
        <v>賴斐瓔
吳榮正
邵錡鼎</v>
      </c>
      <c r="G27" s="54">
        <f t="shared" si="6"/>
        <v>2</v>
      </c>
      <c r="H27" s="54">
        <f t="shared" si="7"/>
        <v>2</v>
      </c>
      <c r="I27" s="54">
        <f t="shared" si="8"/>
        <v>2</v>
      </c>
      <c r="J27" s="54">
        <f t="shared" si="9"/>
        <v>3</v>
      </c>
      <c r="K27" s="55">
        <f t="shared" si="10"/>
        <v>3</v>
      </c>
      <c r="L27" s="55">
        <f>$S$7</f>
        <v>12</v>
      </c>
      <c r="M27" s="140" t="s">
        <v>131</v>
      </c>
      <c r="N27" s="141"/>
      <c r="O27" s="142"/>
      <c r="P27" s="143" t="s">
        <v>132</v>
      </c>
      <c r="Q27" s="144"/>
      <c r="R27" s="144"/>
      <c r="S27" s="145"/>
      <c r="T27" s="56" t="s">
        <v>143</v>
      </c>
      <c r="U27" s="56"/>
      <c r="V27" s="56"/>
      <c r="W27" s="56"/>
      <c r="X27" s="57"/>
      <c r="Y27" s="62" t="str">
        <f t="shared" ref="Y27" si="13">IF((T27="N"),"不適用",IF(COUNTA(U27,W27)&lt;2,"評鑑中",$S$2*U27*W27))</f>
        <v>不適用</v>
      </c>
      <c r="Z27" s="63"/>
    </row>
    <row r="32" spans="1:26">
      <c r="M32" s="7"/>
    </row>
  </sheetData>
  <sheetProtection formatCells="0" formatColumns="0" formatRows="0" insertColumns="0" insertRows="0" insertHyperlinks="0" deleteColumns="0" deleteRows="0" sort="0" autoFilter="0" pivotTables="0"/>
  <autoFilter ref="M10:Z10" xr:uid="{00000000-0009-0000-0000-000003000000}">
    <filterColumn colId="0" showButton="0"/>
    <filterColumn colId="1" showButton="0"/>
    <filterColumn colId="3" showButton="0"/>
    <filterColumn colId="4" showButton="0"/>
    <filterColumn colId="5" showButton="0"/>
  </autoFilter>
  <mergeCells count="43">
    <mergeCell ref="M1:Z1"/>
    <mergeCell ref="M25:O25"/>
    <mergeCell ref="P25:S25"/>
    <mergeCell ref="M26:O26"/>
    <mergeCell ref="P26:S26"/>
    <mergeCell ref="M19:O19"/>
    <mergeCell ref="P19:S19"/>
    <mergeCell ref="M20:O20"/>
    <mergeCell ref="P20:S20"/>
    <mergeCell ref="M21:O21"/>
    <mergeCell ref="P21:S21"/>
    <mergeCell ref="M16:O16"/>
    <mergeCell ref="P16:S16"/>
    <mergeCell ref="M17:O17"/>
    <mergeCell ref="P17:S17"/>
    <mergeCell ref="M18:O18"/>
    <mergeCell ref="M27:O27"/>
    <mergeCell ref="P27:S27"/>
    <mergeCell ref="M22:O22"/>
    <mergeCell ref="P22:S22"/>
    <mergeCell ref="M23:O23"/>
    <mergeCell ref="P23:S23"/>
    <mergeCell ref="M24:O24"/>
    <mergeCell ref="P24:S24"/>
    <mergeCell ref="M10:O10"/>
    <mergeCell ref="P10:S10"/>
    <mergeCell ref="N2:P2"/>
    <mergeCell ref="N3:P3"/>
    <mergeCell ref="N4:P4"/>
    <mergeCell ref="N5:P5"/>
    <mergeCell ref="N6:P6"/>
    <mergeCell ref="N7:P7"/>
    <mergeCell ref="M11:O11"/>
    <mergeCell ref="P11:S11"/>
    <mergeCell ref="M12:O12"/>
    <mergeCell ref="P12:S12"/>
    <mergeCell ref="P18:S18"/>
    <mergeCell ref="M13:O13"/>
    <mergeCell ref="P13:S13"/>
    <mergeCell ref="M14:O14"/>
    <mergeCell ref="P14:S14"/>
    <mergeCell ref="M15:O15"/>
    <mergeCell ref="P15:S15"/>
  </mergeCells>
  <phoneticPr fontId="1" type="noConversion"/>
  <dataValidations count="2">
    <dataValidation type="list" allowBlank="1" showInputMessage="1" showErrorMessage="1" sqref="WVX983043:WVX983066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3:S65535 JH65533:JH65535 TD65533:TD65535 ACZ65533:ACZ65535 AMV65533:AMV65535 AWR65533:AWR65535 BGN65533:BGN65535 BQJ65533:BQJ65535 CAF65533:CAF65535 CKB65533:CKB65535 CTX65533:CTX65535 DDT65533:DDT65535 DNP65533:DNP65535 DXL65533:DXL65535 EHH65533:EHH65535 ERD65533:ERD65535 FAZ65533:FAZ65535 FKV65533:FKV65535 FUR65533:FUR65535 GEN65533:GEN65535 GOJ65533:GOJ65535 GYF65533:GYF65535 HIB65533:HIB65535 HRX65533:HRX65535 IBT65533:IBT65535 ILP65533:ILP65535 IVL65533:IVL65535 JFH65533:JFH65535 JPD65533:JPD65535 JYZ65533:JYZ65535 KIV65533:KIV65535 KSR65533:KSR65535 LCN65533:LCN65535 LMJ65533:LMJ65535 LWF65533:LWF65535 MGB65533:MGB65535 MPX65533:MPX65535 MZT65533:MZT65535 NJP65533:NJP65535 NTL65533:NTL65535 ODH65533:ODH65535 OND65533:OND65535 OWZ65533:OWZ65535 PGV65533:PGV65535 PQR65533:PQR65535 QAN65533:QAN65535 QKJ65533:QKJ65535 QUF65533:QUF65535 REB65533:REB65535 RNX65533:RNX65535 RXT65533:RXT65535 SHP65533:SHP65535 SRL65533:SRL65535 TBH65533:TBH65535 TLD65533:TLD65535 TUZ65533:TUZ65535 UEV65533:UEV65535 UOR65533:UOR65535 UYN65533:UYN65535 VIJ65533:VIJ65535 VSF65533:VSF65535 WCB65533:WCB65535 WLX65533:WLX65535 WVT65533:WVT65535 S131069:S131071 JH131069:JH131071 TD131069:TD131071 ACZ131069:ACZ131071 AMV131069:AMV131071 AWR131069:AWR131071 BGN131069:BGN131071 BQJ131069:BQJ131071 CAF131069:CAF131071 CKB131069:CKB131071 CTX131069:CTX131071 DDT131069:DDT131071 DNP131069:DNP131071 DXL131069:DXL131071 EHH131069:EHH131071 ERD131069:ERD131071 FAZ131069:FAZ131071 FKV131069:FKV131071 FUR131069:FUR131071 GEN131069:GEN131071 GOJ131069:GOJ131071 GYF131069:GYF131071 HIB131069:HIB131071 HRX131069:HRX131071 IBT131069:IBT131071 ILP131069:ILP131071 IVL131069:IVL131071 JFH131069:JFH131071 JPD131069:JPD131071 JYZ131069:JYZ131071 KIV131069:KIV131071 KSR131069:KSR131071 LCN131069:LCN131071 LMJ131069:LMJ131071 LWF131069:LWF131071 MGB131069:MGB131071 MPX131069:MPX131071 MZT131069:MZT131071 NJP131069:NJP131071 NTL131069:NTL131071 ODH131069:ODH131071 OND131069:OND131071 OWZ131069:OWZ131071 PGV131069:PGV131071 PQR131069:PQR131071 QAN131069:QAN131071 QKJ131069:QKJ131071 QUF131069:QUF131071 REB131069:REB131071 RNX131069:RNX131071 RXT131069:RXT131071 SHP131069:SHP131071 SRL131069:SRL131071 TBH131069:TBH131071 TLD131069:TLD131071 TUZ131069:TUZ131071 UEV131069:UEV131071 UOR131069:UOR131071 UYN131069:UYN131071 VIJ131069:VIJ131071 VSF131069:VSF131071 WCB131069:WCB131071 WLX131069:WLX131071 WVT131069:WVT131071 S196605:S196607 JH196605:JH196607 TD196605:TD196607 ACZ196605:ACZ196607 AMV196605:AMV196607 AWR196605:AWR196607 BGN196605:BGN196607 BQJ196605:BQJ196607 CAF196605:CAF196607 CKB196605:CKB196607 CTX196605:CTX196607 DDT196605:DDT196607 DNP196605:DNP196607 DXL196605:DXL196607 EHH196605:EHH196607 ERD196605:ERD196607 FAZ196605:FAZ196607 FKV196605:FKV196607 FUR196605:FUR196607 GEN196605:GEN196607 GOJ196605:GOJ196607 GYF196605:GYF196607 HIB196605:HIB196607 HRX196605:HRX196607 IBT196605:IBT196607 ILP196605:ILP196607 IVL196605:IVL196607 JFH196605:JFH196607 JPD196605:JPD196607 JYZ196605:JYZ196607 KIV196605:KIV196607 KSR196605:KSR196607 LCN196605:LCN196607 LMJ196605:LMJ196607 LWF196605:LWF196607 MGB196605:MGB196607 MPX196605:MPX196607 MZT196605:MZT196607 NJP196605:NJP196607 NTL196605:NTL196607 ODH196605:ODH196607 OND196605:OND196607 OWZ196605:OWZ196607 PGV196605:PGV196607 PQR196605:PQR196607 QAN196605:QAN196607 QKJ196605:QKJ196607 QUF196605:QUF196607 REB196605:REB196607 RNX196605:RNX196607 RXT196605:RXT196607 SHP196605:SHP196607 SRL196605:SRL196607 TBH196605:TBH196607 TLD196605:TLD196607 TUZ196605:TUZ196607 UEV196605:UEV196607 UOR196605:UOR196607 UYN196605:UYN196607 VIJ196605:VIJ196607 VSF196605:VSF196607 WCB196605:WCB196607 WLX196605:WLX196607 WVT196605:WVT196607 S262141:S262143 JH262141:JH262143 TD262141:TD262143 ACZ262141:ACZ262143 AMV262141:AMV262143 AWR262141:AWR262143 BGN262141:BGN262143 BQJ262141:BQJ262143 CAF262141:CAF262143 CKB262141:CKB262143 CTX262141:CTX262143 DDT262141:DDT262143 DNP262141:DNP262143 DXL262141:DXL262143 EHH262141:EHH262143 ERD262141:ERD262143 FAZ262141:FAZ262143 FKV262141:FKV262143 FUR262141:FUR262143 GEN262141:GEN262143 GOJ262141:GOJ262143 GYF262141:GYF262143 HIB262141:HIB262143 HRX262141:HRX262143 IBT262141:IBT262143 ILP262141:ILP262143 IVL262141:IVL262143 JFH262141:JFH262143 JPD262141:JPD262143 JYZ262141:JYZ262143 KIV262141:KIV262143 KSR262141:KSR262143 LCN262141:LCN262143 LMJ262141:LMJ262143 LWF262141:LWF262143 MGB262141:MGB262143 MPX262141:MPX262143 MZT262141:MZT262143 NJP262141:NJP262143 NTL262141:NTL262143 ODH262141:ODH262143 OND262141:OND262143 OWZ262141:OWZ262143 PGV262141:PGV262143 PQR262141:PQR262143 QAN262141:QAN262143 QKJ262141:QKJ262143 QUF262141:QUF262143 REB262141:REB262143 RNX262141:RNX262143 RXT262141:RXT262143 SHP262141:SHP262143 SRL262141:SRL262143 TBH262141:TBH262143 TLD262141:TLD262143 TUZ262141:TUZ262143 UEV262141:UEV262143 UOR262141:UOR262143 UYN262141:UYN262143 VIJ262141:VIJ262143 VSF262141:VSF262143 WCB262141:WCB262143 WLX262141:WLX262143 WVT262141:WVT262143 S327677:S327679 JH327677:JH327679 TD327677:TD327679 ACZ327677:ACZ327679 AMV327677:AMV327679 AWR327677:AWR327679 BGN327677:BGN327679 BQJ327677:BQJ327679 CAF327677:CAF327679 CKB327677:CKB327679 CTX327677:CTX327679 DDT327677:DDT327679 DNP327677:DNP327679 DXL327677:DXL327679 EHH327677:EHH327679 ERD327677:ERD327679 FAZ327677:FAZ327679 FKV327677:FKV327679 FUR327677:FUR327679 GEN327677:GEN327679 GOJ327677:GOJ327679 GYF327677:GYF327679 HIB327677:HIB327679 HRX327677:HRX327679 IBT327677:IBT327679 ILP327677:ILP327679 IVL327677:IVL327679 JFH327677:JFH327679 JPD327677:JPD327679 JYZ327677:JYZ327679 KIV327677:KIV327679 KSR327677:KSR327679 LCN327677:LCN327679 LMJ327677:LMJ327679 LWF327677:LWF327679 MGB327677:MGB327679 MPX327677:MPX327679 MZT327677:MZT327679 NJP327677:NJP327679 NTL327677:NTL327679 ODH327677:ODH327679 OND327677:OND327679 OWZ327677:OWZ327679 PGV327677:PGV327679 PQR327677:PQR327679 QAN327677:QAN327679 QKJ327677:QKJ327679 QUF327677:QUF327679 REB327677:REB327679 RNX327677:RNX327679 RXT327677:RXT327679 SHP327677:SHP327679 SRL327677:SRL327679 TBH327677:TBH327679 TLD327677:TLD327679 TUZ327677:TUZ327679 UEV327677:UEV327679 UOR327677:UOR327679 UYN327677:UYN327679 VIJ327677:VIJ327679 VSF327677:VSF327679 WCB327677:WCB327679 WLX327677:WLX327679 WVT327677:WVT327679 S393213:S393215 JH393213:JH393215 TD393213:TD393215 ACZ393213:ACZ393215 AMV393213:AMV393215 AWR393213:AWR393215 BGN393213:BGN393215 BQJ393213:BQJ393215 CAF393213:CAF393215 CKB393213:CKB393215 CTX393213:CTX393215 DDT393213:DDT393215 DNP393213:DNP393215 DXL393213:DXL393215 EHH393213:EHH393215 ERD393213:ERD393215 FAZ393213:FAZ393215 FKV393213:FKV393215 FUR393213:FUR393215 GEN393213:GEN393215 GOJ393213:GOJ393215 GYF393213:GYF393215 HIB393213:HIB393215 HRX393213:HRX393215 IBT393213:IBT393215 ILP393213:ILP393215 IVL393213:IVL393215 JFH393213:JFH393215 JPD393213:JPD393215 JYZ393213:JYZ393215 KIV393213:KIV393215 KSR393213:KSR393215 LCN393213:LCN393215 LMJ393213:LMJ393215 LWF393213:LWF393215 MGB393213:MGB393215 MPX393213:MPX393215 MZT393213:MZT393215 NJP393213:NJP393215 NTL393213:NTL393215 ODH393213:ODH393215 OND393213:OND393215 OWZ393213:OWZ393215 PGV393213:PGV393215 PQR393213:PQR393215 QAN393213:QAN393215 QKJ393213:QKJ393215 QUF393213:QUF393215 REB393213:REB393215 RNX393213:RNX393215 RXT393213:RXT393215 SHP393213:SHP393215 SRL393213:SRL393215 TBH393213:TBH393215 TLD393213:TLD393215 TUZ393213:TUZ393215 UEV393213:UEV393215 UOR393213:UOR393215 UYN393213:UYN393215 VIJ393213:VIJ393215 VSF393213:VSF393215 WCB393213:WCB393215 WLX393213:WLX393215 WVT393213:WVT393215 S458749:S458751 JH458749:JH458751 TD458749:TD458751 ACZ458749:ACZ458751 AMV458749:AMV458751 AWR458749:AWR458751 BGN458749:BGN458751 BQJ458749:BQJ458751 CAF458749:CAF458751 CKB458749:CKB458751 CTX458749:CTX458751 DDT458749:DDT458751 DNP458749:DNP458751 DXL458749:DXL458751 EHH458749:EHH458751 ERD458749:ERD458751 FAZ458749:FAZ458751 FKV458749:FKV458751 FUR458749:FUR458751 GEN458749:GEN458751 GOJ458749:GOJ458751 GYF458749:GYF458751 HIB458749:HIB458751 HRX458749:HRX458751 IBT458749:IBT458751 ILP458749:ILP458751 IVL458749:IVL458751 JFH458749:JFH458751 JPD458749:JPD458751 JYZ458749:JYZ458751 KIV458749:KIV458751 KSR458749:KSR458751 LCN458749:LCN458751 LMJ458749:LMJ458751 LWF458749:LWF458751 MGB458749:MGB458751 MPX458749:MPX458751 MZT458749:MZT458751 NJP458749:NJP458751 NTL458749:NTL458751 ODH458749:ODH458751 OND458749:OND458751 OWZ458749:OWZ458751 PGV458749:PGV458751 PQR458749:PQR458751 QAN458749:QAN458751 QKJ458749:QKJ458751 QUF458749:QUF458751 REB458749:REB458751 RNX458749:RNX458751 RXT458749:RXT458751 SHP458749:SHP458751 SRL458749:SRL458751 TBH458749:TBH458751 TLD458749:TLD458751 TUZ458749:TUZ458751 UEV458749:UEV458751 UOR458749:UOR458751 UYN458749:UYN458751 VIJ458749:VIJ458751 VSF458749:VSF458751 WCB458749:WCB458751 WLX458749:WLX458751 WVT458749:WVT458751 S524285:S524287 JH524285:JH524287 TD524285:TD524287 ACZ524285:ACZ524287 AMV524285:AMV524287 AWR524285:AWR524287 BGN524285:BGN524287 BQJ524285:BQJ524287 CAF524285:CAF524287 CKB524285:CKB524287 CTX524285:CTX524287 DDT524285:DDT524287 DNP524285:DNP524287 DXL524285:DXL524287 EHH524285:EHH524287 ERD524285:ERD524287 FAZ524285:FAZ524287 FKV524285:FKV524287 FUR524285:FUR524287 GEN524285:GEN524287 GOJ524285:GOJ524287 GYF524285:GYF524287 HIB524285:HIB524287 HRX524285:HRX524287 IBT524285:IBT524287 ILP524285:ILP524287 IVL524285:IVL524287 JFH524285:JFH524287 JPD524285:JPD524287 JYZ524285:JYZ524287 KIV524285:KIV524287 KSR524285:KSR524287 LCN524285:LCN524287 LMJ524285:LMJ524287 LWF524285:LWF524287 MGB524285:MGB524287 MPX524285:MPX524287 MZT524285:MZT524287 NJP524285:NJP524287 NTL524285:NTL524287 ODH524285:ODH524287 OND524285:OND524287 OWZ524285:OWZ524287 PGV524285:PGV524287 PQR524285:PQR524287 QAN524285:QAN524287 QKJ524285:QKJ524287 QUF524285:QUF524287 REB524285:REB524287 RNX524285:RNX524287 RXT524285:RXT524287 SHP524285:SHP524287 SRL524285:SRL524287 TBH524285:TBH524287 TLD524285:TLD524287 TUZ524285:TUZ524287 UEV524285:UEV524287 UOR524285:UOR524287 UYN524285:UYN524287 VIJ524285:VIJ524287 VSF524285:VSF524287 WCB524285:WCB524287 WLX524285:WLX524287 WVT524285:WVT524287 S589821:S589823 JH589821:JH589823 TD589821:TD589823 ACZ589821:ACZ589823 AMV589821:AMV589823 AWR589821:AWR589823 BGN589821:BGN589823 BQJ589821:BQJ589823 CAF589821:CAF589823 CKB589821:CKB589823 CTX589821:CTX589823 DDT589821:DDT589823 DNP589821:DNP589823 DXL589821:DXL589823 EHH589821:EHH589823 ERD589821:ERD589823 FAZ589821:FAZ589823 FKV589821:FKV589823 FUR589821:FUR589823 GEN589821:GEN589823 GOJ589821:GOJ589823 GYF589821:GYF589823 HIB589821:HIB589823 HRX589821:HRX589823 IBT589821:IBT589823 ILP589821:ILP589823 IVL589821:IVL589823 JFH589821:JFH589823 JPD589821:JPD589823 JYZ589821:JYZ589823 KIV589821:KIV589823 KSR589821:KSR589823 LCN589821:LCN589823 LMJ589821:LMJ589823 LWF589821:LWF589823 MGB589821:MGB589823 MPX589821:MPX589823 MZT589821:MZT589823 NJP589821:NJP589823 NTL589821:NTL589823 ODH589821:ODH589823 OND589821:OND589823 OWZ589821:OWZ589823 PGV589821:PGV589823 PQR589821:PQR589823 QAN589821:QAN589823 QKJ589821:QKJ589823 QUF589821:QUF589823 REB589821:REB589823 RNX589821:RNX589823 RXT589821:RXT589823 SHP589821:SHP589823 SRL589821:SRL589823 TBH589821:TBH589823 TLD589821:TLD589823 TUZ589821:TUZ589823 UEV589821:UEV589823 UOR589821:UOR589823 UYN589821:UYN589823 VIJ589821:VIJ589823 VSF589821:VSF589823 WCB589821:WCB589823 WLX589821:WLX589823 WVT589821:WVT589823 S655357:S655359 JH655357:JH655359 TD655357:TD655359 ACZ655357:ACZ655359 AMV655357:AMV655359 AWR655357:AWR655359 BGN655357:BGN655359 BQJ655357:BQJ655359 CAF655357:CAF655359 CKB655357:CKB655359 CTX655357:CTX655359 DDT655357:DDT655359 DNP655357:DNP655359 DXL655357:DXL655359 EHH655357:EHH655359 ERD655357:ERD655359 FAZ655357:FAZ655359 FKV655357:FKV655359 FUR655357:FUR655359 GEN655357:GEN655359 GOJ655357:GOJ655359 GYF655357:GYF655359 HIB655357:HIB655359 HRX655357:HRX655359 IBT655357:IBT655359 ILP655357:ILP655359 IVL655357:IVL655359 JFH655357:JFH655359 JPD655357:JPD655359 JYZ655357:JYZ655359 KIV655357:KIV655359 KSR655357:KSR655359 LCN655357:LCN655359 LMJ655357:LMJ655359 LWF655357:LWF655359 MGB655357:MGB655359 MPX655357:MPX655359 MZT655357:MZT655359 NJP655357:NJP655359 NTL655357:NTL655359 ODH655357:ODH655359 OND655357:OND655359 OWZ655357:OWZ655359 PGV655357:PGV655359 PQR655357:PQR655359 QAN655357:QAN655359 QKJ655357:QKJ655359 QUF655357:QUF655359 REB655357:REB655359 RNX655357:RNX655359 RXT655357:RXT655359 SHP655357:SHP655359 SRL655357:SRL655359 TBH655357:TBH655359 TLD655357:TLD655359 TUZ655357:TUZ655359 UEV655357:UEV655359 UOR655357:UOR655359 UYN655357:UYN655359 VIJ655357:VIJ655359 VSF655357:VSF655359 WCB655357:WCB655359 WLX655357:WLX655359 WVT655357:WVT655359 S720893:S720895 JH720893:JH720895 TD720893:TD720895 ACZ720893:ACZ720895 AMV720893:AMV720895 AWR720893:AWR720895 BGN720893:BGN720895 BQJ720893:BQJ720895 CAF720893:CAF720895 CKB720893:CKB720895 CTX720893:CTX720895 DDT720893:DDT720895 DNP720893:DNP720895 DXL720893:DXL720895 EHH720893:EHH720895 ERD720893:ERD720895 FAZ720893:FAZ720895 FKV720893:FKV720895 FUR720893:FUR720895 GEN720893:GEN720895 GOJ720893:GOJ720895 GYF720893:GYF720895 HIB720893:HIB720895 HRX720893:HRX720895 IBT720893:IBT720895 ILP720893:ILP720895 IVL720893:IVL720895 JFH720893:JFH720895 JPD720893:JPD720895 JYZ720893:JYZ720895 KIV720893:KIV720895 KSR720893:KSR720895 LCN720893:LCN720895 LMJ720893:LMJ720895 LWF720893:LWF720895 MGB720893:MGB720895 MPX720893:MPX720895 MZT720893:MZT720895 NJP720893:NJP720895 NTL720893:NTL720895 ODH720893:ODH720895 OND720893:OND720895 OWZ720893:OWZ720895 PGV720893:PGV720895 PQR720893:PQR720895 QAN720893:QAN720895 QKJ720893:QKJ720895 QUF720893:QUF720895 REB720893:REB720895 RNX720893:RNX720895 RXT720893:RXT720895 SHP720893:SHP720895 SRL720893:SRL720895 TBH720893:TBH720895 TLD720893:TLD720895 TUZ720893:TUZ720895 UEV720893:UEV720895 UOR720893:UOR720895 UYN720893:UYN720895 VIJ720893:VIJ720895 VSF720893:VSF720895 WCB720893:WCB720895 WLX720893:WLX720895 WVT720893:WVT720895 S786429:S786431 JH786429:JH786431 TD786429:TD786431 ACZ786429:ACZ786431 AMV786429:AMV786431 AWR786429:AWR786431 BGN786429:BGN786431 BQJ786429:BQJ786431 CAF786429:CAF786431 CKB786429:CKB786431 CTX786429:CTX786431 DDT786429:DDT786431 DNP786429:DNP786431 DXL786429:DXL786431 EHH786429:EHH786431 ERD786429:ERD786431 FAZ786429:FAZ786431 FKV786429:FKV786431 FUR786429:FUR786431 GEN786429:GEN786431 GOJ786429:GOJ786431 GYF786429:GYF786431 HIB786429:HIB786431 HRX786429:HRX786431 IBT786429:IBT786431 ILP786429:ILP786431 IVL786429:IVL786431 JFH786429:JFH786431 JPD786429:JPD786431 JYZ786429:JYZ786431 KIV786429:KIV786431 KSR786429:KSR786431 LCN786429:LCN786431 LMJ786429:LMJ786431 LWF786429:LWF786431 MGB786429:MGB786431 MPX786429:MPX786431 MZT786429:MZT786431 NJP786429:NJP786431 NTL786429:NTL786431 ODH786429:ODH786431 OND786429:OND786431 OWZ786429:OWZ786431 PGV786429:PGV786431 PQR786429:PQR786431 QAN786429:QAN786431 QKJ786429:QKJ786431 QUF786429:QUF786431 REB786429:REB786431 RNX786429:RNX786431 RXT786429:RXT786431 SHP786429:SHP786431 SRL786429:SRL786431 TBH786429:TBH786431 TLD786429:TLD786431 TUZ786429:TUZ786431 UEV786429:UEV786431 UOR786429:UOR786431 UYN786429:UYN786431 VIJ786429:VIJ786431 VSF786429:VSF786431 WCB786429:WCB786431 WLX786429:WLX786431 WVT786429:WVT786431 S851965:S851967 JH851965:JH851967 TD851965:TD851967 ACZ851965:ACZ851967 AMV851965:AMV851967 AWR851965:AWR851967 BGN851965:BGN851967 BQJ851965:BQJ851967 CAF851965:CAF851967 CKB851965:CKB851967 CTX851965:CTX851967 DDT851965:DDT851967 DNP851965:DNP851967 DXL851965:DXL851967 EHH851965:EHH851967 ERD851965:ERD851967 FAZ851965:FAZ851967 FKV851965:FKV851967 FUR851965:FUR851967 GEN851965:GEN851967 GOJ851965:GOJ851967 GYF851965:GYF851967 HIB851965:HIB851967 HRX851965:HRX851967 IBT851965:IBT851967 ILP851965:ILP851967 IVL851965:IVL851967 JFH851965:JFH851967 JPD851965:JPD851967 JYZ851965:JYZ851967 KIV851965:KIV851967 KSR851965:KSR851967 LCN851965:LCN851967 LMJ851965:LMJ851967 LWF851965:LWF851967 MGB851965:MGB851967 MPX851965:MPX851967 MZT851965:MZT851967 NJP851965:NJP851967 NTL851965:NTL851967 ODH851965:ODH851967 OND851965:OND851967 OWZ851965:OWZ851967 PGV851965:PGV851967 PQR851965:PQR851967 QAN851965:QAN851967 QKJ851965:QKJ851967 QUF851965:QUF851967 REB851965:REB851967 RNX851965:RNX851967 RXT851965:RXT851967 SHP851965:SHP851967 SRL851965:SRL851967 TBH851965:TBH851967 TLD851965:TLD851967 TUZ851965:TUZ851967 UEV851965:UEV851967 UOR851965:UOR851967 UYN851965:UYN851967 VIJ851965:VIJ851967 VSF851965:VSF851967 WCB851965:WCB851967 WLX851965:WLX851967 WVT851965:WVT851967 S917501:S917503 JH917501:JH917503 TD917501:TD917503 ACZ917501:ACZ917503 AMV917501:AMV917503 AWR917501:AWR917503 BGN917501:BGN917503 BQJ917501:BQJ917503 CAF917501:CAF917503 CKB917501:CKB917503 CTX917501:CTX917503 DDT917501:DDT917503 DNP917501:DNP917503 DXL917501:DXL917503 EHH917501:EHH917503 ERD917501:ERD917503 FAZ917501:FAZ917503 FKV917501:FKV917503 FUR917501:FUR917503 GEN917501:GEN917503 GOJ917501:GOJ917503 GYF917501:GYF917503 HIB917501:HIB917503 HRX917501:HRX917503 IBT917501:IBT917503 ILP917501:ILP917503 IVL917501:IVL917503 JFH917501:JFH917503 JPD917501:JPD917503 JYZ917501:JYZ917503 KIV917501:KIV917503 KSR917501:KSR917503 LCN917501:LCN917503 LMJ917501:LMJ917503 LWF917501:LWF917503 MGB917501:MGB917503 MPX917501:MPX917503 MZT917501:MZT917503 NJP917501:NJP917503 NTL917501:NTL917503 ODH917501:ODH917503 OND917501:OND917503 OWZ917501:OWZ917503 PGV917501:PGV917503 PQR917501:PQR917503 QAN917501:QAN917503 QKJ917501:QKJ917503 QUF917501:QUF917503 REB917501:REB917503 RNX917501:RNX917503 RXT917501:RXT917503 SHP917501:SHP917503 SRL917501:SRL917503 TBH917501:TBH917503 TLD917501:TLD917503 TUZ917501:TUZ917503 UEV917501:UEV917503 UOR917501:UOR917503 UYN917501:UYN917503 VIJ917501:VIJ917503 VSF917501:VSF917503 WCB917501:WCB917503 WLX917501:WLX917503 WVT917501:WVT917503 S983037:S983039 JH983037:JH983039 TD983037:TD983039 ACZ983037:ACZ983039 AMV983037:AMV983039 AWR983037:AWR983039 BGN983037:BGN983039 BQJ983037:BQJ983039 CAF983037:CAF983039 CKB983037:CKB983039 CTX983037:CTX983039 DDT983037:DDT983039 DNP983037:DNP983039 DXL983037:DXL983039 EHH983037:EHH983039 ERD983037:ERD983039 FAZ983037:FAZ983039 FKV983037:FKV983039 FUR983037:FUR983039 GEN983037:GEN983039 GOJ983037:GOJ983039 GYF983037:GYF983039 HIB983037:HIB983039 HRX983037:HRX983039 IBT983037:IBT983039 ILP983037:ILP983039 IVL983037:IVL983039 JFH983037:JFH983039 JPD983037:JPD983039 JYZ983037:JYZ983039 KIV983037:KIV983039 KSR983037:KSR983039 LCN983037:LCN983039 LMJ983037:LMJ983039 LWF983037:LWF983039 MGB983037:MGB983039 MPX983037:MPX983039 MZT983037:MZT983039 NJP983037:NJP983039 NTL983037:NTL983039 ODH983037:ODH983039 OND983037:OND983039 OWZ983037:OWZ983039 PGV983037:PGV983039 PQR983037:PQR983039 QAN983037:QAN983039 QKJ983037:QKJ983039 QUF983037:QUF983039 REB983037:REB983039 RNX983037:RNX983039 RXT983037:RXT983039 SHP983037:SHP983039 SRL983037:SRL983039 TBH983037:TBH983039 TLD983037:TLD983039 TUZ983037:TUZ983039 UEV983037:UEV983039 UOR983037:UOR983039 UYN983037:UYN983039 VIJ983037:VIJ983039 VSF983037:VSF983039 WCB983037:WCB983039 WLX983037:WLX983039 WVT983037:WVT983039 U65539:U65562 JJ65539:JJ65562 TF65539:TF65562 ADB65539:ADB65562 AMX65539:AMX65562 AWT65539:AWT65562 BGP65539:BGP65562 BQL65539:BQL65562 CAH65539:CAH65562 CKD65539:CKD65562 CTZ65539:CTZ65562 DDV65539:DDV65562 DNR65539:DNR65562 DXN65539:DXN65562 EHJ65539:EHJ65562 ERF65539:ERF65562 FBB65539:FBB65562 FKX65539:FKX65562 FUT65539:FUT65562 GEP65539:GEP65562 GOL65539:GOL65562 GYH65539:GYH65562 HID65539:HID65562 HRZ65539:HRZ65562 IBV65539:IBV65562 ILR65539:ILR65562 IVN65539:IVN65562 JFJ65539:JFJ65562 JPF65539:JPF65562 JZB65539:JZB65562 KIX65539:KIX65562 KST65539:KST65562 LCP65539:LCP65562 LML65539:LML65562 LWH65539:LWH65562 MGD65539:MGD65562 MPZ65539:MPZ65562 MZV65539:MZV65562 NJR65539:NJR65562 NTN65539:NTN65562 ODJ65539:ODJ65562 ONF65539:ONF65562 OXB65539:OXB65562 PGX65539:PGX65562 PQT65539:PQT65562 QAP65539:QAP65562 QKL65539:QKL65562 QUH65539:QUH65562 RED65539:RED65562 RNZ65539:RNZ65562 RXV65539:RXV65562 SHR65539:SHR65562 SRN65539:SRN65562 TBJ65539:TBJ65562 TLF65539:TLF65562 TVB65539:TVB65562 UEX65539:UEX65562 UOT65539:UOT65562 UYP65539:UYP65562 VIL65539:VIL65562 VSH65539:VSH65562 WCD65539:WCD65562 WLZ65539:WLZ65562 WVV65539:WVV65562 U131075:U131098 JJ131075:JJ131098 TF131075:TF131098 ADB131075:ADB131098 AMX131075:AMX131098 AWT131075:AWT131098 BGP131075:BGP131098 BQL131075:BQL131098 CAH131075:CAH131098 CKD131075:CKD131098 CTZ131075:CTZ131098 DDV131075:DDV131098 DNR131075:DNR131098 DXN131075:DXN131098 EHJ131075:EHJ131098 ERF131075:ERF131098 FBB131075:FBB131098 FKX131075:FKX131098 FUT131075:FUT131098 GEP131075:GEP131098 GOL131075:GOL131098 GYH131075:GYH131098 HID131075:HID131098 HRZ131075:HRZ131098 IBV131075:IBV131098 ILR131075:ILR131098 IVN131075:IVN131098 JFJ131075:JFJ131098 JPF131075:JPF131098 JZB131075:JZB131098 KIX131075:KIX131098 KST131075:KST131098 LCP131075:LCP131098 LML131075:LML131098 LWH131075:LWH131098 MGD131075:MGD131098 MPZ131075:MPZ131098 MZV131075:MZV131098 NJR131075:NJR131098 NTN131075:NTN131098 ODJ131075:ODJ131098 ONF131075:ONF131098 OXB131075:OXB131098 PGX131075:PGX131098 PQT131075:PQT131098 QAP131075:QAP131098 QKL131075:QKL131098 QUH131075:QUH131098 RED131075:RED131098 RNZ131075:RNZ131098 RXV131075:RXV131098 SHR131075:SHR131098 SRN131075:SRN131098 TBJ131075:TBJ131098 TLF131075:TLF131098 TVB131075:TVB131098 UEX131075:UEX131098 UOT131075:UOT131098 UYP131075:UYP131098 VIL131075:VIL131098 VSH131075:VSH131098 WCD131075:WCD131098 WLZ131075:WLZ131098 WVV131075:WVV131098 U196611:U196634 JJ196611:JJ196634 TF196611:TF196634 ADB196611:ADB196634 AMX196611:AMX196634 AWT196611:AWT196634 BGP196611:BGP196634 BQL196611:BQL196634 CAH196611:CAH196634 CKD196611:CKD196634 CTZ196611:CTZ196634 DDV196611:DDV196634 DNR196611:DNR196634 DXN196611:DXN196634 EHJ196611:EHJ196634 ERF196611:ERF196634 FBB196611:FBB196634 FKX196611:FKX196634 FUT196611:FUT196634 GEP196611:GEP196634 GOL196611:GOL196634 GYH196611:GYH196634 HID196611:HID196634 HRZ196611:HRZ196634 IBV196611:IBV196634 ILR196611:ILR196634 IVN196611:IVN196634 JFJ196611:JFJ196634 JPF196611:JPF196634 JZB196611:JZB196634 KIX196611:KIX196634 KST196611:KST196634 LCP196611:LCP196634 LML196611:LML196634 LWH196611:LWH196634 MGD196611:MGD196634 MPZ196611:MPZ196634 MZV196611:MZV196634 NJR196611:NJR196634 NTN196611:NTN196634 ODJ196611:ODJ196634 ONF196611:ONF196634 OXB196611:OXB196634 PGX196611:PGX196634 PQT196611:PQT196634 QAP196611:QAP196634 QKL196611:QKL196634 QUH196611:QUH196634 RED196611:RED196634 RNZ196611:RNZ196634 RXV196611:RXV196634 SHR196611:SHR196634 SRN196611:SRN196634 TBJ196611:TBJ196634 TLF196611:TLF196634 TVB196611:TVB196634 UEX196611:UEX196634 UOT196611:UOT196634 UYP196611:UYP196634 VIL196611:VIL196634 VSH196611:VSH196634 WCD196611:WCD196634 WLZ196611:WLZ196634 WVV196611:WVV196634 U262147:U262170 JJ262147:JJ262170 TF262147:TF262170 ADB262147:ADB262170 AMX262147:AMX262170 AWT262147:AWT262170 BGP262147:BGP262170 BQL262147:BQL262170 CAH262147:CAH262170 CKD262147:CKD262170 CTZ262147:CTZ262170 DDV262147:DDV262170 DNR262147:DNR262170 DXN262147:DXN262170 EHJ262147:EHJ262170 ERF262147:ERF262170 FBB262147:FBB262170 FKX262147:FKX262170 FUT262147:FUT262170 GEP262147:GEP262170 GOL262147:GOL262170 GYH262147:GYH262170 HID262147:HID262170 HRZ262147:HRZ262170 IBV262147:IBV262170 ILR262147:ILR262170 IVN262147:IVN262170 JFJ262147:JFJ262170 JPF262147:JPF262170 JZB262147:JZB262170 KIX262147:KIX262170 KST262147:KST262170 LCP262147:LCP262170 LML262147:LML262170 LWH262147:LWH262170 MGD262147:MGD262170 MPZ262147:MPZ262170 MZV262147:MZV262170 NJR262147:NJR262170 NTN262147:NTN262170 ODJ262147:ODJ262170 ONF262147:ONF262170 OXB262147:OXB262170 PGX262147:PGX262170 PQT262147:PQT262170 QAP262147:QAP262170 QKL262147:QKL262170 QUH262147:QUH262170 RED262147:RED262170 RNZ262147:RNZ262170 RXV262147:RXV262170 SHR262147:SHR262170 SRN262147:SRN262170 TBJ262147:TBJ262170 TLF262147:TLF262170 TVB262147:TVB262170 UEX262147:UEX262170 UOT262147:UOT262170 UYP262147:UYP262170 VIL262147:VIL262170 VSH262147:VSH262170 WCD262147:WCD262170 WLZ262147:WLZ262170 WVV262147:WVV262170 U327683:U327706 JJ327683:JJ327706 TF327683:TF327706 ADB327683:ADB327706 AMX327683:AMX327706 AWT327683:AWT327706 BGP327683:BGP327706 BQL327683:BQL327706 CAH327683:CAH327706 CKD327683:CKD327706 CTZ327683:CTZ327706 DDV327683:DDV327706 DNR327683:DNR327706 DXN327683:DXN327706 EHJ327683:EHJ327706 ERF327683:ERF327706 FBB327683:FBB327706 FKX327683:FKX327706 FUT327683:FUT327706 GEP327683:GEP327706 GOL327683:GOL327706 GYH327683:GYH327706 HID327683:HID327706 HRZ327683:HRZ327706 IBV327683:IBV327706 ILR327683:ILR327706 IVN327683:IVN327706 JFJ327683:JFJ327706 JPF327683:JPF327706 JZB327683:JZB327706 KIX327683:KIX327706 KST327683:KST327706 LCP327683:LCP327706 LML327683:LML327706 LWH327683:LWH327706 MGD327683:MGD327706 MPZ327683:MPZ327706 MZV327683:MZV327706 NJR327683:NJR327706 NTN327683:NTN327706 ODJ327683:ODJ327706 ONF327683:ONF327706 OXB327683:OXB327706 PGX327683:PGX327706 PQT327683:PQT327706 QAP327683:QAP327706 QKL327683:QKL327706 QUH327683:QUH327706 RED327683:RED327706 RNZ327683:RNZ327706 RXV327683:RXV327706 SHR327683:SHR327706 SRN327683:SRN327706 TBJ327683:TBJ327706 TLF327683:TLF327706 TVB327683:TVB327706 UEX327683:UEX327706 UOT327683:UOT327706 UYP327683:UYP327706 VIL327683:VIL327706 VSH327683:VSH327706 WCD327683:WCD327706 WLZ327683:WLZ327706 WVV327683:WVV327706 U393219:U393242 JJ393219:JJ393242 TF393219:TF393242 ADB393219:ADB393242 AMX393219:AMX393242 AWT393219:AWT393242 BGP393219:BGP393242 BQL393219:BQL393242 CAH393219:CAH393242 CKD393219:CKD393242 CTZ393219:CTZ393242 DDV393219:DDV393242 DNR393219:DNR393242 DXN393219:DXN393242 EHJ393219:EHJ393242 ERF393219:ERF393242 FBB393219:FBB393242 FKX393219:FKX393242 FUT393219:FUT393242 GEP393219:GEP393242 GOL393219:GOL393242 GYH393219:GYH393242 HID393219:HID393242 HRZ393219:HRZ393242 IBV393219:IBV393242 ILR393219:ILR393242 IVN393219:IVN393242 JFJ393219:JFJ393242 JPF393219:JPF393242 JZB393219:JZB393242 KIX393219:KIX393242 KST393219:KST393242 LCP393219:LCP393242 LML393219:LML393242 LWH393219:LWH393242 MGD393219:MGD393242 MPZ393219:MPZ393242 MZV393219:MZV393242 NJR393219:NJR393242 NTN393219:NTN393242 ODJ393219:ODJ393242 ONF393219:ONF393242 OXB393219:OXB393242 PGX393219:PGX393242 PQT393219:PQT393242 QAP393219:QAP393242 QKL393219:QKL393242 QUH393219:QUH393242 RED393219:RED393242 RNZ393219:RNZ393242 RXV393219:RXV393242 SHR393219:SHR393242 SRN393219:SRN393242 TBJ393219:TBJ393242 TLF393219:TLF393242 TVB393219:TVB393242 UEX393219:UEX393242 UOT393219:UOT393242 UYP393219:UYP393242 VIL393219:VIL393242 VSH393219:VSH393242 WCD393219:WCD393242 WLZ393219:WLZ393242 WVV393219:WVV393242 U458755:U458778 JJ458755:JJ458778 TF458755:TF458778 ADB458755:ADB458778 AMX458755:AMX458778 AWT458755:AWT458778 BGP458755:BGP458778 BQL458755:BQL458778 CAH458755:CAH458778 CKD458755:CKD458778 CTZ458755:CTZ458778 DDV458755:DDV458778 DNR458755:DNR458778 DXN458755:DXN458778 EHJ458755:EHJ458778 ERF458755:ERF458778 FBB458755:FBB458778 FKX458755:FKX458778 FUT458755:FUT458778 GEP458755:GEP458778 GOL458755:GOL458778 GYH458755:GYH458778 HID458755:HID458778 HRZ458755:HRZ458778 IBV458755:IBV458778 ILR458755:ILR458778 IVN458755:IVN458778 JFJ458755:JFJ458778 JPF458755:JPF458778 JZB458755:JZB458778 KIX458755:KIX458778 KST458755:KST458778 LCP458755:LCP458778 LML458755:LML458778 LWH458755:LWH458778 MGD458755:MGD458778 MPZ458755:MPZ458778 MZV458755:MZV458778 NJR458755:NJR458778 NTN458755:NTN458778 ODJ458755:ODJ458778 ONF458755:ONF458778 OXB458755:OXB458778 PGX458755:PGX458778 PQT458755:PQT458778 QAP458755:QAP458778 QKL458755:QKL458778 QUH458755:QUH458778 RED458755:RED458778 RNZ458755:RNZ458778 RXV458755:RXV458778 SHR458755:SHR458778 SRN458755:SRN458778 TBJ458755:TBJ458778 TLF458755:TLF458778 TVB458755:TVB458778 UEX458755:UEX458778 UOT458755:UOT458778 UYP458755:UYP458778 VIL458755:VIL458778 VSH458755:VSH458778 WCD458755:WCD458778 WLZ458755:WLZ458778 WVV458755:WVV458778 U524291:U524314 JJ524291:JJ524314 TF524291:TF524314 ADB524291:ADB524314 AMX524291:AMX524314 AWT524291:AWT524314 BGP524291:BGP524314 BQL524291:BQL524314 CAH524291:CAH524314 CKD524291:CKD524314 CTZ524291:CTZ524314 DDV524291:DDV524314 DNR524291:DNR524314 DXN524291:DXN524314 EHJ524291:EHJ524314 ERF524291:ERF524314 FBB524291:FBB524314 FKX524291:FKX524314 FUT524291:FUT524314 GEP524291:GEP524314 GOL524291:GOL524314 GYH524291:GYH524314 HID524291:HID524314 HRZ524291:HRZ524314 IBV524291:IBV524314 ILR524291:ILR524314 IVN524291:IVN524314 JFJ524291:JFJ524314 JPF524291:JPF524314 JZB524291:JZB524314 KIX524291:KIX524314 KST524291:KST524314 LCP524291:LCP524314 LML524291:LML524314 LWH524291:LWH524314 MGD524291:MGD524314 MPZ524291:MPZ524314 MZV524291:MZV524314 NJR524291:NJR524314 NTN524291:NTN524314 ODJ524291:ODJ524314 ONF524291:ONF524314 OXB524291:OXB524314 PGX524291:PGX524314 PQT524291:PQT524314 QAP524291:QAP524314 QKL524291:QKL524314 QUH524291:QUH524314 RED524291:RED524314 RNZ524291:RNZ524314 RXV524291:RXV524314 SHR524291:SHR524314 SRN524291:SRN524314 TBJ524291:TBJ524314 TLF524291:TLF524314 TVB524291:TVB524314 UEX524291:UEX524314 UOT524291:UOT524314 UYP524291:UYP524314 VIL524291:VIL524314 VSH524291:VSH524314 WCD524291:WCD524314 WLZ524291:WLZ524314 WVV524291:WVV524314 U589827:U589850 JJ589827:JJ589850 TF589827:TF589850 ADB589827:ADB589850 AMX589827:AMX589850 AWT589827:AWT589850 BGP589827:BGP589850 BQL589827:BQL589850 CAH589827:CAH589850 CKD589827:CKD589850 CTZ589827:CTZ589850 DDV589827:DDV589850 DNR589827:DNR589850 DXN589827:DXN589850 EHJ589827:EHJ589850 ERF589827:ERF589850 FBB589827:FBB589850 FKX589827:FKX589850 FUT589827:FUT589850 GEP589827:GEP589850 GOL589827:GOL589850 GYH589827:GYH589850 HID589827:HID589850 HRZ589827:HRZ589850 IBV589827:IBV589850 ILR589827:ILR589850 IVN589827:IVN589850 JFJ589827:JFJ589850 JPF589827:JPF589850 JZB589827:JZB589850 KIX589827:KIX589850 KST589827:KST589850 LCP589827:LCP589850 LML589827:LML589850 LWH589827:LWH589850 MGD589827:MGD589850 MPZ589827:MPZ589850 MZV589827:MZV589850 NJR589827:NJR589850 NTN589827:NTN589850 ODJ589827:ODJ589850 ONF589827:ONF589850 OXB589827:OXB589850 PGX589827:PGX589850 PQT589827:PQT589850 QAP589827:QAP589850 QKL589827:QKL589850 QUH589827:QUH589850 RED589827:RED589850 RNZ589827:RNZ589850 RXV589827:RXV589850 SHR589827:SHR589850 SRN589827:SRN589850 TBJ589827:TBJ589850 TLF589827:TLF589850 TVB589827:TVB589850 UEX589827:UEX589850 UOT589827:UOT589850 UYP589827:UYP589850 VIL589827:VIL589850 VSH589827:VSH589850 WCD589827:WCD589850 WLZ589827:WLZ589850 WVV589827:WVV589850 U655363:U655386 JJ655363:JJ655386 TF655363:TF655386 ADB655363:ADB655386 AMX655363:AMX655386 AWT655363:AWT655386 BGP655363:BGP655386 BQL655363:BQL655386 CAH655363:CAH655386 CKD655363:CKD655386 CTZ655363:CTZ655386 DDV655363:DDV655386 DNR655363:DNR655386 DXN655363:DXN655386 EHJ655363:EHJ655386 ERF655363:ERF655386 FBB655363:FBB655386 FKX655363:FKX655386 FUT655363:FUT655386 GEP655363:GEP655386 GOL655363:GOL655386 GYH655363:GYH655386 HID655363:HID655386 HRZ655363:HRZ655386 IBV655363:IBV655386 ILR655363:ILR655386 IVN655363:IVN655386 JFJ655363:JFJ655386 JPF655363:JPF655386 JZB655363:JZB655386 KIX655363:KIX655386 KST655363:KST655386 LCP655363:LCP655386 LML655363:LML655386 LWH655363:LWH655386 MGD655363:MGD655386 MPZ655363:MPZ655386 MZV655363:MZV655386 NJR655363:NJR655386 NTN655363:NTN655386 ODJ655363:ODJ655386 ONF655363:ONF655386 OXB655363:OXB655386 PGX655363:PGX655386 PQT655363:PQT655386 QAP655363:QAP655386 QKL655363:QKL655386 QUH655363:QUH655386 RED655363:RED655386 RNZ655363:RNZ655386 RXV655363:RXV655386 SHR655363:SHR655386 SRN655363:SRN655386 TBJ655363:TBJ655386 TLF655363:TLF655386 TVB655363:TVB655386 UEX655363:UEX655386 UOT655363:UOT655386 UYP655363:UYP655386 VIL655363:VIL655386 VSH655363:VSH655386 WCD655363:WCD655386 WLZ655363:WLZ655386 WVV655363:WVV655386 U720899:U720922 JJ720899:JJ720922 TF720899:TF720922 ADB720899:ADB720922 AMX720899:AMX720922 AWT720899:AWT720922 BGP720899:BGP720922 BQL720899:BQL720922 CAH720899:CAH720922 CKD720899:CKD720922 CTZ720899:CTZ720922 DDV720899:DDV720922 DNR720899:DNR720922 DXN720899:DXN720922 EHJ720899:EHJ720922 ERF720899:ERF720922 FBB720899:FBB720922 FKX720899:FKX720922 FUT720899:FUT720922 GEP720899:GEP720922 GOL720899:GOL720922 GYH720899:GYH720922 HID720899:HID720922 HRZ720899:HRZ720922 IBV720899:IBV720922 ILR720899:ILR720922 IVN720899:IVN720922 JFJ720899:JFJ720922 JPF720899:JPF720922 JZB720899:JZB720922 KIX720899:KIX720922 KST720899:KST720922 LCP720899:LCP720922 LML720899:LML720922 LWH720899:LWH720922 MGD720899:MGD720922 MPZ720899:MPZ720922 MZV720899:MZV720922 NJR720899:NJR720922 NTN720899:NTN720922 ODJ720899:ODJ720922 ONF720899:ONF720922 OXB720899:OXB720922 PGX720899:PGX720922 PQT720899:PQT720922 QAP720899:QAP720922 QKL720899:QKL720922 QUH720899:QUH720922 RED720899:RED720922 RNZ720899:RNZ720922 RXV720899:RXV720922 SHR720899:SHR720922 SRN720899:SRN720922 TBJ720899:TBJ720922 TLF720899:TLF720922 TVB720899:TVB720922 UEX720899:UEX720922 UOT720899:UOT720922 UYP720899:UYP720922 VIL720899:VIL720922 VSH720899:VSH720922 WCD720899:WCD720922 WLZ720899:WLZ720922 WVV720899:WVV720922 U786435:U786458 JJ786435:JJ786458 TF786435:TF786458 ADB786435:ADB786458 AMX786435:AMX786458 AWT786435:AWT786458 BGP786435:BGP786458 BQL786435:BQL786458 CAH786435:CAH786458 CKD786435:CKD786458 CTZ786435:CTZ786458 DDV786435:DDV786458 DNR786435:DNR786458 DXN786435:DXN786458 EHJ786435:EHJ786458 ERF786435:ERF786458 FBB786435:FBB786458 FKX786435:FKX786458 FUT786435:FUT786458 GEP786435:GEP786458 GOL786435:GOL786458 GYH786435:GYH786458 HID786435:HID786458 HRZ786435:HRZ786458 IBV786435:IBV786458 ILR786435:ILR786458 IVN786435:IVN786458 JFJ786435:JFJ786458 JPF786435:JPF786458 JZB786435:JZB786458 KIX786435:KIX786458 KST786435:KST786458 LCP786435:LCP786458 LML786435:LML786458 LWH786435:LWH786458 MGD786435:MGD786458 MPZ786435:MPZ786458 MZV786435:MZV786458 NJR786435:NJR786458 NTN786435:NTN786458 ODJ786435:ODJ786458 ONF786435:ONF786458 OXB786435:OXB786458 PGX786435:PGX786458 PQT786435:PQT786458 QAP786435:QAP786458 QKL786435:QKL786458 QUH786435:QUH786458 RED786435:RED786458 RNZ786435:RNZ786458 RXV786435:RXV786458 SHR786435:SHR786458 SRN786435:SRN786458 TBJ786435:TBJ786458 TLF786435:TLF786458 TVB786435:TVB786458 UEX786435:UEX786458 UOT786435:UOT786458 UYP786435:UYP786458 VIL786435:VIL786458 VSH786435:VSH786458 WCD786435:WCD786458 WLZ786435:WLZ786458 WVV786435:WVV786458 U851971:U851994 JJ851971:JJ851994 TF851971:TF851994 ADB851971:ADB851994 AMX851971:AMX851994 AWT851971:AWT851994 BGP851971:BGP851994 BQL851971:BQL851994 CAH851971:CAH851994 CKD851971:CKD851994 CTZ851971:CTZ851994 DDV851971:DDV851994 DNR851971:DNR851994 DXN851971:DXN851994 EHJ851971:EHJ851994 ERF851971:ERF851994 FBB851971:FBB851994 FKX851971:FKX851994 FUT851971:FUT851994 GEP851971:GEP851994 GOL851971:GOL851994 GYH851971:GYH851994 HID851971:HID851994 HRZ851971:HRZ851994 IBV851971:IBV851994 ILR851971:ILR851994 IVN851971:IVN851994 JFJ851971:JFJ851994 JPF851971:JPF851994 JZB851971:JZB851994 KIX851971:KIX851994 KST851971:KST851994 LCP851971:LCP851994 LML851971:LML851994 LWH851971:LWH851994 MGD851971:MGD851994 MPZ851971:MPZ851994 MZV851971:MZV851994 NJR851971:NJR851994 NTN851971:NTN851994 ODJ851971:ODJ851994 ONF851971:ONF851994 OXB851971:OXB851994 PGX851971:PGX851994 PQT851971:PQT851994 QAP851971:QAP851994 QKL851971:QKL851994 QUH851971:QUH851994 RED851971:RED851994 RNZ851971:RNZ851994 RXV851971:RXV851994 SHR851971:SHR851994 SRN851971:SRN851994 TBJ851971:TBJ851994 TLF851971:TLF851994 TVB851971:TVB851994 UEX851971:UEX851994 UOT851971:UOT851994 UYP851971:UYP851994 VIL851971:VIL851994 VSH851971:VSH851994 WCD851971:WCD851994 WLZ851971:WLZ851994 WVV851971:WVV851994 U917507:U917530 JJ917507:JJ917530 TF917507:TF917530 ADB917507:ADB917530 AMX917507:AMX917530 AWT917507:AWT917530 BGP917507:BGP917530 BQL917507:BQL917530 CAH917507:CAH917530 CKD917507:CKD917530 CTZ917507:CTZ917530 DDV917507:DDV917530 DNR917507:DNR917530 DXN917507:DXN917530 EHJ917507:EHJ917530 ERF917507:ERF917530 FBB917507:FBB917530 FKX917507:FKX917530 FUT917507:FUT917530 GEP917507:GEP917530 GOL917507:GOL917530 GYH917507:GYH917530 HID917507:HID917530 HRZ917507:HRZ917530 IBV917507:IBV917530 ILR917507:ILR917530 IVN917507:IVN917530 JFJ917507:JFJ917530 JPF917507:JPF917530 JZB917507:JZB917530 KIX917507:KIX917530 KST917507:KST917530 LCP917507:LCP917530 LML917507:LML917530 LWH917507:LWH917530 MGD917507:MGD917530 MPZ917507:MPZ917530 MZV917507:MZV917530 NJR917507:NJR917530 NTN917507:NTN917530 ODJ917507:ODJ917530 ONF917507:ONF917530 OXB917507:OXB917530 PGX917507:PGX917530 PQT917507:PQT917530 QAP917507:QAP917530 QKL917507:QKL917530 QUH917507:QUH917530 RED917507:RED917530 RNZ917507:RNZ917530 RXV917507:RXV917530 SHR917507:SHR917530 SRN917507:SRN917530 TBJ917507:TBJ917530 TLF917507:TLF917530 TVB917507:TVB917530 UEX917507:UEX917530 UOT917507:UOT917530 UYP917507:UYP917530 VIL917507:VIL917530 VSH917507:VSH917530 WCD917507:WCD917530 WLZ917507:WLZ917530 WVV917507:WVV917530 U983043:U983066 JJ983043:JJ983066 TF983043:TF983066 ADB983043:ADB983066 AMX983043:AMX983066 AWT983043:AWT983066 BGP983043:BGP983066 BQL983043:BQL983066 CAH983043:CAH983066 CKD983043:CKD983066 CTZ983043:CTZ983066 DDV983043:DDV983066 DNR983043:DNR983066 DXN983043:DXN983066 EHJ983043:EHJ983066 ERF983043:ERF983066 FBB983043:FBB983066 FKX983043:FKX983066 FUT983043:FUT983066 GEP983043:GEP983066 GOL983043:GOL983066 GYH983043:GYH983066 HID983043:HID983066 HRZ983043:HRZ983066 IBV983043:IBV983066 ILR983043:ILR983066 IVN983043:IVN983066 JFJ983043:JFJ983066 JPF983043:JPF983066 JZB983043:JZB983066 KIX983043:KIX983066 KST983043:KST983066 LCP983043:LCP983066 LML983043:LML983066 LWH983043:LWH983066 MGD983043:MGD983066 MPZ983043:MPZ983066 MZV983043:MZV983066 NJR983043:NJR983066 NTN983043:NTN983066 ODJ983043:ODJ983066 ONF983043:ONF983066 OXB983043:OXB983066 PGX983043:PGX983066 PQT983043:PQT983066 QAP983043:QAP983066 QKL983043:QKL983066 QUH983043:QUH983066 RED983043:RED983066 RNZ983043:RNZ983066 RXV983043:RXV983066 SHR983043:SHR983066 SRN983043:SRN983066 TBJ983043:TBJ983066 TLF983043:TLF983066 TVB983043:TVB983066 UEX983043:UEX983066 UOT983043:UOT983066 UYP983043:UYP983066 VIL983043:VIL983066 VSH983043:VSH983066 WCD983043:WCD983066 WLZ983043:WLZ983066 WVV983043:WVV983066 JL65539:JL65562 TH65539:TH65562 ADD65539:ADD65562 AMZ65539:AMZ65562 AWV65539:AWV65562 BGR65539:BGR65562 BQN65539:BQN65562 CAJ65539:CAJ65562 CKF65539:CKF65562 CUB65539:CUB65562 DDX65539:DDX65562 DNT65539:DNT65562 DXP65539:DXP65562 EHL65539:EHL65562 ERH65539:ERH65562 FBD65539:FBD65562 FKZ65539:FKZ65562 FUV65539:FUV65562 GER65539:GER65562 GON65539:GON65562 GYJ65539:GYJ65562 HIF65539:HIF65562 HSB65539:HSB65562 IBX65539:IBX65562 ILT65539:ILT65562 IVP65539:IVP65562 JFL65539:JFL65562 JPH65539:JPH65562 JZD65539:JZD65562 KIZ65539:KIZ65562 KSV65539:KSV65562 LCR65539:LCR65562 LMN65539:LMN65562 LWJ65539:LWJ65562 MGF65539:MGF65562 MQB65539:MQB65562 MZX65539:MZX65562 NJT65539:NJT65562 NTP65539:NTP65562 ODL65539:ODL65562 ONH65539:ONH65562 OXD65539:OXD65562 PGZ65539:PGZ65562 PQV65539:PQV65562 QAR65539:QAR65562 QKN65539:QKN65562 QUJ65539:QUJ65562 REF65539:REF65562 ROB65539:ROB65562 RXX65539:RXX65562 SHT65539:SHT65562 SRP65539:SRP65562 TBL65539:TBL65562 TLH65539:TLH65562 TVD65539:TVD65562 UEZ65539:UEZ65562 UOV65539:UOV65562 UYR65539:UYR65562 VIN65539:VIN65562 VSJ65539:VSJ65562 WCF65539:WCF65562 WMB65539:WMB65562 WVX65539:WVX65562 JL131075:JL131098 TH131075:TH131098 ADD131075:ADD131098 AMZ131075:AMZ131098 AWV131075:AWV131098 BGR131075:BGR131098 BQN131075:BQN131098 CAJ131075:CAJ131098 CKF131075:CKF131098 CUB131075:CUB131098 DDX131075:DDX131098 DNT131075:DNT131098 DXP131075:DXP131098 EHL131075:EHL131098 ERH131075:ERH131098 FBD131075:FBD131098 FKZ131075:FKZ131098 FUV131075:FUV131098 GER131075:GER131098 GON131075:GON131098 GYJ131075:GYJ131098 HIF131075:HIF131098 HSB131075:HSB131098 IBX131075:IBX131098 ILT131075:ILT131098 IVP131075:IVP131098 JFL131075:JFL131098 JPH131075:JPH131098 JZD131075:JZD131098 KIZ131075:KIZ131098 KSV131075:KSV131098 LCR131075:LCR131098 LMN131075:LMN131098 LWJ131075:LWJ131098 MGF131075:MGF131098 MQB131075:MQB131098 MZX131075:MZX131098 NJT131075:NJT131098 NTP131075:NTP131098 ODL131075:ODL131098 ONH131075:ONH131098 OXD131075:OXD131098 PGZ131075:PGZ131098 PQV131075:PQV131098 QAR131075:QAR131098 QKN131075:QKN131098 QUJ131075:QUJ131098 REF131075:REF131098 ROB131075:ROB131098 RXX131075:RXX131098 SHT131075:SHT131098 SRP131075:SRP131098 TBL131075:TBL131098 TLH131075:TLH131098 TVD131075:TVD131098 UEZ131075:UEZ131098 UOV131075:UOV131098 UYR131075:UYR131098 VIN131075:VIN131098 VSJ131075:VSJ131098 WCF131075:WCF131098 WMB131075:WMB131098 WVX131075:WVX131098 JL196611:JL196634 TH196611:TH196634 ADD196611:ADD196634 AMZ196611:AMZ196634 AWV196611:AWV196634 BGR196611:BGR196634 BQN196611:BQN196634 CAJ196611:CAJ196634 CKF196611:CKF196634 CUB196611:CUB196634 DDX196611:DDX196634 DNT196611:DNT196634 DXP196611:DXP196634 EHL196611:EHL196634 ERH196611:ERH196634 FBD196611:FBD196634 FKZ196611:FKZ196634 FUV196611:FUV196634 GER196611:GER196634 GON196611:GON196634 GYJ196611:GYJ196634 HIF196611:HIF196634 HSB196611:HSB196634 IBX196611:IBX196634 ILT196611:ILT196634 IVP196611:IVP196634 JFL196611:JFL196634 JPH196611:JPH196634 JZD196611:JZD196634 KIZ196611:KIZ196634 KSV196611:KSV196634 LCR196611:LCR196634 LMN196611:LMN196634 LWJ196611:LWJ196634 MGF196611:MGF196634 MQB196611:MQB196634 MZX196611:MZX196634 NJT196611:NJT196634 NTP196611:NTP196634 ODL196611:ODL196634 ONH196611:ONH196634 OXD196611:OXD196634 PGZ196611:PGZ196634 PQV196611:PQV196634 QAR196611:QAR196634 QKN196611:QKN196634 QUJ196611:QUJ196634 REF196611:REF196634 ROB196611:ROB196634 RXX196611:RXX196634 SHT196611:SHT196634 SRP196611:SRP196634 TBL196611:TBL196634 TLH196611:TLH196634 TVD196611:TVD196634 UEZ196611:UEZ196634 UOV196611:UOV196634 UYR196611:UYR196634 VIN196611:VIN196634 VSJ196611:VSJ196634 WCF196611:WCF196634 WMB196611:WMB196634 WVX196611:WVX196634 JL262147:JL262170 TH262147:TH262170 ADD262147:ADD262170 AMZ262147:AMZ262170 AWV262147:AWV262170 BGR262147:BGR262170 BQN262147:BQN262170 CAJ262147:CAJ262170 CKF262147:CKF262170 CUB262147:CUB262170 DDX262147:DDX262170 DNT262147:DNT262170 DXP262147:DXP262170 EHL262147:EHL262170 ERH262147:ERH262170 FBD262147:FBD262170 FKZ262147:FKZ262170 FUV262147:FUV262170 GER262147:GER262170 GON262147:GON262170 GYJ262147:GYJ262170 HIF262147:HIF262170 HSB262147:HSB262170 IBX262147:IBX262170 ILT262147:ILT262170 IVP262147:IVP262170 JFL262147:JFL262170 JPH262147:JPH262170 JZD262147:JZD262170 KIZ262147:KIZ262170 KSV262147:KSV262170 LCR262147:LCR262170 LMN262147:LMN262170 LWJ262147:LWJ262170 MGF262147:MGF262170 MQB262147:MQB262170 MZX262147:MZX262170 NJT262147:NJT262170 NTP262147:NTP262170 ODL262147:ODL262170 ONH262147:ONH262170 OXD262147:OXD262170 PGZ262147:PGZ262170 PQV262147:PQV262170 QAR262147:QAR262170 QKN262147:QKN262170 QUJ262147:QUJ262170 REF262147:REF262170 ROB262147:ROB262170 RXX262147:RXX262170 SHT262147:SHT262170 SRP262147:SRP262170 TBL262147:TBL262170 TLH262147:TLH262170 TVD262147:TVD262170 UEZ262147:UEZ262170 UOV262147:UOV262170 UYR262147:UYR262170 VIN262147:VIN262170 VSJ262147:VSJ262170 WCF262147:WCF262170 WMB262147:WMB262170 WVX262147:WVX262170 JL327683:JL327706 TH327683:TH327706 ADD327683:ADD327706 AMZ327683:AMZ327706 AWV327683:AWV327706 BGR327683:BGR327706 BQN327683:BQN327706 CAJ327683:CAJ327706 CKF327683:CKF327706 CUB327683:CUB327706 DDX327683:DDX327706 DNT327683:DNT327706 DXP327683:DXP327706 EHL327683:EHL327706 ERH327683:ERH327706 FBD327683:FBD327706 FKZ327683:FKZ327706 FUV327683:FUV327706 GER327683:GER327706 GON327683:GON327706 GYJ327683:GYJ327706 HIF327683:HIF327706 HSB327683:HSB327706 IBX327683:IBX327706 ILT327683:ILT327706 IVP327683:IVP327706 JFL327683:JFL327706 JPH327683:JPH327706 JZD327683:JZD327706 KIZ327683:KIZ327706 KSV327683:KSV327706 LCR327683:LCR327706 LMN327683:LMN327706 LWJ327683:LWJ327706 MGF327683:MGF327706 MQB327683:MQB327706 MZX327683:MZX327706 NJT327683:NJT327706 NTP327683:NTP327706 ODL327683:ODL327706 ONH327683:ONH327706 OXD327683:OXD327706 PGZ327683:PGZ327706 PQV327683:PQV327706 QAR327683:QAR327706 QKN327683:QKN327706 QUJ327683:QUJ327706 REF327683:REF327706 ROB327683:ROB327706 RXX327683:RXX327706 SHT327683:SHT327706 SRP327683:SRP327706 TBL327683:TBL327706 TLH327683:TLH327706 TVD327683:TVD327706 UEZ327683:UEZ327706 UOV327683:UOV327706 UYR327683:UYR327706 VIN327683:VIN327706 VSJ327683:VSJ327706 WCF327683:WCF327706 WMB327683:WMB327706 WVX327683:WVX327706 JL393219:JL393242 TH393219:TH393242 ADD393219:ADD393242 AMZ393219:AMZ393242 AWV393219:AWV393242 BGR393219:BGR393242 BQN393219:BQN393242 CAJ393219:CAJ393242 CKF393219:CKF393242 CUB393219:CUB393242 DDX393219:DDX393242 DNT393219:DNT393242 DXP393219:DXP393242 EHL393219:EHL393242 ERH393219:ERH393242 FBD393219:FBD393242 FKZ393219:FKZ393242 FUV393219:FUV393242 GER393219:GER393242 GON393219:GON393242 GYJ393219:GYJ393242 HIF393219:HIF393242 HSB393219:HSB393242 IBX393219:IBX393242 ILT393219:ILT393242 IVP393219:IVP393242 JFL393219:JFL393242 JPH393219:JPH393242 JZD393219:JZD393242 KIZ393219:KIZ393242 KSV393219:KSV393242 LCR393219:LCR393242 LMN393219:LMN393242 LWJ393219:LWJ393242 MGF393219:MGF393242 MQB393219:MQB393242 MZX393219:MZX393242 NJT393219:NJT393242 NTP393219:NTP393242 ODL393219:ODL393242 ONH393219:ONH393242 OXD393219:OXD393242 PGZ393219:PGZ393242 PQV393219:PQV393242 QAR393219:QAR393242 QKN393219:QKN393242 QUJ393219:QUJ393242 REF393219:REF393242 ROB393219:ROB393242 RXX393219:RXX393242 SHT393219:SHT393242 SRP393219:SRP393242 TBL393219:TBL393242 TLH393219:TLH393242 TVD393219:TVD393242 UEZ393219:UEZ393242 UOV393219:UOV393242 UYR393219:UYR393242 VIN393219:VIN393242 VSJ393219:VSJ393242 WCF393219:WCF393242 WMB393219:WMB393242 WVX393219:WVX393242 JL458755:JL458778 TH458755:TH458778 ADD458755:ADD458778 AMZ458755:AMZ458778 AWV458755:AWV458778 BGR458755:BGR458778 BQN458755:BQN458778 CAJ458755:CAJ458778 CKF458755:CKF458778 CUB458755:CUB458778 DDX458755:DDX458778 DNT458755:DNT458778 DXP458755:DXP458778 EHL458755:EHL458778 ERH458755:ERH458778 FBD458755:FBD458778 FKZ458755:FKZ458778 FUV458755:FUV458778 GER458755:GER458778 GON458755:GON458778 GYJ458755:GYJ458778 HIF458755:HIF458778 HSB458755:HSB458778 IBX458755:IBX458778 ILT458755:ILT458778 IVP458755:IVP458778 JFL458755:JFL458778 JPH458755:JPH458778 JZD458755:JZD458778 KIZ458755:KIZ458778 KSV458755:KSV458778 LCR458755:LCR458778 LMN458755:LMN458778 LWJ458755:LWJ458778 MGF458755:MGF458778 MQB458755:MQB458778 MZX458755:MZX458778 NJT458755:NJT458778 NTP458755:NTP458778 ODL458755:ODL458778 ONH458755:ONH458778 OXD458755:OXD458778 PGZ458755:PGZ458778 PQV458755:PQV458778 QAR458755:QAR458778 QKN458755:QKN458778 QUJ458755:QUJ458778 REF458755:REF458778 ROB458755:ROB458778 RXX458755:RXX458778 SHT458755:SHT458778 SRP458755:SRP458778 TBL458755:TBL458778 TLH458755:TLH458778 TVD458755:TVD458778 UEZ458755:UEZ458778 UOV458755:UOV458778 UYR458755:UYR458778 VIN458755:VIN458778 VSJ458755:VSJ458778 WCF458755:WCF458778 WMB458755:WMB458778 WVX458755:WVX458778 JL524291:JL524314 TH524291:TH524314 ADD524291:ADD524314 AMZ524291:AMZ524314 AWV524291:AWV524314 BGR524291:BGR524314 BQN524291:BQN524314 CAJ524291:CAJ524314 CKF524291:CKF524314 CUB524291:CUB524314 DDX524291:DDX524314 DNT524291:DNT524314 DXP524291:DXP524314 EHL524291:EHL524314 ERH524291:ERH524314 FBD524291:FBD524314 FKZ524291:FKZ524314 FUV524291:FUV524314 GER524291:GER524314 GON524291:GON524314 GYJ524291:GYJ524314 HIF524291:HIF524314 HSB524291:HSB524314 IBX524291:IBX524314 ILT524291:ILT524314 IVP524291:IVP524314 JFL524291:JFL524314 JPH524291:JPH524314 JZD524291:JZD524314 KIZ524291:KIZ524314 KSV524291:KSV524314 LCR524291:LCR524314 LMN524291:LMN524314 LWJ524291:LWJ524314 MGF524291:MGF524314 MQB524291:MQB524314 MZX524291:MZX524314 NJT524291:NJT524314 NTP524291:NTP524314 ODL524291:ODL524314 ONH524291:ONH524314 OXD524291:OXD524314 PGZ524291:PGZ524314 PQV524291:PQV524314 QAR524291:QAR524314 QKN524291:QKN524314 QUJ524291:QUJ524314 REF524291:REF524314 ROB524291:ROB524314 RXX524291:RXX524314 SHT524291:SHT524314 SRP524291:SRP524314 TBL524291:TBL524314 TLH524291:TLH524314 TVD524291:TVD524314 UEZ524291:UEZ524314 UOV524291:UOV524314 UYR524291:UYR524314 VIN524291:VIN524314 VSJ524291:VSJ524314 WCF524291:WCF524314 WMB524291:WMB524314 WVX524291:WVX524314 JL589827:JL589850 TH589827:TH589850 ADD589827:ADD589850 AMZ589827:AMZ589850 AWV589827:AWV589850 BGR589827:BGR589850 BQN589827:BQN589850 CAJ589827:CAJ589850 CKF589827:CKF589850 CUB589827:CUB589850 DDX589827:DDX589850 DNT589827:DNT589850 DXP589827:DXP589850 EHL589827:EHL589850 ERH589827:ERH589850 FBD589827:FBD589850 FKZ589827:FKZ589850 FUV589827:FUV589850 GER589827:GER589850 GON589827:GON589850 GYJ589827:GYJ589850 HIF589827:HIF589850 HSB589827:HSB589850 IBX589827:IBX589850 ILT589827:ILT589850 IVP589827:IVP589850 JFL589827:JFL589850 JPH589827:JPH589850 JZD589827:JZD589850 KIZ589827:KIZ589850 KSV589827:KSV589850 LCR589827:LCR589850 LMN589827:LMN589850 LWJ589827:LWJ589850 MGF589827:MGF589850 MQB589827:MQB589850 MZX589827:MZX589850 NJT589827:NJT589850 NTP589827:NTP589850 ODL589827:ODL589850 ONH589827:ONH589850 OXD589827:OXD589850 PGZ589827:PGZ589850 PQV589827:PQV589850 QAR589827:QAR589850 QKN589827:QKN589850 QUJ589827:QUJ589850 REF589827:REF589850 ROB589827:ROB589850 RXX589827:RXX589850 SHT589827:SHT589850 SRP589827:SRP589850 TBL589827:TBL589850 TLH589827:TLH589850 TVD589827:TVD589850 UEZ589827:UEZ589850 UOV589827:UOV589850 UYR589827:UYR589850 VIN589827:VIN589850 VSJ589827:VSJ589850 WCF589827:WCF589850 WMB589827:WMB589850 WVX589827:WVX589850 JL655363:JL655386 TH655363:TH655386 ADD655363:ADD655386 AMZ655363:AMZ655386 AWV655363:AWV655386 BGR655363:BGR655386 BQN655363:BQN655386 CAJ655363:CAJ655386 CKF655363:CKF655386 CUB655363:CUB655386 DDX655363:DDX655386 DNT655363:DNT655386 DXP655363:DXP655386 EHL655363:EHL655386 ERH655363:ERH655386 FBD655363:FBD655386 FKZ655363:FKZ655386 FUV655363:FUV655386 GER655363:GER655386 GON655363:GON655386 GYJ655363:GYJ655386 HIF655363:HIF655386 HSB655363:HSB655386 IBX655363:IBX655386 ILT655363:ILT655386 IVP655363:IVP655386 JFL655363:JFL655386 JPH655363:JPH655386 JZD655363:JZD655386 KIZ655363:KIZ655386 KSV655363:KSV655386 LCR655363:LCR655386 LMN655363:LMN655386 LWJ655363:LWJ655386 MGF655363:MGF655386 MQB655363:MQB655386 MZX655363:MZX655386 NJT655363:NJT655386 NTP655363:NTP655386 ODL655363:ODL655386 ONH655363:ONH655386 OXD655363:OXD655386 PGZ655363:PGZ655386 PQV655363:PQV655386 QAR655363:QAR655386 QKN655363:QKN655386 QUJ655363:QUJ655386 REF655363:REF655386 ROB655363:ROB655386 RXX655363:RXX655386 SHT655363:SHT655386 SRP655363:SRP655386 TBL655363:TBL655386 TLH655363:TLH655386 TVD655363:TVD655386 UEZ655363:UEZ655386 UOV655363:UOV655386 UYR655363:UYR655386 VIN655363:VIN655386 VSJ655363:VSJ655386 WCF655363:WCF655386 WMB655363:WMB655386 WVX655363:WVX655386 JL720899:JL720922 TH720899:TH720922 ADD720899:ADD720922 AMZ720899:AMZ720922 AWV720899:AWV720922 BGR720899:BGR720922 BQN720899:BQN720922 CAJ720899:CAJ720922 CKF720899:CKF720922 CUB720899:CUB720922 DDX720899:DDX720922 DNT720899:DNT720922 DXP720899:DXP720922 EHL720899:EHL720922 ERH720899:ERH720922 FBD720899:FBD720922 FKZ720899:FKZ720922 FUV720899:FUV720922 GER720899:GER720922 GON720899:GON720922 GYJ720899:GYJ720922 HIF720899:HIF720922 HSB720899:HSB720922 IBX720899:IBX720922 ILT720899:ILT720922 IVP720899:IVP720922 JFL720899:JFL720922 JPH720899:JPH720922 JZD720899:JZD720922 KIZ720899:KIZ720922 KSV720899:KSV720922 LCR720899:LCR720922 LMN720899:LMN720922 LWJ720899:LWJ720922 MGF720899:MGF720922 MQB720899:MQB720922 MZX720899:MZX720922 NJT720899:NJT720922 NTP720899:NTP720922 ODL720899:ODL720922 ONH720899:ONH720922 OXD720899:OXD720922 PGZ720899:PGZ720922 PQV720899:PQV720922 QAR720899:QAR720922 QKN720899:QKN720922 QUJ720899:QUJ720922 REF720899:REF720922 ROB720899:ROB720922 RXX720899:RXX720922 SHT720899:SHT720922 SRP720899:SRP720922 TBL720899:TBL720922 TLH720899:TLH720922 TVD720899:TVD720922 UEZ720899:UEZ720922 UOV720899:UOV720922 UYR720899:UYR720922 VIN720899:VIN720922 VSJ720899:VSJ720922 WCF720899:WCF720922 WMB720899:WMB720922 WVX720899:WVX720922 JL786435:JL786458 TH786435:TH786458 ADD786435:ADD786458 AMZ786435:AMZ786458 AWV786435:AWV786458 BGR786435:BGR786458 BQN786435:BQN786458 CAJ786435:CAJ786458 CKF786435:CKF786458 CUB786435:CUB786458 DDX786435:DDX786458 DNT786435:DNT786458 DXP786435:DXP786458 EHL786435:EHL786458 ERH786435:ERH786458 FBD786435:FBD786458 FKZ786435:FKZ786458 FUV786435:FUV786458 GER786435:GER786458 GON786435:GON786458 GYJ786435:GYJ786458 HIF786435:HIF786458 HSB786435:HSB786458 IBX786435:IBX786458 ILT786435:ILT786458 IVP786435:IVP786458 JFL786435:JFL786458 JPH786435:JPH786458 JZD786435:JZD786458 KIZ786435:KIZ786458 KSV786435:KSV786458 LCR786435:LCR786458 LMN786435:LMN786458 LWJ786435:LWJ786458 MGF786435:MGF786458 MQB786435:MQB786458 MZX786435:MZX786458 NJT786435:NJT786458 NTP786435:NTP786458 ODL786435:ODL786458 ONH786435:ONH786458 OXD786435:OXD786458 PGZ786435:PGZ786458 PQV786435:PQV786458 QAR786435:QAR786458 QKN786435:QKN786458 QUJ786435:QUJ786458 REF786435:REF786458 ROB786435:ROB786458 RXX786435:RXX786458 SHT786435:SHT786458 SRP786435:SRP786458 TBL786435:TBL786458 TLH786435:TLH786458 TVD786435:TVD786458 UEZ786435:UEZ786458 UOV786435:UOV786458 UYR786435:UYR786458 VIN786435:VIN786458 VSJ786435:VSJ786458 WCF786435:WCF786458 WMB786435:WMB786458 WVX786435:WVX786458 JL851971:JL851994 TH851971:TH851994 ADD851971:ADD851994 AMZ851971:AMZ851994 AWV851971:AWV851994 BGR851971:BGR851994 BQN851971:BQN851994 CAJ851971:CAJ851994 CKF851971:CKF851994 CUB851971:CUB851994 DDX851971:DDX851994 DNT851971:DNT851994 DXP851971:DXP851994 EHL851971:EHL851994 ERH851971:ERH851994 FBD851971:FBD851994 FKZ851971:FKZ851994 FUV851971:FUV851994 GER851971:GER851994 GON851971:GON851994 GYJ851971:GYJ851994 HIF851971:HIF851994 HSB851971:HSB851994 IBX851971:IBX851994 ILT851971:ILT851994 IVP851971:IVP851994 JFL851971:JFL851994 JPH851971:JPH851994 JZD851971:JZD851994 KIZ851971:KIZ851994 KSV851971:KSV851994 LCR851971:LCR851994 LMN851971:LMN851994 LWJ851971:LWJ851994 MGF851971:MGF851994 MQB851971:MQB851994 MZX851971:MZX851994 NJT851971:NJT851994 NTP851971:NTP851994 ODL851971:ODL851994 ONH851971:ONH851994 OXD851971:OXD851994 PGZ851971:PGZ851994 PQV851971:PQV851994 QAR851971:QAR851994 QKN851971:QKN851994 QUJ851971:QUJ851994 REF851971:REF851994 ROB851971:ROB851994 RXX851971:RXX851994 SHT851971:SHT851994 SRP851971:SRP851994 TBL851971:TBL851994 TLH851971:TLH851994 TVD851971:TVD851994 UEZ851971:UEZ851994 UOV851971:UOV851994 UYR851971:UYR851994 VIN851971:VIN851994 VSJ851971:VSJ851994 WCF851971:WCF851994 WMB851971:WMB851994 WVX851971:WVX851994 JL917507:JL917530 TH917507:TH917530 ADD917507:ADD917530 AMZ917507:AMZ917530 AWV917507:AWV917530 BGR917507:BGR917530 BQN917507:BQN917530 CAJ917507:CAJ917530 CKF917507:CKF917530 CUB917507:CUB917530 DDX917507:DDX917530 DNT917507:DNT917530 DXP917507:DXP917530 EHL917507:EHL917530 ERH917507:ERH917530 FBD917507:FBD917530 FKZ917507:FKZ917530 FUV917507:FUV917530 GER917507:GER917530 GON917507:GON917530 GYJ917507:GYJ917530 HIF917507:HIF917530 HSB917507:HSB917530 IBX917507:IBX917530 ILT917507:ILT917530 IVP917507:IVP917530 JFL917507:JFL917530 JPH917507:JPH917530 JZD917507:JZD917530 KIZ917507:KIZ917530 KSV917507:KSV917530 LCR917507:LCR917530 LMN917507:LMN917530 LWJ917507:LWJ917530 MGF917507:MGF917530 MQB917507:MQB917530 MZX917507:MZX917530 NJT917507:NJT917530 NTP917507:NTP917530 ODL917507:ODL917530 ONH917507:ONH917530 OXD917507:OXD917530 PGZ917507:PGZ917530 PQV917507:PQV917530 QAR917507:QAR917530 QKN917507:QKN917530 QUJ917507:QUJ917530 REF917507:REF917530 ROB917507:ROB917530 RXX917507:RXX917530 SHT917507:SHT917530 SRP917507:SRP917530 TBL917507:TBL917530 TLH917507:TLH917530 TVD917507:TVD917530 UEZ917507:UEZ917530 UOV917507:UOV917530 UYR917507:UYR917530 VIN917507:VIN917530 VSJ917507:VSJ917530 WCF917507:WCF917530 WMB917507:WMB917530 WVX917507:WVX917530 JL983043:JL983066 TH983043:TH983066 ADD983043:ADD983066 AMZ983043:AMZ983066 AWV983043:AWV983066 BGR983043:BGR983066 BQN983043:BQN983066 CAJ983043:CAJ983066 CKF983043:CKF983066 CUB983043:CUB983066 DDX983043:DDX983066 DNT983043:DNT983066 DXP983043:DXP983066 EHL983043:EHL983066 ERH983043:ERH983066 FBD983043:FBD983066 FKZ983043:FKZ983066 FUV983043:FUV983066 GER983043:GER983066 GON983043:GON983066 GYJ983043:GYJ983066 HIF983043:HIF983066 HSB983043:HSB983066 IBX983043:IBX983066 ILT983043:ILT983066 IVP983043:IVP983066 JFL983043:JFL983066 JPH983043:JPH983066 JZD983043:JZD983066 KIZ983043:KIZ983066 KSV983043:KSV983066 LCR983043:LCR983066 LMN983043:LMN983066 LWJ983043:LWJ983066 MGF983043:MGF983066 MQB983043:MQB983066 MZX983043:MZX983066 NJT983043:NJT983066 NTP983043:NTP983066 ODL983043:ODL983066 ONH983043:ONH983066 OXD983043:OXD983066 PGZ983043:PGZ983066 PQV983043:PQV983066 QAR983043:QAR983066 QKN983043:QKN983066 QUJ983043:QUJ983066 REF983043:REF983066 ROB983043:ROB983066 RXX983043:RXX983066 SHT983043:SHT983066 SRP983043:SRP983066 TBL983043:TBL983066 TLH983043:TLH983066 TVD983043:TVD983066 UEZ983043:UEZ983066 UOV983043:UOV983066 UYR983043:UYR983066 VIN983043:VIN983066 VSJ983043:VSJ983066 WCF983043:WCF983066 WMB983043:WMB983066 U11:U27 IU11:IU27 WVI11:WVI27 WLM11:WLM27 WBQ11:WBQ27 VRU11:VRU27 VHY11:VHY27 UYC11:UYC27 UOG11:UOG27 UEK11:UEK27 TUO11:TUO27 TKS11:TKS27 TAW11:TAW27 SRA11:SRA27 SHE11:SHE27 RXI11:RXI27 RNM11:RNM27 RDQ11:RDQ27 QTU11:QTU27 QJY11:QJY27 QAC11:QAC27 PQG11:PQG27 PGK11:PGK27 OWO11:OWO27 OMS11:OMS27 OCW11:OCW27 NTA11:NTA27 NJE11:NJE27 MZI11:MZI27 MPM11:MPM27 MFQ11:MFQ27 LVU11:LVU27 LLY11:LLY27 LCC11:LCC27 KSG11:KSG27 KIK11:KIK27 JYO11:JYO27 JOS11:JOS27 JEW11:JEW27 IVA11:IVA27 ILE11:ILE27 IBI11:IBI27 HRM11:HRM27 HHQ11:HHQ27 GXU11:GXU27 GNY11:GNY27 GEC11:GEC27 FUG11:FUG27 FKK11:FKK27 FAO11:FAO27 EQS11:EQS27 EGW11:EGW27 DXA11:DXA27 DNE11:DNE27 DDI11:DDI27 CTM11:CTM27 CJQ11:CJQ27 BZU11:BZU27 BPY11:BPY27 BGC11:BGC27 AWG11:AWG27 AMK11:AMK27 ACO11:ACO27 SS11:SS27 IW11:IW27 WVG11:WVG27 WLK11:WLK27 WBO11:WBO27 VRS11:VRS27 VHW11:VHW27 UYA11:UYA27 UOE11:UOE27 UEI11:UEI27 TUM11:TUM27 TKQ11:TKQ27 TAU11:TAU27 SQY11:SQY27 SHC11:SHC27 RXG11:RXG27 RNK11:RNK27 RDO11:RDO27 QTS11:QTS27 QJW11:QJW27 QAA11:QAA27 PQE11:PQE27 PGI11:PGI27 OWM11:OWM27 OMQ11:OMQ27 OCU11:OCU27 NSY11:NSY27 NJC11:NJC27 MZG11:MZG27 MPK11:MPK27 MFO11:MFO27 LVS11:LVS27 LLW11:LLW27 LCA11:LCA27 KSE11:KSE27 KII11:KII27 JYM11:JYM27 JOQ11:JOQ27 JEU11:JEU27 IUY11:IUY27 ILC11:ILC27 IBG11:IBG27 HRK11:HRK27 HHO11:HHO27 GXS11:GXS27 GNW11:GNW27 GEA11:GEA27 FUE11:FUE27 FKI11:FKI27 FAM11:FAM27 EQQ11:EQQ27 EGU11:EGU27 DWY11:DWY27 DNC11:DNC27 DDG11:DDG27 CTK11:CTK27 CJO11:CJO27 BZS11:BZS27 BPW11:BPW27 BGA11:BGA27 AWE11:AWE27 AMI11:AMI27 ACM11:ACM27 SQ11:SQ27 W11:W27" xr:uid="{00000000-0002-0000-0300-000000000000}">
      <formula1>"1,2,3,4"</formula1>
    </dataValidation>
    <dataValidation type="list" allowBlank="1" showInputMessage="1" showErrorMessage="1" sqref="T65539:T65562 JI65539:JI65562 TE65539:TE65562 ADA65539:ADA65562 AMW65539:AMW65562 AWS65539:AWS65562 BGO65539:BGO65562 BQK65539:BQK65562 CAG65539:CAG65562 CKC65539:CKC65562 CTY65539:CTY65562 DDU65539:DDU65562 DNQ65539:DNQ65562 DXM65539:DXM65562 EHI65539:EHI65562 ERE65539:ERE65562 FBA65539:FBA65562 FKW65539:FKW65562 FUS65539:FUS65562 GEO65539:GEO65562 GOK65539:GOK65562 GYG65539:GYG65562 HIC65539:HIC65562 HRY65539:HRY65562 IBU65539:IBU65562 ILQ65539:ILQ65562 IVM65539:IVM65562 JFI65539:JFI65562 JPE65539:JPE65562 JZA65539:JZA65562 KIW65539:KIW65562 KSS65539:KSS65562 LCO65539:LCO65562 LMK65539:LMK65562 LWG65539:LWG65562 MGC65539:MGC65562 MPY65539:MPY65562 MZU65539:MZU65562 NJQ65539:NJQ65562 NTM65539:NTM65562 ODI65539:ODI65562 ONE65539:ONE65562 OXA65539:OXA65562 PGW65539:PGW65562 PQS65539:PQS65562 QAO65539:QAO65562 QKK65539:QKK65562 QUG65539:QUG65562 REC65539:REC65562 RNY65539:RNY65562 RXU65539:RXU65562 SHQ65539:SHQ65562 SRM65539:SRM65562 TBI65539:TBI65562 TLE65539:TLE65562 TVA65539:TVA65562 UEW65539:UEW65562 UOS65539:UOS65562 UYO65539:UYO65562 VIK65539:VIK65562 VSG65539:VSG65562 WCC65539:WCC65562 WLY65539:WLY65562 WVU65539:WVU65562 T131075:T131098 JI131075:JI131098 TE131075:TE131098 ADA131075:ADA131098 AMW131075:AMW131098 AWS131075:AWS131098 BGO131075:BGO131098 BQK131075:BQK131098 CAG131075:CAG131098 CKC131075:CKC131098 CTY131075:CTY131098 DDU131075:DDU131098 DNQ131075:DNQ131098 DXM131075:DXM131098 EHI131075:EHI131098 ERE131075:ERE131098 FBA131075:FBA131098 FKW131075:FKW131098 FUS131075:FUS131098 GEO131075:GEO131098 GOK131075:GOK131098 GYG131075:GYG131098 HIC131075:HIC131098 HRY131075:HRY131098 IBU131075:IBU131098 ILQ131075:ILQ131098 IVM131075:IVM131098 JFI131075:JFI131098 JPE131075:JPE131098 JZA131075:JZA131098 KIW131075:KIW131098 KSS131075:KSS131098 LCO131075:LCO131098 LMK131075:LMK131098 LWG131075:LWG131098 MGC131075:MGC131098 MPY131075:MPY131098 MZU131075:MZU131098 NJQ131075:NJQ131098 NTM131075:NTM131098 ODI131075:ODI131098 ONE131075:ONE131098 OXA131075:OXA131098 PGW131075:PGW131098 PQS131075:PQS131098 QAO131075:QAO131098 QKK131075:QKK131098 QUG131075:QUG131098 REC131075:REC131098 RNY131075:RNY131098 RXU131075:RXU131098 SHQ131075:SHQ131098 SRM131075:SRM131098 TBI131075:TBI131098 TLE131075:TLE131098 TVA131075:TVA131098 UEW131075:UEW131098 UOS131075:UOS131098 UYO131075:UYO131098 VIK131075:VIK131098 VSG131075:VSG131098 WCC131075:WCC131098 WLY131075:WLY131098 WVU131075:WVU131098 T196611:T196634 JI196611:JI196634 TE196611:TE196634 ADA196611:ADA196634 AMW196611:AMW196634 AWS196611:AWS196634 BGO196611:BGO196634 BQK196611:BQK196634 CAG196611:CAG196634 CKC196611:CKC196634 CTY196611:CTY196634 DDU196611:DDU196634 DNQ196611:DNQ196634 DXM196611:DXM196634 EHI196611:EHI196634 ERE196611:ERE196634 FBA196611:FBA196634 FKW196611:FKW196634 FUS196611:FUS196634 GEO196611:GEO196634 GOK196611:GOK196634 GYG196611:GYG196634 HIC196611:HIC196634 HRY196611:HRY196634 IBU196611:IBU196634 ILQ196611:ILQ196634 IVM196611:IVM196634 JFI196611:JFI196634 JPE196611:JPE196634 JZA196611:JZA196634 KIW196611:KIW196634 KSS196611:KSS196634 LCO196611:LCO196634 LMK196611:LMK196634 LWG196611:LWG196634 MGC196611:MGC196634 MPY196611:MPY196634 MZU196611:MZU196634 NJQ196611:NJQ196634 NTM196611:NTM196634 ODI196611:ODI196634 ONE196611:ONE196634 OXA196611:OXA196634 PGW196611:PGW196634 PQS196611:PQS196634 QAO196611:QAO196634 QKK196611:QKK196634 QUG196611:QUG196634 REC196611:REC196634 RNY196611:RNY196634 RXU196611:RXU196634 SHQ196611:SHQ196634 SRM196611:SRM196634 TBI196611:TBI196634 TLE196611:TLE196634 TVA196611:TVA196634 UEW196611:UEW196634 UOS196611:UOS196634 UYO196611:UYO196634 VIK196611:VIK196634 VSG196611:VSG196634 WCC196611:WCC196634 WLY196611:WLY196634 WVU196611:WVU196634 T262147:T262170 JI262147:JI262170 TE262147:TE262170 ADA262147:ADA262170 AMW262147:AMW262170 AWS262147:AWS262170 BGO262147:BGO262170 BQK262147:BQK262170 CAG262147:CAG262170 CKC262147:CKC262170 CTY262147:CTY262170 DDU262147:DDU262170 DNQ262147:DNQ262170 DXM262147:DXM262170 EHI262147:EHI262170 ERE262147:ERE262170 FBA262147:FBA262170 FKW262147:FKW262170 FUS262147:FUS262170 GEO262147:GEO262170 GOK262147:GOK262170 GYG262147:GYG262170 HIC262147:HIC262170 HRY262147:HRY262170 IBU262147:IBU262170 ILQ262147:ILQ262170 IVM262147:IVM262170 JFI262147:JFI262170 JPE262147:JPE262170 JZA262147:JZA262170 KIW262147:KIW262170 KSS262147:KSS262170 LCO262147:LCO262170 LMK262147:LMK262170 LWG262147:LWG262170 MGC262147:MGC262170 MPY262147:MPY262170 MZU262147:MZU262170 NJQ262147:NJQ262170 NTM262147:NTM262170 ODI262147:ODI262170 ONE262147:ONE262170 OXA262147:OXA262170 PGW262147:PGW262170 PQS262147:PQS262170 QAO262147:QAO262170 QKK262147:QKK262170 QUG262147:QUG262170 REC262147:REC262170 RNY262147:RNY262170 RXU262147:RXU262170 SHQ262147:SHQ262170 SRM262147:SRM262170 TBI262147:TBI262170 TLE262147:TLE262170 TVA262147:TVA262170 UEW262147:UEW262170 UOS262147:UOS262170 UYO262147:UYO262170 VIK262147:VIK262170 VSG262147:VSG262170 WCC262147:WCC262170 WLY262147:WLY262170 WVU262147:WVU262170 T327683:T327706 JI327683:JI327706 TE327683:TE327706 ADA327683:ADA327706 AMW327683:AMW327706 AWS327683:AWS327706 BGO327683:BGO327706 BQK327683:BQK327706 CAG327683:CAG327706 CKC327683:CKC327706 CTY327683:CTY327706 DDU327683:DDU327706 DNQ327683:DNQ327706 DXM327683:DXM327706 EHI327683:EHI327706 ERE327683:ERE327706 FBA327683:FBA327706 FKW327683:FKW327706 FUS327683:FUS327706 GEO327683:GEO327706 GOK327683:GOK327706 GYG327683:GYG327706 HIC327683:HIC327706 HRY327683:HRY327706 IBU327683:IBU327706 ILQ327683:ILQ327706 IVM327683:IVM327706 JFI327683:JFI327706 JPE327683:JPE327706 JZA327683:JZA327706 KIW327683:KIW327706 KSS327683:KSS327706 LCO327683:LCO327706 LMK327683:LMK327706 LWG327683:LWG327706 MGC327683:MGC327706 MPY327683:MPY327706 MZU327683:MZU327706 NJQ327683:NJQ327706 NTM327683:NTM327706 ODI327683:ODI327706 ONE327683:ONE327706 OXA327683:OXA327706 PGW327683:PGW327706 PQS327683:PQS327706 QAO327683:QAO327706 QKK327683:QKK327706 QUG327683:QUG327706 REC327683:REC327706 RNY327683:RNY327706 RXU327683:RXU327706 SHQ327683:SHQ327706 SRM327683:SRM327706 TBI327683:TBI327706 TLE327683:TLE327706 TVA327683:TVA327706 UEW327683:UEW327706 UOS327683:UOS327706 UYO327683:UYO327706 VIK327683:VIK327706 VSG327683:VSG327706 WCC327683:WCC327706 WLY327683:WLY327706 WVU327683:WVU327706 T393219:T393242 JI393219:JI393242 TE393219:TE393242 ADA393219:ADA393242 AMW393219:AMW393242 AWS393219:AWS393242 BGO393219:BGO393242 BQK393219:BQK393242 CAG393219:CAG393242 CKC393219:CKC393242 CTY393219:CTY393242 DDU393219:DDU393242 DNQ393219:DNQ393242 DXM393219:DXM393242 EHI393219:EHI393242 ERE393219:ERE393242 FBA393219:FBA393242 FKW393219:FKW393242 FUS393219:FUS393242 GEO393219:GEO393242 GOK393219:GOK393242 GYG393219:GYG393242 HIC393219:HIC393242 HRY393219:HRY393242 IBU393219:IBU393242 ILQ393219:ILQ393242 IVM393219:IVM393242 JFI393219:JFI393242 JPE393219:JPE393242 JZA393219:JZA393242 KIW393219:KIW393242 KSS393219:KSS393242 LCO393219:LCO393242 LMK393219:LMK393242 LWG393219:LWG393242 MGC393219:MGC393242 MPY393219:MPY393242 MZU393219:MZU393242 NJQ393219:NJQ393242 NTM393219:NTM393242 ODI393219:ODI393242 ONE393219:ONE393242 OXA393219:OXA393242 PGW393219:PGW393242 PQS393219:PQS393242 QAO393219:QAO393242 QKK393219:QKK393242 QUG393219:QUG393242 REC393219:REC393242 RNY393219:RNY393242 RXU393219:RXU393242 SHQ393219:SHQ393242 SRM393219:SRM393242 TBI393219:TBI393242 TLE393219:TLE393242 TVA393219:TVA393242 UEW393219:UEW393242 UOS393219:UOS393242 UYO393219:UYO393242 VIK393219:VIK393242 VSG393219:VSG393242 WCC393219:WCC393242 WLY393219:WLY393242 WVU393219:WVU393242 T458755:T458778 JI458755:JI458778 TE458755:TE458778 ADA458755:ADA458778 AMW458755:AMW458778 AWS458755:AWS458778 BGO458755:BGO458778 BQK458755:BQK458778 CAG458755:CAG458778 CKC458755:CKC458778 CTY458755:CTY458778 DDU458755:DDU458778 DNQ458755:DNQ458778 DXM458755:DXM458778 EHI458755:EHI458778 ERE458755:ERE458778 FBA458755:FBA458778 FKW458755:FKW458778 FUS458755:FUS458778 GEO458755:GEO458778 GOK458755:GOK458778 GYG458755:GYG458778 HIC458755:HIC458778 HRY458755:HRY458778 IBU458755:IBU458778 ILQ458755:ILQ458778 IVM458755:IVM458778 JFI458755:JFI458778 JPE458755:JPE458778 JZA458755:JZA458778 KIW458755:KIW458778 KSS458755:KSS458778 LCO458755:LCO458778 LMK458755:LMK458778 LWG458755:LWG458778 MGC458755:MGC458778 MPY458755:MPY458778 MZU458755:MZU458778 NJQ458755:NJQ458778 NTM458755:NTM458778 ODI458755:ODI458778 ONE458755:ONE458778 OXA458755:OXA458778 PGW458755:PGW458778 PQS458755:PQS458778 QAO458755:QAO458778 QKK458755:QKK458778 QUG458755:QUG458778 REC458755:REC458778 RNY458755:RNY458778 RXU458755:RXU458778 SHQ458755:SHQ458778 SRM458755:SRM458778 TBI458755:TBI458778 TLE458755:TLE458778 TVA458755:TVA458778 UEW458755:UEW458778 UOS458755:UOS458778 UYO458755:UYO458778 VIK458755:VIK458778 VSG458755:VSG458778 WCC458755:WCC458778 WLY458755:WLY458778 WVU458755:WVU458778 T524291:T524314 JI524291:JI524314 TE524291:TE524314 ADA524291:ADA524314 AMW524291:AMW524314 AWS524291:AWS524314 BGO524291:BGO524314 BQK524291:BQK524314 CAG524291:CAG524314 CKC524291:CKC524314 CTY524291:CTY524314 DDU524291:DDU524314 DNQ524291:DNQ524314 DXM524291:DXM524314 EHI524291:EHI524314 ERE524291:ERE524314 FBA524291:FBA524314 FKW524291:FKW524314 FUS524291:FUS524314 GEO524291:GEO524314 GOK524291:GOK524314 GYG524291:GYG524314 HIC524291:HIC524314 HRY524291:HRY524314 IBU524291:IBU524314 ILQ524291:ILQ524314 IVM524291:IVM524314 JFI524291:JFI524314 JPE524291:JPE524314 JZA524291:JZA524314 KIW524291:KIW524314 KSS524291:KSS524314 LCO524291:LCO524314 LMK524291:LMK524314 LWG524291:LWG524314 MGC524291:MGC524314 MPY524291:MPY524314 MZU524291:MZU524314 NJQ524291:NJQ524314 NTM524291:NTM524314 ODI524291:ODI524314 ONE524291:ONE524314 OXA524291:OXA524314 PGW524291:PGW524314 PQS524291:PQS524314 QAO524291:QAO524314 QKK524291:QKK524314 QUG524291:QUG524314 REC524291:REC524314 RNY524291:RNY524314 RXU524291:RXU524314 SHQ524291:SHQ524314 SRM524291:SRM524314 TBI524291:TBI524314 TLE524291:TLE524314 TVA524291:TVA524314 UEW524291:UEW524314 UOS524291:UOS524314 UYO524291:UYO524314 VIK524291:VIK524314 VSG524291:VSG524314 WCC524291:WCC524314 WLY524291:WLY524314 WVU524291:WVU524314 T589827:T589850 JI589827:JI589850 TE589827:TE589850 ADA589827:ADA589850 AMW589827:AMW589850 AWS589827:AWS589850 BGO589827:BGO589850 BQK589827:BQK589850 CAG589827:CAG589850 CKC589827:CKC589850 CTY589827:CTY589850 DDU589827:DDU589850 DNQ589827:DNQ589850 DXM589827:DXM589850 EHI589827:EHI589850 ERE589827:ERE589850 FBA589827:FBA589850 FKW589827:FKW589850 FUS589827:FUS589850 GEO589827:GEO589850 GOK589827:GOK589850 GYG589827:GYG589850 HIC589827:HIC589850 HRY589827:HRY589850 IBU589827:IBU589850 ILQ589827:ILQ589850 IVM589827:IVM589850 JFI589827:JFI589850 JPE589827:JPE589850 JZA589827:JZA589850 KIW589827:KIW589850 KSS589827:KSS589850 LCO589827:LCO589850 LMK589827:LMK589850 LWG589827:LWG589850 MGC589827:MGC589850 MPY589827:MPY589850 MZU589827:MZU589850 NJQ589827:NJQ589850 NTM589827:NTM589850 ODI589827:ODI589850 ONE589827:ONE589850 OXA589827:OXA589850 PGW589827:PGW589850 PQS589827:PQS589850 QAO589827:QAO589850 QKK589827:QKK589850 QUG589827:QUG589850 REC589827:REC589850 RNY589827:RNY589850 RXU589827:RXU589850 SHQ589827:SHQ589850 SRM589827:SRM589850 TBI589827:TBI589850 TLE589827:TLE589850 TVA589827:TVA589850 UEW589827:UEW589850 UOS589827:UOS589850 UYO589827:UYO589850 VIK589827:VIK589850 VSG589827:VSG589850 WCC589827:WCC589850 WLY589827:WLY589850 WVU589827:WVU589850 T655363:T655386 JI655363:JI655386 TE655363:TE655386 ADA655363:ADA655386 AMW655363:AMW655386 AWS655363:AWS655386 BGO655363:BGO655386 BQK655363:BQK655386 CAG655363:CAG655386 CKC655363:CKC655386 CTY655363:CTY655386 DDU655363:DDU655386 DNQ655363:DNQ655386 DXM655363:DXM655386 EHI655363:EHI655386 ERE655363:ERE655386 FBA655363:FBA655386 FKW655363:FKW655386 FUS655363:FUS655386 GEO655363:GEO655386 GOK655363:GOK655386 GYG655363:GYG655386 HIC655363:HIC655386 HRY655363:HRY655386 IBU655363:IBU655386 ILQ655363:ILQ655386 IVM655363:IVM655386 JFI655363:JFI655386 JPE655363:JPE655386 JZA655363:JZA655386 KIW655363:KIW655386 KSS655363:KSS655386 LCO655363:LCO655386 LMK655363:LMK655386 LWG655363:LWG655386 MGC655363:MGC655386 MPY655363:MPY655386 MZU655363:MZU655386 NJQ655363:NJQ655386 NTM655363:NTM655386 ODI655363:ODI655386 ONE655363:ONE655386 OXA655363:OXA655386 PGW655363:PGW655386 PQS655363:PQS655386 QAO655363:QAO655386 QKK655363:QKK655386 QUG655363:QUG655386 REC655363:REC655386 RNY655363:RNY655386 RXU655363:RXU655386 SHQ655363:SHQ655386 SRM655363:SRM655386 TBI655363:TBI655386 TLE655363:TLE655386 TVA655363:TVA655386 UEW655363:UEW655386 UOS655363:UOS655386 UYO655363:UYO655386 VIK655363:VIK655386 VSG655363:VSG655386 WCC655363:WCC655386 WLY655363:WLY655386 WVU655363:WVU655386 T720899:T720922 JI720899:JI720922 TE720899:TE720922 ADA720899:ADA720922 AMW720899:AMW720922 AWS720899:AWS720922 BGO720899:BGO720922 BQK720899:BQK720922 CAG720899:CAG720922 CKC720899:CKC720922 CTY720899:CTY720922 DDU720899:DDU720922 DNQ720899:DNQ720922 DXM720899:DXM720922 EHI720899:EHI720922 ERE720899:ERE720922 FBA720899:FBA720922 FKW720899:FKW720922 FUS720899:FUS720922 GEO720899:GEO720922 GOK720899:GOK720922 GYG720899:GYG720922 HIC720899:HIC720922 HRY720899:HRY720922 IBU720899:IBU720922 ILQ720899:ILQ720922 IVM720899:IVM720922 JFI720899:JFI720922 JPE720899:JPE720922 JZA720899:JZA720922 KIW720899:KIW720922 KSS720899:KSS720922 LCO720899:LCO720922 LMK720899:LMK720922 LWG720899:LWG720922 MGC720899:MGC720922 MPY720899:MPY720922 MZU720899:MZU720922 NJQ720899:NJQ720922 NTM720899:NTM720922 ODI720899:ODI720922 ONE720899:ONE720922 OXA720899:OXA720922 PGW720899:PGW720922 PQS720899:PQS720922 QAO720899:QAO720922 QKK720899:QKK720922 QUG720899:QUG720922 REC720899:REC720922 RNY720899:RNY720922 RXU720899:RXU720922 SHQ720899:SHQ720922 SRM720899:SRM720922 TBI720899:TBI720922 TLE720899:TLE720922 TVA720899:TVA720922 UEW720899:UEW720922 UOS720899:UOS720922 UYO720899:UYO720922 VIK720899:VIK720922 VSG720899:VSG720922 WCC720899:WCC720922 WLY720899:WLY720922 WVU720899:WVU720922 T786435:T786458 JI786435:JI786458 TE786435:TE786458 ADA786435:ADA786458 AMW786435:AMW786458 AWS786435:AWS786458 BGO786435:BGO786458 BQK786435:BQK786458 CAG786435:CAG786458 CKC786435:CKC786458 CTY786435:CTY786458 DDU786435:DDU786458 DNQ786435:DNQ786458 DXM786435:DXM786458 EHI786435:EHI786458 ERE786435:ERE786458 FBA786435:FBA786458 FKW786435:FKW786458 FUS786435:FUS786458 GEO786435:GEO786458 GOK786435:GOK786458 GYG786435:GYG786458 HIC786435:HIC786458 HRY786435:HRY786458 IBU786435:IBU786458 ILQ786435:ILQ786458 IVM786435:IVM786458 JFI786435:JFI786458 JPE786435:JPE786458 JZA786435:JZA786458 KIW786435:KIW786458 KSS786435:KSS786458 LCO786435:LCO786458 LMK786435:LMK786458 LWG786435:LWG786458 MGC786435:MGC786458 MPY786435:MPY786458 MZU786435:MZU786458 NJQ786435:NJQ786458 NTM786435:NTM786458 ODI786435:ODI786458 ONE786435:ONE786458 OXA786435:OXA786458 PGW786435:PGW786458 PQS786435:PQS786458 QAO786435:QAO786458 QKK786435:QKK786458 QUG786435:QUG786458 REC786435:REC786458 RNY786435:RNY786458 RXU786435:RXU786458 SHQ786435:SHQ786458 SRM786435:SRM786458 TBI786435:TBI786458 TLE786435:TLE786458 TVA786435:TVA786458 UEW786435:UEW786458 UOS786435:UOS786458 UYO786435:UYO786458 VIK786435:VIK786458 VSG786435:VSG786458 WCC786435:WCC786458 WLY786435:WLY786458 WVU786435:WVU786458 T851971:T851994 JI851971:JI851994 TE851971:TE851994 ADA851971:ADA851994 AMW851971:AMW851994 AWS851971:AWS851994 BGO851971:BGO851994 BQK851971:BQK851994 CAG851971:CAG851994 CKC851971:CKC851994 CTY851971:CTY851994 DDU851971:DDU851994 DNQ851971:DNQ851994 DXM851971:DXM851994 EHI851971:EHI851994 ERE851971:ERE851994 FBA851971:FBA851994 FKW851971:FKW851994 FUS851971:FUS851994 GEO851971:GEO851994 GOK851971:GOK851994 GYG851971:GYG851994 HIC851971:HIC851994 HRY851971:HRY851994 IBU851971:IBU851994 ILQ851971:ILQ851994 IVM851971:IVM851994 JFI851971:JFI851994 JPE851971:JPE851994 JZA851971:JZA851994 KIW851971:KIW851994 KSS851971:KSS851994 LCO851971:LCO851994 LMK851971:LMK851994 LWG851971:LWG851994 MGC851971:MGC851994 MPY851971:MPY851994 MZU851971:MZU851994 NJQ851971:NJQ851994 NTM851971:NTM851994 ODI851971:ODI851994 ONE851971:ONE851994 OXA851971:OXA851994 PGW851971:PGW851994 PQS851971:PQS851994 QAO851971:QAO851994 QKK851971:QKK851994 QUG851971:QUG851994 REC851971:REC851994 RNY851971:RNY851994 RXU851971:RXU851994 SHQ851971:SHQ851994 SRM851971:SRM851994 TBI851971:TBI851994 TLE851971:TLE851994 TVA851971:TVA851994 UEW851971:UEW851994 UOS851971:UOS851994 UYO851971:UYO851994 VIK851971:VIK851994 VSG851971:VSG851994 WCC851971:WCC851994 WLY851971:WLY851994 WVU851971:WVU851994 T917507:T917530 JI917507:JI917530 TE917507:TE917530 ADA917507:ADA917530 AMW917507:AMW917530 AWS917507:AWS917530 BGO917507:BGO917530 BQK917507:BQK917530 CAG917507:CAG917530 CKC917507:CKC917530 CTY917507:CTY917530 DDU917507:DDU917530 DNQ917507:DNQ917530 DXM917507:DXM917530 EHI917507:EHI917530 ERE917507:ERE917530 FBA917507:FBA917530 FKW917507:FKW917530 FUS917507:FUS917530 GEO917507:GEO917530 GOK917507:GOK917530 GYG917507:GYG917530 HIC917507:HIC917530 HRY917507:HRY917530 IBU917507:IBU917530 ILQ917507:ILQ917530 IVM917507:IVM917530 JFI917507:JFI917530 JPE917507:JPE917530 JZA917507:JZA917530 KIW917507:KIW917530 KSS917507:KSS917530 LCO917507:LCO917530 LMK917507:LMK917530 LWG917507:LWG917530 MGC917507:MGC917530 MPY917507:MPY917530 MZU917507:MZU917530 NJQ917507:NJQ917530 NTM917507:NTM917530 ODI917507:ODI917530 ONE917507:ONE917530 OXA917507:OXA917530 PGW917507:PGW917530 PQS917507:PQS917530 QAO917507:QAO917530 QKK917507:QKK917530 QUG917507:QUG917530 REC917507:REC917530 RNY917507:RNY917530 RXU917507:RXU917530 SHQ917507:SHQ917530 SRM917507:SRM917530 TBI917507:TBI917530 TLE917507:TLE917530 TVA917507:TVA917530 UEW917507:UEW917530 UOS917507:UOS917530 UYO917507:UYO917530 VIK917507:VIK917530 VSG917507:VSG917530 WCC917507:WCC917530 WLY917507:WLY917530 WVU917507:WVU917530 T983043:T983066 JI983043:JI983066 TE983043:TE983066 ADA983043:ADA983066 AMW983043:AMW983066 AWS983043:AWS983066 BGO983043:BGO983066 BQK983043:BQK983066 CAG983043:CAG983066 CKC983043:CKC983066 CTY983043:CTY983066 DDU983043:DDU983066 DNQ983043:DNQ983066 DXM983043:DXM983066 EHI983043:EHI983066 ERE983043:ERE983066 FBA983043:FBA983066 FKW983043:FKW983066 FUS983043:FUS983066 GEO983043:GEO983066 GOK983043:GOK983066 GYG983043:GYG983066 HIC983043:HIC983066 HRY983043:HRY983066 IBU983043:IBU983066 ILQ983043:ILQ983066 IVM983043:IVM983066 JFI983043:JFI983066 JPE983043:JPE983066 JZA983043:JZA983066 KIW983043:KIW983066 KSS983043:KSS983066 LCO983043:LCO983066 LMK983043:LMK983066 LWG983043:LWG983066 MGC983043:MGC983066 MPY983043:MPY983066 MZU983043:MZU983066 NJQ983043:NJQ983066 NTM983043:NTM983066 ODI983043:ODI983066 ONE983043:ONE983066 OXA983043:OXA983066 PGW983043:PGW983066 PQS983043:PQS983066 QAO983043:QAO983066 QKK983043:QKK983066 QUG983043:QUG983066 REC983043:REC983066 RNY983043:RNY983066 RXU983043:RXU983066 SHQ983043:SHQ983066 SRM983043:SRM983066 TBI983043:TBI983066 TLE983043:TLE983066 TVA983043:TVA983066 UEW983043:UEW983066 UOS983043:UOS983066 UYO983043:UYO983066 VIK983043:VIK983066 VSG983043:VSG983066 WCC983043:WCC983066 WLY983043:WLY983066 WVU983043:WVU983066 IT11:IT27 WVF11:WVF27 WLJ11:WLJ27 WBN11:WBN27 VRR11:VRR27 VHV11:VHV27 UXZ11:UXZ27 UOD11:UOD27 UEH11:UEH27 TUL11:TUL27 TKP11:TKP27 TAT11:TAT27 SQX11:SQX27 SHB11:SHB27 RXF11:RXF27 RNJ11:RNJ27 RDN11:RDN27 QTR11:QTR27 QJV11:QJV27 PZZ11:PZZ27 PQD11:PQD27 PGH11:PGH27 OWL11:OWL27 OMP11:OMP27 OCT11:OCT27 NSX11:NSX27 NJB11:NJB27 MZF11:MZF27 MPJ11:MPJ27 MFN11:MFN27 LVR11:LVR27 LLV11:LLV27 LBZ11:LBZ27 KSD11:KSD27 KIH11:KIH27 JYL11:JYL27 JOP11:JOP27 JET11:JET27 IUX11:IUX27 ILB11:ILB27 IBF11:IBF27 HRJ11:HRJ27 HHN11:HHN27 GXR11:GXR27 GNV11:GNV27 GDZ11:GDZ27 FUD11:FUD27 FKH11:FKH27 FAL11:FAL27 EQP11:EQP27 EGT11:EGT27 DWX11:DWX27 DNB11:DNB27 DDF11:DDF27 CTJ11:CTJ27 CJN11:CJN27 BZR11:BZR27 BPV11:BPV27 BFZ11:BFZ27 AWD11:AWD27 AMH11:AMH27 ACL11:ACL27 SP11:SP27 T11:T27" xr:uid="{00000000-0002-0000-0300-000001000000}">
      <formula1>"Y,N"</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具名範圍</vt:lpstr>
      </vt:variant>
      <vt:variant>
        <vt:i4>3</vt:i4>
      </vt:variant>
    </vt:vector>
  </HeadingPairs>
  <TitlesOfParts>
    <vt:vector size="7" baseType="lpstr">
      <vt:lpstr>資訊清單資訊</vt:lpstr>
      <vt:lpstr>資料類資產群組清單</vt:lpstr>
      <vt:lpstr>評估標準</vt:lpstr>
      <vt:lpstr>環境類風險材1-1-EN-01</vt:lpstr>
      <vt:lpstr>ALL_LIST</vt:lpstr>
      <vt:lpstr>'環境類風險材1-1-EN-01'!Print_Area</vt:lpstr>
      <vt:lpstr>'環境類風險材1-1-EN-01'!Print_Titles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徐怡婷</dc:creator>
  <cp:lastModifiedBy>joyce</cp:lastModifiedBy>
  <cp:lastPrinted>2020-06-19T07:03:06Z</cp:lastPrinted>
  <dcterms:created xsi:type="dcterms:W3CDTF">2016-07-21T06:30:48Z</dcterms:created>
  <dcterms:modified xsi:type="dcterms:W3CDTF">2024-03-19T06:03:36Z</dcterms:modified>
</cp:coreProperties>
</file>